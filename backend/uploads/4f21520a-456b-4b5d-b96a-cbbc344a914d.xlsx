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50" windowHeight="10520" activeTab="1"/>
  </bookViews>
  <sheets>
    <sheet name="珂折守" sheetId="1" r:id="rId1"/>
    <sheet name="00琳奈" sheetId="2" r:id="rId2"/>
    <sheet name="0珂2琳" sheetId="3" r:id="rId3"/>
    <sheet name="21珂折守" sheetId="4" r:id="rId4"/>
    <sheet name="31珂折守" sheetId="5" r:id="rId5"/>
    <sheet name="3珂0琳" sheetId="6" r:id="rId6"/>
    <sheet name="31珂21琳01守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<sst xmlns="http://schemas.openxmlformats.org/spreadsheetml/2006/main" count="1215" uniqueCount="130">
  <si>
    <t>珂莱塔</t>
  </si>
  <si>
    <t>动作</t>
  </si>
  <si>
    <t>倍率</t>
  </si>
  <si>
    <t>类型</t>
  </si>
  <si>
    <t>攻击白值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</si>
  <si>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</si>
  <si>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</si>
  <si>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</si>
  <si>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</si>
  <si>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</si>
  <si>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</si>
  <si>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</si>
  <si>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</si>
  <si>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</si>
  <si>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</si>
  <si>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减防</t>
  </si>
  <si>
    <t>怪物等级</t>
  </si>
  <si>
    <t>攻击</t>
  </si>
  <si>
    <t>暴击</t>
  </si>
  <si>
    <t>暴击伤害</t>
  </si>
  <si>
    <t>10双爆2攻2技</t>
  </si>
  <si>
    <t>入冬叹调</t>
  </si>
  <si>
    <t>bz</t>
  </si>
  <si>
    <t>白值</t>
  </si>
  <si>
    <t>3C声骸</t>
  </si>
  <si>
    <t>基础</t>
  </si>
  <si>
    <t>全加深</t>
  </si>
  <si>
    <t>大攻击</t>
  </si>
  <si>
    <t>暴力美学</t>
  </si>
  <si>
    <t>e</t>
  </si>
  <si>
    <t>固有和武器</t>
  </si>
  <si>
    <t>首位冷凝</t>
  </si>
  <si>
    <t>武器</t>
  </si>
  <si>
    <t>声骸</t>
  </si>
  <si>
    <t>声骸加深</t>
  </si>
  <si>
    <t>共技伤害</t>
  </si>
  <si>
    <t>示我璀璨</t>
  </si>
  <si>
    <t>声骸和词条</t>
  </si>
  <si>
    <t>套装效果</t>
  </si>
  <si>
    <t>套装</t>
  </si>
  <si>
    <t>共技加深</t>
  </si>
  <si>
    <t>末路见行</t>
  </si>
  <si>
    <t>自拐</t>
  </si>
  <si>
    <t>其他buff</t>
  </si>
  <si>
    <t>爆伤</t>
  </si>
  <si>
    <t>z后半</t>
  </si>
  <si>
    <t>队友buff</t>
  </si>
  <si>
    <t>武器效果</t>
  </si>
  <si>
    <t>守岸人</t>
  </si>
  <si>
    <t>新浪潮</t>
  </si>
  <si>
    <t>声骸固定攻击</t>
  </si>
  <si>
    <t>e加成</t>
  </si>
  <si>
    <t>面板暴击率</t>
  </si>
  <si>
    <t>面板暴击伤害</t>
  </si>
  <si>
    <t>死兆*4</t>
  </si>
  <si>
    <t>额外固定攻击</t>
  </si>
  <si>
    <t>致死以终</t>
  </si>
  <si>
    <t xml:space="preserve">                                                                             </t>
  </si>
  <si>
    <t>致辞</t>
  </si>
  <si>
    <t>yz</t>
  </si>
  <si>
    <t>ee</t>
  </si>
  <si>
    <t>q</t>
  </si>
  <si>
    <t>00轻云折</t>
  </si>
  <si>
    <t>aaa</t>
  </si>
  <si>
    <t>a</t>
  </si>
  <si>
    <t>柔翰生辉</t>
  </si>
  <si>
    <t>以形写神</t>
  </si>
  <si>
    <t>首位加成</t>
  </si>
  <si>
    <t>普攻加深</t>
  </si>
  <si>
    <t>a伤害</t>
  </si>
  <si>
    <t>墨鹤2</t>
  </si>
  <si>
    <t>墨鹤4</t>
  </si>
  <si>
    <t>墨鹤15</t>
  </si>
  <si>
    <t>重击构形</t>
  </si>
  <si>
    <t>z</t>
  </si>
  <si>
    <t>a加成</t>
  </si>
  <si>
    <t>神来之笔</t>
  </si>
  <si>
    <t>神神</t>
  </si>
  <si>
    <t>20抗90级怪</t>
  </si>
  <si>
    <t>总伤</t>
  </si>
  <si>
    <t>dps</t>
  </si>
  <si>
    <t>秒数</t>
  </si>
  <si>
    <t>01珂莱塔</t>
  </si>
  <si>
    <t>01守岸人</t>
  </si>
  <si>
    <t>合计</t>
  </si>
  <si>
    <t>琳奈</t>
  </si>
  <si>
    <t>变奏</t>
  </si>
  <si>
    <t>爆炸喷涂</t>
  </si>
  <si>
    <t>r</t>
  </si>
  <si>
    <t>琳奈式创想</t>
  </si>
  <si>
    <t>a伤</t>
  </si>
  <si>
    <t>灵感碰撞</t>
  </si>
  <si>
    <t>首位</t>
  </si>
  <si>
    <t>幻光折跃*3</t>
  </si>
  <si>
    <t>颜色瞧瞧</t>
  </si>
  <si>
    <t>视觉冲击</t>
  </si>
  <si>
    <t>有空一起兜风！</t>
  </si>
  <si>
    <t>海维夏</t>
  </si>
  <si>
    <t>震谐</t>
  </si>
  <si>
    <t>zx</t>
  </si>
  <si>
    <t>00琳奈</t>
  </si>
  <si>
    <t>轻云折对珂</t>
  </si>
  <si>
    <t>01琳对珂</t>
  </si>
  <si>
    <t>01珂00折01守</t>
  </si>
  <si>
    <t>01珂00琳01守</t>
  </si>
  <si>
    <t>01珂01琳01守</t>
  </si>
  <si>
    <t>buff</t>
  </si>
  <si>
    <t>相对00折提升</t>
  </si>
  <si>
    <t>精1停驻之烟</t>
  </si>
  <si>
    <t>精5停驻之烟</t>
  </si>
  <si>
    <t>精1溢彩荧辉</t>
  </si>
  <si>
    <t>01珂21琳01守</t>
  </si>
  <si>
    <t>11珂00折01守</t>
  </si>
  <si>
    <t>21珂00折01守</t>
  </si>
  <si>
    <t>31珂00折01守</t>
  </si>
  <si>
    <t>21珂00琳01守</t>
  </si>
  <si>
    <t>共鸣链</t>
  </si>
  <si>
    <t>31珂莱塔</t>
  </si>
  <si>
    <t>01琳奈</t>
  </si>
  <si>
    <t>31珂01琳01守</t>
  </si>
  <si>
    <t>抽数</t>
  </si>
  <si>
    <t>角色数</t>
  </si>
  <si>
    <t>武器数</t>
  </si>
  <si>
    <t>配置</t>
  </si>
  <si>
    <t>相对提升</t>
  </si>
  <si>
    <t>每抽dps</t>
  </si>
  <si>
    <t>21卡01夏65风</t>
  </si>
  <si>
    <t>21卡01夏00千</t>
  </si>
  <si>
    <t>21卡01夏21千</t>
  </si>
  <si>
    <t>31珂21琳01守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</si>
</sst>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2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26" applyNumberFormat="0" applyAlignment="0" applyProtection="0">
      <alignment vertical="center"/>
    </xf>
    <xf numFmtId="0" fontId="17" fillId="15" borderId="27" applyNumberFormat="0" applyAlignment="0" applyProtection="0">
      <alignment vertical="center"/>
    </xf>
    <xf numFmtId="0" fontId="18" fillId="15" borderId="26" applyNumberFormat="0" applyAlignment="0" applyProtection="0">
      <alignment vertical="center"/>
    </xf>
    <xf numFmtId="0" fontId="19" fillId="16" borderId="28" applyNumberFormat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0" fillId="0" borderId="0" xfId="0" applyFill="1" applyAlignment="1"/>
    <xf numFmtId="10" fontId="0" fillId="0" borderId="0" xfId="0" applyNumberFormat="1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77" fontId="0" fillId="2" borderId="7" xfId="0" applyNumberFormat="1" applyFill="1" applyBorder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179" fontId="0" fillId="0" borderId="9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0" fontId="0" fillId="5" borderId="9" xfId="0" applyNumberFormat="1" applyFill="1" applyBorder="1" applyAlignment="1">
      <alignment horizontal="center" vertical="center"/>
    </xf>
    <xf numFmtId="9" fontId="0" fillId="5" borderId="9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177" fontId="0" fillId="6" borderId="7" xfId="0" applyNumberForma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10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8" fontId="0" fillId="8" borderId="0" xfId="0" applyNumberFormat="1" applyFill="1" applyAlignment="1">
      <alignment horizontal="center" vertical="center"/>
    </xf>
    <xf numFmtId="0" fontId="0" fillId="8" borderId="0" xfId="0" applyNumberFormat="1" applyFont="1" applyFill="1" applyBorder="1" applyAlignment="1" applyProtection="1">
      <alignment horizontal="center" vertical="center"/>
    </xf>
    <xf numFmtId="9" fontId="0" fillId="8" borderId="0" xfId="0" applyNumberFormat="1" applyFill="1" applyAlignment="1">
      <alignment horizontal="center" vertical="center"/>
    </xf>
    <xf numFmtId="177" fontId="0" fillId="8" borderId="7" xfId="0" applyNumberForma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9" fontId="3" fillId="0" borderId="14" xfId="0" applyNumberFormat="1" applyFont="1" applyBorder="1" applyAlignment="1">
      <alignment horizontal="center" vertical="center"/>
    </xf>
    <xf numFmtId="10" fontId="3" fillId="0" borderId="14" xfId="0" applyNumberFormat="1" applyFont="1" applyBorder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179" fontId="3" fillId="0" borderId="14" xfId="0" applyNumberFormat="1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0" fontId="3" fillId="5" borderId="14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9" fontId="3" fillId="0" borderId="16" xfId="0" applyNumberFormat="1" applyFont="1" applyBorder="1" applyAlignment="1">
      <alignment horizontal="center" vertical="center"/>
    </xf>
    <xf numFmtId="10" fontId="3" fillId="0" borderId="16" xfId="0" applyNumberFormat="1" applyFont="1" applyBorder="1" applyAlignment="1">
      <alignment horizontal="center" vertical="center"/>
    </xf>
    <xf numFmtId="10" fontId="3" fillId="0" borderId="15" xfId="0" applyNumberFormat="1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0" fontId="0" fillId="9" borderId="0" xfId="0" applyFill="1" applyAlignment="1">
      <alignment horizontal="center" vertical="center"/>
    </xf>
    <xf numFmtId="10" fontId="0" fillId="9" borderId="0" xfId="0" applyNumberForma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0" fillId="11" borderId="0" xfId="0" applyNumberFormat="1" applyFill="1" applyAlignment="1">
      <alignment horizontal="center" vertical="center"/>
    </xf>
    <xf numFmtId="10" fontId="0" fillId="11" borderId="0" xfId="0" applyNumberForma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10" fontId="6" fillId="11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0" fontId="0" fillId="10" borderId="0" xfId="0" applyNumberForma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0" fontId="5" fillId="1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0" fontId="0" fillId="0" borderId="9" xfId="0" applyNumberFormat="1" applyFont="1" applyFill="1" applyBorder="1" applyAlignment="1" applyProtection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10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78" fontId="0" fillId="12" borderId="0" xfId="0" applyNumberFormat="1" applyFill="1" applyAlignment="1">
      <alignment horizontal="center" vertical="center"/>
    </xf>
    <xf numFmtId="9" fontId="0" fillId="12" borderId="0" xfId="0" applyNumberFormat="1" applyFill="1" applyAlignment="1">
      <alignment horizontal="center" vertical="center"/>
    </xf>
    <xf numFmtId="177" fontId="0" fillId="12" borderId="0" xfId="0" applyNumberFormat="1" applyFill="1" applyAlignment="1">
      <alignment horizontal="center" vertical="center"/>
    </xf>
    <xf numFmtId="177" fontId="0" fillId="12" borderId="7" xfId="0" applyNumberForma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9" fontId="0" fillId="0" borderId="4" xfId="0" applyNumberForma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center" vertical="center"/>
    </xf>
    <xf numFmtId="10" fontId="0" fillId="12" borderId="6" xfId="0" applyNumberForma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workbookViewId="0">
      <selection activeCell="K3" sqref="K3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1.75082536382536</v>
      </c>
      <c r="U2" s="18">
        <f>SUM($E$3:$E$7)</f>
        <v>1.065</v>
      </c>
      <c r="V2" s="20">
        <f t="shared" ref="V2:V11" si="2">1+$G$8*($I$8-1)</f>
        <v>3.0064</v>
      </c>
      <c r="W2" s="21">
        <v>0.35</v>
      </c>
      <c r="X2" s="19">
        <f t="shared" ref="X2:X12" si="3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13" si="4">Q2*S2*(1+T2)*(1+U2)*V2*(1+W2)*X2*Y2*(1+Z2)*(1+AA2)*(1+AB2)</f>
        <v>29143.3638190557</v>
      </c>
      <c r="AD2" s="13">
        <v>0</v>
      </c>
      <c r="AE2" s="14">
        <f t="shared" ref="AE2:AE7" si="5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v>0.6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f>15%+20%</f>
        <v>0.35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1.75082536382536</v>
      </c>
      <c r="U3" s="18">
        <f t="shared" ref="U3:U6" si="6">SUM($E$3:$E$8)</f>
        <v>1.957</v>
      </c>
      <c r="V3" s="20">
        <f t="shared" si="2"/>
        <v>3.0064</v>
      </c>
      <c r="W3" s="21">
        <f t="shared" ref="W3:W10" si="7">K$3+K$5</f>
        <v>0.6</v>
      </c>
      <c r="X3" s="19">
        <f t="shared" si="3"/>
        <v>0.550756565598006</v>
      </c>
      <c r="Y3" s="19">
        <v>0.8</v>
      </c>
      <c r="Z3" s="22">
        <v>0</v>
      </c>
      <c r="AA3" s="22">
        <v>0</v>
      </c>
      <c r="AB3" s="22">
        <v>0</v>
      </c>
      <c r="AC3" s="23">
        <f t="shared" si="4"/>
        <v>47800.2255619991</v>
      </c>
      <c r="AD3" s="13">
        <v>18</v>
      </c>
      <c r="AE3" s="14">
        <f t="shared" si="5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v>0.12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1.75082536382536</v>
      </c>
      <c r="U4" s="18">
        <f t="shared" si="6"/>
        <v>1.957</v>
      </c>
      <c r="V4" s="20">
        <f t="shared" si="2"/>
        <v>3.0064</v>
      </c>
      <c r="W4" s="21">
        <f t="shared" si="7"/>
        <v>0.6</v>
      </c>
      <c r="X4" s="19">
        <f t="shared" si="3"/>
        <v>0.550756565598006</v>
      </c>
      <c r="Y4" s="19">
        <v>0.8</v>
      </c>
      <c r="Z4" s="22">
        <v>0</v>
      </c>
      <c r="AA4" s="22">
        <v>0</v>
      </c>
      <c r="AB4" s="22">
        <v>0</v>
      </c>
      <c r="AC4" s="23">
        <f t="shared" si="4"/>
        <v>93477.6182630115</v>
      </c>
      <c r="AD4" s="13">
        <v>14.4</v>
      </c>
      <c r="AE4" s="14">
        <f t="shared" si="5"/>
        <v>0.540104154822277</v>
      </c>
      <c r="AF4" s="24">
        <v>90</v>
      </c>
    </row>
    <row r="5" s="1" customFormat="1" spans="2:32">
      <c r="B5" s="25" t="s">
        <v>37</v>
      </c>
      <c r="C5" s="28">
        <f>18%+18%+M3</f>
        <v>0.532</v>
      </c>
      <c r="D5" s="25" t="s">
        <v>38</v>
      </c>
      <c r="E5" s="27">
        <v>0.225</v>
      </c>
      <c r="F5" s="25" t="s">
        <v>39</v>
      </c>
      <c r="G5" s="27"/>
      <c r="H5" s="25" t="s">
        <v>32</v>
      </c>
      <c r="I5" s="27">
        <v>0.72</v>
      </c>
      <c r="J5" s="30" t="s">
        <v>40</v>
      </c>
      <c r="K5" s="27">
        <v>0.25</v>
      </c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1.75082536382536</v>
      </c>
      <c r="U5" s="18">
        <f t="shared" si="6"/>
        <v>1.957</v>
      </c>
      <c r="V5" s="20">
        <f t="shared" si="2"/>
        <v>3.0064</v>
      </c>
      <c r="W5" s="21">
        <f t="shared" si="7"/>
        <v>0.6</v>
      </c>
      <c r="X5" s="19">
        <f t="shared" si="3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4"/>
        <v>55417.5469139616</v>
      </c>
      <c r="AD5" s="13">
        <v>21.6</v>
      </c>
      <c r="AE5" s="14">
        <f t="shared" si="5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>
        <v>0.12</v>
      </c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1.75082536382536</v>
      </c>
      <c r="U6" s="18">
        <f>SUM($E$3:$E$8)-48%</f>
        <v>1.477</v>
      </c>
      <c r="V6" s="20">
        <f t="shared" si="2"/>
        <v>3.0064</v>
      </c>
      <c r="W6" s="21">
        <f t="shared" si="7"/>
        <v>0.6</v>
      </c>
      <c r="X6" s="19">
        <f t="shared" si="3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4"/>
        <v>69630.6166854604</v>
      </c>
      <c r="AD6" s="13">
        <v>28.8</v>
      </c>
      <c r="AE6" s="14">
        <f t="shared" si="5"/>
        <v>0.585393507677898</v>
      </c>
      <c r="AF6" s="24">
        <v>90</v>
      </c>
    </row>
    <row r="7" s="1" customFormat="1" spans="2:32">
      <c r="B7" s="25" t="s">
        <v>46</v>
      </c>
      <c r="C7" s="31">
        <f>22.5%+39%</f>
        <v>0.615</v>
      </c>
      <c r="D7" s="25" t="s">
        <v>47</v>
      </c>
      <c r="E7" s="27"/>
      <c r="F7" s="25" t="s">
        <v>48</v>
      </c>
      <c r="G7" s="27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1.75082536382536</v>
      </c>
      <c r="U7" s="18">
        <f>SUM($E$3:$E$8)+18%</f>
        <v>2.137</v>
      </c>
      <c r="V7" s="20">
        <f t="shared" si="2"/>
        <v>3.0064</v>
      </c>
      <c r="W7" s="21">
        <f t="shared" si="7"/>
        <v>0.6</v>
      </c>
      <c r="X7" s="19">
        <f t="shared" si="3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4"/>
        <v>127536.338791111</v>
      </c>
      <c r="AD7" s="13">
        <v>36</v>
      </c>
      <c r="AE7" s="14">
        <f t="shared" si="5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0.88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1.75082536382536</v>
      </c>
      <c r="U8" s="18">
        <f>SUM($E$3:$E$8)+36%</f>
        <v>2.317</v>
      </c>
      <c r="V8" s="20">
        <f t="shared" si="2"/>
        <v>3.0064</v>
      </c>
      <c r="W8" s="21">
        <f t="shared" si="7"/>
        <v>0.6</v>
      </c>
      <c r="X8" s="19">
        <f t="shared" si="3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4"/>
        <v>323669.146516383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1.75082536382536</v>
      </c>
      <c r="U9" s="18">
        <f>SUM($E$3:$E$8)+36%</f>
        <v>2.317</v>
      </c>
      <c r="V9" s="20">
        <f t="shared" si="2"/>
        <v>3.0064</v>
      </c>
      <c r="W9" s="21">
        <f t="shared" si="7"/>
        <v>0.6</v>
      </c>
      <c r="X9" s="19">
        <f t="shared" si="3"/>
        <v>0.550756565598006</v>
      </c>
      <c r="Y9" s="19">
        <v>0.8</v>
      </c>
      <c r="Z9" s="22">
        <v>0</v>
      </c>
      <c r="AA9" s="22">
        <v>0</v>
      </c>
      <c r="AB9" s="22">
        <v>0.8</v>
      </c>
      <c r="AC9" s="23">
        <f t="shared" si="4"/>
        <v>215764.92010315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</f>
        <v>7.942</v>
      </c>
      <c r="R10" s="19" t="s">
        <v>59</v>
      </c>
      <c r="S10" s="19">
        <f t="shared" si="0"/>
        <v>962</v>
      </c>
      <c r="T10" s="18">
        <f t="shared" si="1"/>
        <v>1.75082536382536</v>
      </c>
      <c r="U10" s="18">
        <f>SUM($E$3:$E$7)</f>
        <v>1.065</v>
      </c>
      <c r="V10" s="20">
        <f t="shared" si="2"/>
        <v>3.0064</v>
      </c>
      <c r="W10" s="21">
        <f t="shared" si="7"/>
        <v>0.6</v>
      </c>
      <c r="X10" s="19">
        <f t="shared" si="3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4"/>
        <v>91982.3384441051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1.52582536382536</v>
      </c>
      <c r="U11" s="18">
        <f>SUM($E$3:$E$8)-12%</f>
        <v>1.837</v>
      </c>
      <c r="V11" s="20">
        <f t="shared" si="2"/>
        <v>3.0064</v>
      </c>
      <c r="W11" s="21">
        <v>0.6</v>
      </c>
      <c r="X11" s="19">
        <f t="shared" si="3"/>
        <v>0.550756565598006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4"/>
        <v>124457.871499496</v>
      </c>
    </row>
    <row r="12" s="1" customFormat="1" ht="14.75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1.75082536382536</v>
      </c>
      <c r="U12" s="42">
        <f>SUM($E$3:$E$5)</f>
        <v>0.945</v>
      </c>
      <c r="V12" s="44">
        <f>1+($G$8-0.125)*($I$8-1-0.25)</f>
        <v>2.53265</v>
      </c>
      <c r="W12" s="42">
        <v>0.15</v>
      </c>
      <c r="X12" s="43">
        <f t="shared" si="3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4"/>
        <v>26750.7158331532</v>
      </c>
    </row>
    <row r="13" s="1" customFormat="1" ht="15" spans="2:32">
      <c r="B13" s="90" t="s">
        <v>62</v>
      </c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2"/>
      <c r="N13" s="6"/>
      <c r="P13" s="93" t="s">
        <v>63</v>
      </c>
      <c r="Q13" s="94">
        <f>41.76%*2+20.55%*5+133.61%</f>
        <v>3.1988</v>
      </c>
      <c r="R13" s="95" t="s">
        <v>64</v>
      </c>
      <c r="S13" s="95">
        <f>C$15</f>
        <v>875</v>
      </c>
      <c r="T13" s="94">
        <f>(C$16+C$17+C$18+C$19)+(C$20+C$21)/S$4</f>
        <v>2.12482536382536</v>
      </c>
      <c r="U13" s="94">
        <f>E$15+E$20</f>
        <v>0.94</v>
      </c>
      <c r="V13" s="96">
        <f>G$20*(I$20-1)+1</f>
        <v>2.1528</v>
      </c>
      <c r="W13" s="97">
        <f>K$15</f>
        <v>0.15</v>
      </c>
      <c r="X13" s="95">
        <f>AE$2</f>
        <v>0.50131926121372</v>
      </c>
      <c r="Y13" s="95">
        <v>0.8</v>
      </c>
      <c r="Z13" s="97"/>
      <c r="AA13" s="97"/>
      <c r="AB13" s="98"/>
      <c r="AC13" s="99">
        <f t="shared" si="4"/>
        <v>16847.2307573442</v>
      </c>
    </row>
    <row r="14" s="1" customFormat="1" spans="2:32">
      <c r="B14" s="100" t="s">
        <v>17</v>
      </c>
      <c r="C14" s="101"/>
      <c r="D14" s="100" t="s">
        <v>6</v>
      </c>
      <c r="E14" s="101"/>
      <c r="F14" s="100" t="s">
        <v>18</v>
      </c>
      <c r="G14" s="101"/>
      <c r="H14" s="100" t="s">
        <v>19</v>
      </c>
      <c r="I14" s="101"/>
      <c r="J14" s="102" t="s">
        <v>8</v>
      </c>
      <c r="K14" s="102"/>
      <c r="L14" s="100" t="s">
        <v>20</v>
      </c>
      <c r="M14" s="101"/>
      <c r="N14" s="6"/>
      <c r="P14" s="93" t="s">
        <v>65</v>
      </c>
      <c r="Q14" s="94">
        <f>86.16%*3</f>
        <v>2.5848</v>
      </c>
      <c r="R14" s="95" t="s">
        <v>22</v>
      </c>
      <c r="S14" s="95">
        <f t="shared" ref="S14:S22" si="8">C$15</f>
        <v>875</v>
      </c>
      <c r="T14" s="94">
        <f t="shared" ref="T14:T22" si="9">(C$16+C$17+C$18+C$19)+(C$20+C$21)/S$4</f>
        <v>2.12482536382536</v>
      </c>
      <c r="U14" s="94">
        <f t="shared" ref="U14:U22" si="10">E$15+E$20</f>
        <v>0.94</v>
      </c>
      <c r="V14" s="96">
        <f t="shared" ref="V14:V22" si="11">G$20*(I$20-1)+1</f>
        <v>2.1528</v>
      </c>
      <c r="W14" s="97">
        <f t="shared" ref="W14:W22" si="12">K$15</f>
        <v>0.15</v>
      </c>
      <c r="X14" s="95">
        <f t="shared" ref="X14:X22" si="13">AE$2</f>
        <v>0.50131926121372</v>
      </c>
      <c r="Y14" s="95">
        <v>0.8</v>
      </c>
      <c r="Z14" s="97"/>
      <c r="AA14" s="97"/>
      <c r="AB14" s="98"/>
      <c r="AC14" s="99">
        <f t="shared" ref="AC13:AC22" si="14">Q14*S14*(1+T14)*(1+U14)*V14*(1+W14)*X14*Y14*(1+Z14)*(1+AA14)*(1+AB14)</f>
        <v>13613.4556901286</v>
      </c>
    </row>
    <row r="15" s="1" customFormat="1" spans="2:32">
      <c r="B15" s="25" t="s">
        <v>23</v>
      </c>
      <c r="C15" s="26">
        <f>375+500</f>
        <v>875</v>
      </c>
      <c r="D15" s="25" t="s">
        <v>24</v>
      </c>
      <c r="E15" s="28">
        <v>0.6</v>
      </c>
      <c r="F15" s="25" t="s">
        <v>25</v>
      </c>
      <c r="G15" s="27">
        <v>0.13</v>
      </c>
      <c r="H15" s="25" t="s">
        <v>25</v>
      </c>
      <c r="I15" s="28">
        <v>1.5</v>
      </c>
      <c r="J15" s="103" t="s">
        <v>26</v>
      </c>
      <c r="K15" s="104">
        <v>0.15</v>
      </c>
      <c r="L15" s="25" t="s">
        <v>27</v>
      </c>
      <c r="M15" s="27">
        <f>8.6%*2</f>
        <v>0.172</v>
      </c>
      <c r="N15" s="6"/>
      <c r="P15" s="93" t="s">
        <v>66</v>
      </c>
      <c r="Q15" s="94">
        <f>98.42%*3</f>
        <v>2.9526</v>
      </c>
      <c r="R15" s="95" t="s">
        <v>29</v>
      </c>
      <c r="S15" s="95">
        <f t="shared" si="8"/>
        <v>875</v>
      </c>
      <c r="T15" s="94">
        <f t="shared" si="9"/>
        <v>2.12482536382536</v>
      </c>
      <c r="U15" s="94">
        <f t="shared" si="10"/>
        <v>0.94</v>
      </c>
      <c r="V15" s="96">
        <f t="shared" si="11"/>
        <v>2.1528</v>
      </c>
      <c r="W15" s="97">
        <f t="shared" si="12"/>
        <v>0.15</v>
      </c>
      <c r="X15" s="95">
        <f t="shared" si="13"/>
        <v>0.50131926121372</v>
      </c>
      <c r="Y15" s="95">
        <v>0.8</v>
      </c>
      <c r="Z15" s="97"/>
      <c r="AA15" s="97"/>
      <c r="AB15" s="98"/>
      <c r="AC15" s="99">
        <f t="shared" si="14"/>
        <v>15550.5606896757</v>
      </c>
    </row>
    <row r="16" s="1" customFormat="1" spans="2:32">
      <c r="B16" s="25" t="s">
        <v>30</v>
      </c>
      <c r="C16" s="28">
        <f>12%+53.9%</f>
        <v>0.659</v>
      </c>
      <c r="D16" s="25" t="s">
        <v>67</v>
      </c>
      <c r="E16" s="28"/>
      <c r="F16" s="25" t="s">
        <v>32</v>
      </c>
      <c r="G16" s="105">
        <v>0</v>
      </c>
      <c r="H16" s="25" t="s">
        <v>33</v>
      </c>
      <c r="I16" s="27">
        <f>M18</f>
        <v>0.81</v>
      </c>
      <c r="J16" s="30" t="s">
        <v>68</v>
      </c>
      <c r="K16" s="27"/>
      <c r="L16" s="25" t="s">
        <v>69</v>
      </c>
      <c r="M16" s="27">
        <f>8.6%*2</f>
        <v>0.172</v>
      </c>
      <c r="N16" s="6"/>
      <c r="P16" s="93" t="s">
        <v>70</v>
      </c>
      <c r="Q16" s="94">
        <f>65.21%*2</f>
        <v>1.3042</v>
      </c>
      <c r="R16" s="95" t="s">
        <v>64</v>
      </c>
      <c r="S16" s="95">
        <f t="shared" si="8"/>
        <v>875</v>
      </c>
      <c r="T16" s="94">
        <f t="shared" si="9"/>
        <v>2.12482536382536</v>
      </c>
      <c r="U16" s="94">
        <f t="shared" si="10"/>
        <v>0.94</v>
      </c>
      <c r="V16" s="96">
        <f>(G$20-0.125)*(I$20-1)+1</f>
        <v>1.98905</v>
      </c>
      <c r="W16" s="97">
        <f t="shared" si="12"/>
        <v>0.15</v>
      </c>
      <c r="X16" s="95">
        <f t="shared" si="13"/>
        <v>0.50131926121372</v>
      </c>
      <c r="Y16" s="95">
        <v>0.8</v>
      </c>
      <c r="Z16" s="97"/>
      <c r="AA16" s="97"/>
      <c r="AB16" s="98"/>
      <c r="AC16" s="99">
        <f t="shared" si="14"/>
        <v>6346.40302995152</v>
      </c>
    </row>
    <row r="17" s="1" customFormat="1" spans="2:29">
      <c r="B17" s="25" t="s">
        <v>37</v>
      </c>
      <c r="C17" s="28">
        <f>18%+18%+M15</f>
        <v>0.532</v>
      </c>
      <c r="D17" s="25" t="s">
        <v>38</v>
      </c>
      <c r="E17" s="28"/>
      <c r="F17" s="25" t="s">
        <v>39</v>
      </c>
      <c r="G17" s="27"/>
      <c r="H17" s="25" t="s">
        <v>39</v>
      </c>
      <c r="I17" s="27"/>
      <c r="J17" s="30"/>
      <c r="K17" s="27"/>
      <c r="L17" s="25" t="s">
        <v>18</v>
      </c>
      <c r="M17" s="27">
        <f>8.1*5%</f>
        <v>0.405</v>
      </c>
      <c r="N17" s="6"/>
      <c r="P17" s="93" t="s">
        <v>71</v>
      </c>
      <c r="Q17" s="94">
        <f>65.21%*4</f>
        <v>2.6084</v>
      </c>
      <c r="R17" s="95" t="s">
        <v>64</v>
      </c>
      <c r="S17" s="95">
        <f t="shared" si="8"/>
        <v>875</v>
      </c>
      <c r="T17" s="94">
        <f t="shared" si="9"/>
        <v>2.12482536382536</v>
      </c>
      <c r="U17" s="94">
        <f t="shared" si="10"/>
        <v>0.94</v>
      </c>
      <c r="V17" s="96">
        <f t="shared" si="11"/>
        <v>2.1528</v>
      </c>
      <c r="W17" s="97">
        <f t="shared" si="12"/>
        <v>0.15</v>
      </c>
      <c r="X17" s="95">
        <f t="shared" si="13"/>
        <v>0.50131926121372</v>
      </c>
      <c r="Y17" s="95">
        <v>0.8</v>
      </c>
      <c r="Z17" s="97"/>
      <c r="AA17" s="97"/>
      <c r="AB17" s="98"/>
      <c r="AC17" s="99">
        <f t="shared" si="14"/>
        <v>13737.7506275656</v>
      </c>
    </row>
    <row r="18" s="1" customFormat="1" spans="2:29">
      <c r="B18" s="25" t="s">
        <v>42</v>
      </c>
      <c r="C18" s="31">
        <v>0.18</v>
      </c>
      <c r="D18" s="25" t="s">
        <v>43</v>
      </c>
      <c r="E18" s="28"/>
      <c r="F18" s="25" t="s">
        <v>33</v>
      </c>
      <c r="G18" s="27">
        <f>M17+22%</f>
        <v>0.625</v>
      </c>
      <c r="H18" s="25"/>
      <c r="I18" s="27"/>
      <c r="J18" s="30"/>
      <c r="K18" s="27"/>
      <c r="L18" s="25" t="s">
        <v>44</v>
      </c>
      <c r="M18" s="28">
        <f>16.2%*5</f>
        <v>0.81</v>
      </c>
      <c r="N18" s="6"/>
      <c r="P18" s="93" t="s">
        <v>72</v>
      </c>
      <c r="Q18" s="94">
        <f>65.21%*15</f>
        <v>9.7815</v>
      </c>
      <c r="R18" s="95" t="s">
        <v>64</v>
      </c>
      <c r="S18" s="95">
        <f t="shared" si="8"/>
        <v>875</v>
      </c>
      <c r="T18" s="94">
        <f t="shared" si="9"/>
        <v>2.12482536382536</v>
      </c>
      <c r="U18" s="94">
        <f t="shared" si="10"/>
        <v>0.94</v>
      </c>
      <c r="V18" s="96">
        <f>G$20*(I$20-1+25%)+1</f>
        <v>2.3728</v>
      </c>
      <c r="W18" s="97">
        <f t="shared" si="12"/>
        <v>0.15</v>
      </c>
      <c r="X18" s="95">
        <f t="shared" si="13"/>
        <v>0.50131926121372</v>
      </c>
      <c r="Y18" s="95">
        <v>0.8</v>
      </c>
      <c r="Z18" s="97"/>
      <c r="AA18" s="97"/>
      <c r="AB18" s="98"/>
      <c r="AC18" s="99">
        <f t="shared" si="14"/>
        <v>56781.1710721285</v>
      </c>
    </row>
    <row r="19" s="1" customFormat="1" spans="2:29">
      <c r="B19" s="25" t="s">
        <v>46</v>
      </c>
      <c r="C19" s="31">
        <v>0.39</v>
      </c>
      <c r="D19" s="25" t="s">
        <v>47</v>
      </c>
      <c r="E19" s="105"/>
      <c r="F19" s="25" t="s">
        <v>48</v>
      </c>
      <c r="G19" s="27">
        <v>0.125</v>
      </c>
      <c r="H19" s="25" t="s">
        <v>48</v>
      </c>
      <c r="I19" s="27">
        <v>0</v>
      </c>
      <c r="J19" s="30"/>
      <c r="K19" s="27"/>
      <c r="L19" s="25"/>
      <c r="M19" s="26"/>
      <c r="N19" s="6"/>
      <c r="P19" s="93" t="s">
        <v>73</v>
      </c>
      <c r="Q19" s="94">
        <f>83.01%*3</f>
        <v>2.4903</v>
      </c>
      <c r="R19" s="95" t="s">
        <v>74</v>
      </c>
      <c r="S19" s="95">
        <f t="shared" si="8"/>
        <v>875</v>
      </c>
      <c r="T19" s="94">
        <f t="shared" si="9"/>
        <v>2.12482536382536</v>
      </c>
      <c r="U19" s="94">
        <f t="shared" si="10"/>
        <v>0.94</v>
      </c>
      <c r="V19" s="96">
        <f t="shared" si="11"/>
        <v>2.1528</v>
      </c>
      <c r="W19" s="97">
        <f t="shared" si="12"/>
        <v>0.15</v>
      </c>
      <c r="X19" s="95">
        <f t="shared" si="13"/>
        <v>0.50131926121372</v>
      </c>
      <c r="Y19" s="95">
        <v>0.8</v>
      </c>
      <c r="Z19" s="97"/>
      <c r="AA19" s="97"/>
      <c r="AB19" s="98"/>
      <c r="AC19" s="99">
        <f t="shared" si="14"/>
        <v>13115.7492669171</v>
      </c>
    </row>
    <row r="20" s="1" customFormat="1" spans="2:29">
      <c r="B20" s="25" t="s">
        <v>50</v>
      </c>
      <c r="C20" s="26">
        <v>350</v>
      </c>
      <c r="D20" s="25" t="s">
        <v>75</v>
      </c>
      <c r="E20" s="28">
        <f>18%+16%</f>
        <v>0.34</v>
      </c>
      <c r="F20" s="32" t="s">
        <v>52</v>
      </c>
      <c r="G20" s="33">
        <f>MIN(100%,SUM(G15:G19))</f>
        <v>0.88</v>
      </c>
      <c r="H20" s="32" t="s">
        <v>53</v>
      </c>
      <c r="I20" s="34">
        <f>SUM(I15:I19)</f>
        <v>2.31</v>
      </c>
      <c r="J20" s="30"/>
      <c r="K20" s="27"/>
      <c r="L20" s="25"/>
      <c r="M20" s="26"/>
      <c r="N20" s="6"/>
      <c r="P20" s="106" t="s">
        <v>76</v>
      </c>
      <c r="Q20" s="94">
        <v>2.9822</v>
      </c>
      <c r="R20" s="95" t="s">
        <v>64</v>
      </c>
      <c r="S20" s="95">
        <f t="shared" si="8"/>
        <v>875</v>
      </c>
      <c r="T20" s="94">
        <f t="shared" si="9"/>
        <v>2.12482536382536</v>
      </c>
      <c r="U20" s="94">
        <f t="shared" si="10"/>
        <v>0.94</v>
      </c>
      <c r="V20" s="96">
        <f t="shared" si="11"/>
        <v>2.1528</v>
      </c>
      <c r="W20" s="97">
        <f t="shared" si="12"/>
        <v>0.15</v>
      </c>
      <c r="X20" s="95">
        <f t="shared" si="13"/>
        <v>0.50131926121372</v>
      </c>
      <c r="Y20" s="95">
        <v>0.8</v>
      </c>
      <c r="Z20" s="97"/>
      <c r="AA20" s="97"/>
      <c r="AB20" s="98"/>
      <c r="AC20" s="99">
        <f t="shared" si="14"/>
        <v>15706.4560349356</v>
      </c>
    </row>
    <row r="21" s="1" customFormat="1" spans="2:29">
      <c r="B21" s="35" t="s">
        <v>55</v>
      </c>
      <c r="C21" s="36"/>
      <c r="D21" s="35"/>
      <c r="E21" s="37"/>
      <c r="F21" s="35"/>
      <c r="G21" s="37"/>
      <c r="H21" s="35"/>
      <c r="I21" s="36"/>
      <c r="J21" s="39"/>
      <c r="K21" s="38"/>
      <c r="L21" s="35"/>
      <c r="M21" s="36"/>
      <c r="N21" s="6"/>
      <c r="P21" s="93" t="s">
        <v>77</v>
      </c>
      <c r="Q21" s="94">
        <f>119.29%*3</f>
        <v>3.5787</v>
      </c>
      <c r="R21" s="95" t="s">
        <v>64</v>
      </c>
      <c r="S21" s="95">
        <f t="shared" si="8"/>
        <v>875</v>
      </c>
      <c r="T21" s="94">
        <f t="shared" si="9"/>
        <v>2.12482536382536</v>
      </c>
      <c r="U21" s="94">
        <f t="shared" si="10"/>
        <v>0.94</v>
      </c>
      <c r="V21" s="96">
        <f t="shared" si="11"/>
        <v>2.1528</v>
      </c>
      <c r="W21" s="97">
        <f t="shared" si="12"/>
        <v>0.15</v>
      </c>
      <c r="X21" s="95">
        <f t="shared" si="13"/>
        <v>0.50131926121372</v>
      </c>
      <c r="Y21" s="95">
        <v>0.8</v>
      </c>
      <c r="Z21" s="97"/>
      <c r="AA21" s="97"/>
      <c r="AB21" s="98"/>
      <c r="AC21" s="99">
        <f t="shared" si="14"/>
        <v>18848.063246001</v>
      </c>
    </row>
    <row r="22" s="1" customFormat="1" ht="15" spans="2:29">
      <c r="B22" s="107" t="s">
        <v>78</v>
      </c>
      <c r="C22" s="6"/>
      <c r="D22" s="6"/>
      <c r="E22" s="6"/>
      <c r="F22" s="6"/>
      <c r="G22" s="40"/>
      <c r="H22" s="6"/>
      <c r="I22" s="6"/>
      <c r="J22" s="6"/>
      <c r="K22" s="6"/>
      <c r="L22" s="6"/>
      <c r="M22" s="6"/>
      <c r="N22" s="6"/>
      <c r="P22" s="93" t="s">
        <v>61</v>
      </c>
      <c r="Q22" s="94">
        <v>3.1</v>
      </c>
      <c r="R22" s="95" t="s">
        <v>61</v>
      </c>
      <c r="S22" s="95">
        <f t="shared" si="8"/>
        <v>875</v>
      </c>
      <c r="T22" s="94">
        <f t="shared" si="9"/>
        <v>2.12482536382536</v>
      </c>
      <c r="U22" s="94">
        <f t="shared" si="10"/>
        <v>0.94</v>
      </c>
      <c r="V22" s="96">
        <f t="shared" si="11"/>
        <v>2.1528</v>
      </c>
      <c r="W22" s="97">
        <f t="shared" si="12"/>
        <v>0.15</v>
      </c>
      <c r="X22" s="95">
        <f t="shared" si="13"/>
        <v>0.50131926121372</v>
      </c>
      <c r="Y22" s="95">
        <v>0.8</v>
      </c>
      <c r="Z22" s="97"/>
      <c r="AA22" s="97"/>
      <c r="AB22" s="98"/>
      <c r="AC22" s="99">
        <f t="shared" si="14"/>
        <v>16326.8773751929</v>
      </c>
    </row>
    <row r="23" s="1" customFormat="1" spans="2:29">
      <c r="B23" s="71"/>
      <c r="C23" s="71" t="s">
        <v>79</v>
      </c>
      <c r="D23" s="71" t="s">
        <v>80</v>
      </c>
      <c r="E23" s="71" t="s">
        <v>81</v>
      </c>
      <c r="F23" s="72"/>
      <c r="G23" s="40"/>
      <c r="H23" s="6"/>
      <c r="I23" s="6"/>
      <c r="J23" s="6"/>
      <c r="K23" s="6"/>
      <c r="L23" s="6"/>
      <c r="M23" s="6"/>
      <c r="N23" s="6"/>
      <c r="Q23" s="108"/>
      <c r="U23" s="2"/>
      <c r="V23" s="108"/>
      <c r="AB23" s="4"/>
      <c r="AC23" s="4"/>
    </row>
    <row r="24" s="1" customFormat="1" spans="2:29">
      <c r="B24" s="73" t="s">
        <v>82</v>
      </c>
      <c r="C24" s="73">
        <f>SUM(AC2:AC12)</f>
        <v>1205630.70243089</v>
      </c>
      <c r="D24" s="73">
        <f>C24/E24</f>
        <v>48225.2280972355</v>
      </c>
      <c r="E24" s="72">
        <v>25</v>
      </c>
      <c r="F24" s="72"/>
      <c r="G24" s="40"/>
      <c r="H24" s="6"/>
      <c r="I24" s="6"/>
      <c r="J24" s="6"/>
      <c r="K24" s="6"/>
      <c r="L24" s="6"/>
      <c r="M24" s="6"/>
      <c r="N24" s="6"/>
      <c r="Q24" s="108"/>
      <c r="U24" s="2"/>
      <c r="V24" s="108"/>
      <c r="AB24" s="4"/>
      <c r="AC24" s="4"/>
    </row>
    <row r="25" s="1" customFormat="1" spans="2:29">
      <c r="B25" s="73" t="s">
        <v>62</v>
      </c>
      <c r="C25" s="73">
        <f>SUM(AC13:AC22)</f>
        <v>186873.717789841</v>
      </c>
      <c r="D25" s="73">
        <f>C25/E24</f>
        <v>7474.94871159363</v>
      </c>
      <c r="E25" s="40"/>
      <c r="F25" s="6"/>
      <c r="G25" s="40"/>
      <c r="H25" s="6"/>
      <c r="I25" s="6"/>
      <c r="J25" s="6"/>
      <c r="K25" s="6"/>
      <c r="L25" s="6"/>
      <c r="M25" s="6"/>
      <c r="N25" s="6"/>
      <c r="Q25" s="108"/>
      <c r="V25" s="108"/>
      <c r="AB25" s="4"/>
      <c r="AC25" s="4"/>
    </row>
    <row r="26" s="1" customFormat="1" spans="2:29">
      <c r="B26" s="73" t="s">
        <v>83</v>
      </c>
      <c r="C26" s="73">
        <v>50000</v>
      </c>
      <c r="D26" s="73">
        <f>C26/E24</f>
        <v>2000</v>
      </c>
      <c r="E26" s="6"/>
      <c r="F26" s="6"/>
      <c r="G26" s="40"/>
      <c r="H26" s="6"/>
      <c r="I26" s="6"/>
      <c r="J26" s="6"/>
      <c r="K26" s="6"/>
      <c r="L26" s="6"/>
      <c r="M26" s="6"/>
      <c r="N26" s="6"/>
      <c r="Q26" s="74"/>
      <c r="U26" s="2"/>
      <c r="V26" s="2"/>
      <c r="AB26" s="4"/>
      <c r="AC26" s="4"/>
    </row>
    <row r="27" s="1" customFormat="1" spans="2:29">
      <c r="B27" s="73" t="s">
        <v>84</v>
      </c>
      <c r="C27" s="73">
        <f>C24+C25+C26</f>
        <v>1442504.42022073</v>
      </c>
      <c r="D27" s="73">
        <f>C27/E24</f>
        <v>57700.1768088291</v>
      </c>
      <c r="E27" s="6"/>
      <c r="F27" s="6"/>
      <c r="G27" s="40"/>
      <c r="H27" s="6"/>
      <c r="I27" s="6"/>
      <c r="J27" s="6"/>
      <c r="K27" s="6"/>
      <c r="L27" s="6"/>
      <c r="M27" s="6"/>
      <c r="N27" s="6"/>
      <c r="Q27" s="2"/>
      <c r="U27" s="2"/>
      <c r="V27" s="3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N28" s="6"/>
      <c r="Q28" s="2"/>
      <c r="U28" s="2"/>
      <c r="V28" s="3"/>
      <c r="AB28" s="4"/>
      <c r="AC28" s="4"/>
    </row>
    <row r="29" s="1" customFormat="1" ht="20" customHeight="1" spans="2:29">
      <c r="B29" s="73"/>
      <c r="C29" s="73"/>
      <c r="D29" s="73"/>
      <c r="E29" s="6"/>
      <c r="F29" s="73"/>
      <c r="G29" s="2"/>
      <c r="N29" s="6"/>
      <c r="Q29" s="2"/>
      <c r="U29" s="2"/>
      <c r="V29" s="3"/>
      <c r="AB29" s="4"/>
      <c r="AC29" s="4"/>
    </row>
    <row r="30" s="1" customFormat="1" ht="20" customHeight="1" spans="2:29">
      <c r="B30" s="73"/>
      <c r="C30" s="73"/>
      <c r="D30" s="73"/>
      <c r="E30" s="6"/>
      <c r="F30" s="73"/>
      <c r="G30" s="2"/>
      <c r="N30" s="6"/>
      <c r="Q30" s="2"/>
      <c r="U30" s="2"/>
      <c r="V30" s="3"/>
      <c r="AB30" s="4"/>
      <c r="AC30" s="4"/>
    </row>
    <row r="31" s="1" customFormat="1" ht="20" customHeight="1" spans="2:29">
      <c r="B31" s="6"/>
      <c r="C31" s="6"/>
      <c r="D31" s="6"/>
      <c r="E31" s="6"/>
      <c r="F31" s="6"/>
      <c r="G31" s="2"/>
      <c r="N31" s="6"/>
      <c r="Q31" s="2"/>
      <c r="U31" s="2"/>
      <c r="V31" s="3"/>
      <c r="AB31" s="4"/>
      <c r="AC31" s="4"/>
    </row>
    <row r="32" s="1" customFormat="1" ht="20" customHeight="1" spans="2:29">
      <c r="B32" s="73"/>
      <c r="C32" s="73"/>
      <c r="D32" s="73"/>
      <c r="E32" s="6"/>
      <c r="F32" s="73"/>
      <c r="G32" s="2"/>
      <c r="N32" s="6"/>
      <c r="Q32" s="2"/>
      <c r="U32" s="2"/>
      <c r="V32" s="3"/>
      <c r="AB32" s="4"/>
      <c r="AC32" s="4"/>
    </row>
    <row r="33" s="1" customFormat="1" ht="20" customHeight="1" spans="2:29">
      <c r="B33" s="73"/>
      <c r="C33" s="73"/>
      <c r="D33" s="73"/>
      <c r="E33" s="6"/>
      <c r="F33" s="73"/>
      <c r="G33" s="2"/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N34" s="6"/>
      <c r="Q34" s="2"/>
      <c r="U34" s="2"/>
      <c r="V34" s="3"/>
      <c r="AB34" s="4"/>
      <c r="AC34" s="4"/>
    </row>
    <row r="35" s="1" customFormat="1" spans="2:29">
      <c r="B35" s="73"/>
      <c r="C35" s="73"/>
      <c r="D35" s="73"/>
      <c r="E35" s="6"/>
      <c r="F35" s="73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R43" s="1"/>
      <c r="S43" s="1"/>
      <c r="T43" s="1"/>
      <c r="U43" s="2"/>
      <c r="V43" s="3"/>
      <c r="W43" s="1"/>
      <c r="X43" s="1"/>
      <c r="Y43" s="1"/>
      <c r="Z43" s="1"/>
      <c r="AA43" s="1"/>
      <c r="AB43" s="4"/>
      <c r="AC43" s="4"/>
    </row>
    <row r="44" s="1" customFormat="1" spans="2:29">
      <c r="G44" s="2"/>
      <c r="N44" s="6"/>
      <c r="Q44" s="2"/>
      <c r="R44" s="1"/>
      <c r="S44" s="1"/>
      <c r="T44" s="1"/>
      <c r="U44" s="2"/>
      <c r="V44" s="3"/>
      <c r="W44" s="1"/>
      <c r="X44" s="1"/>
      <c r="Y44" s="1"/>
      <c r="Z44" s="1"/>
      <c r="AA44" s="1"/>
      <c r="AB44" s="4"/>
      <c r="AC44" s="4"/>
    </row>
    <row r="45" s="1" customFormat="1" spans="2:29">
      <c r="G45" s="2"/>
      <c r="N45" s="6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spans="2:29">
      <c r="G46" s="2"/>
      <c r="N46" s="6"/>
      <c r="Q46" s="2"/>
      <c r="R46" s="1"/>
      <c r="S46" s="1"/>
      <c r="T46" s="1"/>
      <c r="U46" s="2"/>
      <c r="V46" s="3"/>
      <c r="W46" s="1"/>
      <c r="X46" s="1"/>
      <c r="Y46" s="1"/>
      <c r="Z46" s="1"/>
      <c r="AA46" s="1"/>
      <c r="AB46" s="4"/>
      <c r="AC46" s="4"/>
    </row>
    <row r="47" s="1" customFormat="1" spans="2:29">
      <c r="G47" s="2"/>
      <c r="N47" s="6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2:29">
      <c r="G48" s="2"/>
      <c r="N48" s="6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N49" s="6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tabSelected="1" workbookViewId="0">
      <selection activeCell="N27" sqref="N27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14" style="2" customWidth="1"/>
    <col min="8" max="8" width="6.54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6.2727272727273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customHeight="1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customHeigh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2.09582536382536</v>
      </c>
      <c r="U2" s="18">
        <f>SUM($E$3:$E$7)</f>
        <v>1.225</v>
      </c>
      <c r="V2" s="20">
        <f t="shared" ref="V2:V11" si="2">1+$G$8*($I$8-1)</f>
        <v>3.0064</v>
      </c>
      <c r="W2" s="21">
        <v>0.35</v>
      </c>
      <c r="X2" s="19">
        <f t="shared" ref="X2:X12" si="3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2" si="4">Q2*S2*(1+T2)*(1+U2)*V2*(1+W2)*X2*Y2*(1+Z2)*(1+AA2)*(1+AB2)</f>
        <v>35339.7173184102</v>
      </c>
      <c r="AD2" s="13">
        <v>0</v>
      </c>
      <c r="AE2" s="14">
        <f t="shared" ref="AE2:AE7" si="5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f>30%+24%</f>
        <v>0.54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v>0.3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2.09582536382536</v>
      </c>
      <c r="U3" s="18">
        <f>SUM($E$3:$E$8)</f>
        <v>2.117</v>
      </c>
      <c r="V3" s="20">
        <f t="shared" si="2"/>
        <v>3.0064</v>
      </c>
      <c r="W3" s="21">
        <f t="shared" ref="W3:W10" si="6">K$3+K$5</f>
        <v>0.3</v>
      </c>
      <c r="X3" s="19">
        <f t="shared" si="3"/>
        <v>0.550756565598006</v>
      </c>
      <c r="Y3" s="19">
        <v>0.8</v>
      </c>
      <c r="Z3" s="22">
        <v>0</v>
      </c>
      <c r="AA3" s="22">
        <v>0</v>
      </c>
      <c r="AB3" s="22">
        <v>0</v>
      </c>
      <c r="AC3" s="23">
        <f t="shared" si="4"/>
        <v>46073.608468137</v>
      </c>
      <c r="AD3" s="13">
        <v>18</v>
      </c>
      <c r="AE3" s="14">
        <f t="shared" si="5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f>12%+10%+24%</f>
        <v>0.46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2.09582536382536</v>
      </c>
      <c r="U4" s="18">
        <f>SUM($E$3:$E$8)</f>
        <v>2.117</v>
      </c>
      <c r="V4" s="20">
        <f t="shared" si="2"/>
        <v>3.0064</v>
      </c>
      <c r="W4" s="21">
        <f t="shared" si="6"/>
        <v>0.3</v>
      </c>
      <c r="X4" s="19">
        <f t="shared" si="3"/>
        <v>0.550756565598006</v>
      </c>
      <c r="Y4" s="19">
        <v>0.8</v>
      </c>
      <c r="Z4" s="22">
        <v>0</v>
      </c>
      <c r="AA4" s="22">
        <v>0</v>
      </c>
      <c r="AB4" s="22">
        <v>0</v>
      </c>
      <c r="AC4" s="23">
        <f t="shared" si="4"/>
        <v>90101.0640378208</v>
      </c>
      <c r="AD4" s="13">
        <v>14.4</v>
      </c>
      <c r="AE4" s="14">
        <f t="shared" si="5"/>
        <v>0.540104154822277</v>
      </c>
      <c r="AF4" s="24">
        <v>90</v>
      </c>
    </row>
    <row r="5" s="1" customFormat="1" spans="2:32">
      <c r="B5" s="25" t="s">
        <v>37</v>
      </c>
      <c r="C5" s="28">
        <f>18%+18%+M3</f>
        <v>0.532</v>
      </c>
      <c r="D5" s="25" t="s">
        <v>38</v>
      </c>
      <c r="E5" s="27">
        <v>0.225</v>
      </c>
      <c r="F5" s="25" t="s">
        <v>39</v>
      </c>
      <c r="G5" s="27"/>
      <c r="H5" s="25" t="s">
        <v>32</v>
      </c>
      <c r="I5" s="27">
        <v>0.72</v>
      </c>
      <c r="J5" s="30" t="s">
        <v>40</v>
      </c>
      <c r="K5" s="27"/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2.09582536382536</v>
      </c>
      <c r="U5" s="18">
        <f>SUM($E$3:$E$8)</f>
        <v>2.117</v>
      </c>
      <c r="V5" s="20">
        <f t="shared" si="2"/>
        <v>3.0064</v>
      </c>
      <c r="W5" s="21">
        <f t="shared" si="6"/>
        <v>0.3</v>
      </c>
      <c r="X5" s="19">
        <f t="shared" si="3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4"/>
        <v>53415.7805482894</v>
      </c>
      <c r="AD5" s="13">
        <v>21.6</v>
      </c>
      <c r="AE5" s="14">
        <f t="shared" si="5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/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2.09582536382536</v>
      </c>
      <c r="U6" s="18">
        <f>SUM($E$3:$E$8)-48%</f>
        <v>1.637</v>
      </c>
      <c r="V6" s="20">
        <f t="shared" si="2"/>
        <v>3.0064</v>
      </c>
      <c r="W6" s="21">
        <f t="shared" si="6"/>
        <v>0.3</v>
      </c>
      <c r="X6" s="19">
        <f t="shared" si="3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4"/>
        <v>67783.0596300081</v>
      </c>
      <c r="AD6" s="13">
        <v>28.8</v>
      </c>
      <c r="AE6" s="14">
        <f t="shared" si="5"/>
        <v>0.585393507677898</v>
      </c>
      <c r="AF6" s="24">
        <v>90</v>
      </c>
    </row>
    <row r="7" s="1" customFormat="1" spans="2:32">
      <c r="B7" s="25" t="s">
        <v>46</v>
      </c>
      <c r="C7" s="31">
        <f>27%+39%+30%</f>
        <v>0.96</v>
      </c>
      <c r="D7" s="25" t="s">
        <v>47</v>
      </c>
      <c r="E7" s="27"/>
      <c r="F7" s="25" t="s">
        <v>48</v>
      </c>
      <c r="G7" s="27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2.09582536382536</v>
      </c>
      <c r="U7" s="18">
        <f>SUM($E$3:$E$8)+18%</f>
        <v>2.297</v>
      </c>
      <c r="V7" s="20">
        <f t="shared" si="2"/>
        <v>3.0064</v>
      </c>
      <c r="W7" s="21">
        <f t="shared" si="6"/>
        <v>0.3</v>
      </c>
      <c r="X7" s="19">
        <f t="shared" si="3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4"/>
        <v>122567.457559601</v>
      </c>
      <c r="AD7" s="13">
        <v>36</v>
      </c>
      <c r="AE7" s="14">
        <f t="shared" si="5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0.88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2.09582536382536</v>
      </c>
      <c r="U8" s="18">
        <f>SUM($E$3:$E$8)+36%</f>
        <v>2.477</v>
      </c>
      <c r="V8" s="20">
        <f t="shared" si="2"/>
        <v>3.0064</v>
      </c>
      <c r="W8" s="21">
        <f t="shared" si="6"/>
        <v>0.3</v>
      </c>
      <c r="X8" s="19">
        <f t="shared" si="3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4"/>
        <v>310239.666888403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2.09582536382536</v>
      </c>
      <c r="U9" s="18">
        <f>SUM($E$3:$E$8)+36%</f>
        <v>2.477</v>
      </c>
      <c r="V9" s="20">
        <f t="shared" si="2"/>
        <v>3.0064</v>
      </c>
      <c r="W9" s="21">
        <f t="shared" si="6"/>
        <v>0.3</v>
      </c>
      <c r="X9" s="19">
        <f t="shared" si="3"/>
        <v>0.550756565598006</v>
      </c>
      <c r="Y9" s="19">
        <v>0.8</v>
      </c>
      <c r="Z9" s="22">
        <v>0</v>
      </c>
      <c r="AA9" s="22">
        <v>0</v>
      </c>
      <c r="AB9" s="22">
        <v>0.8</v>
      </c>
      <c r="AC9" s="23">
        <f t="shared" si="4"/>
        <v>206812.535762089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</f>
        <v>7.942</v>
      </c>
      <c r="R10" s="19" t="s">
        <v>59</v>
      </c>
      <c r="S10" s="19">
        <f t="shared" si="0"/>
        <v>962</v>
      </c>
      <c r="T10" s="18">
        <f t="shared" si="1"/>
        <v>2.09582536382536</v>
      </c>
      <c r="U10" s="18">
        <f>SUM($E$3:$E$7)</f>
        <v>1.225</v>
      </c>
      <c r="V10" s="20">
        <f t="shared" si="2"/>
        <v>3.0064</v>
      </c>
      <c r="W10" s="21">
        <f t="shared" si="6"/>
        <v>0.3</v>
      </c>
      <c r="X10" s="19">
        <f t="shared" si="3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4"/>
        <v>90625.6656062516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1.87082536382536</v>
      </c>
      <c r="U11" s="18">
        <f>SUM($E$3:$E$8)-12%</f>
        <v>1.997</v>
      </c>
      <c r="V11" s="20">
        <f t="shared" si="2"/>
        <v>3.0064</v>
      </c>
      <c r="W11" s="21">
        <v>0.6</v>
      </c>
      <c r="X11" s="19">
        <f t="shared" si="3"/>
        <v>0.550756565598006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4"/>
        <v>149435.310751352</v>
      </c>
    </row>
    <row r="12" s="1" customFormat="1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2.09582536382536</v>
      </c>
      <c r="U12" s="42">
        <f>SUM($E$3:$E$5)</f>
        <v>1.225</v>
      </c>
      <c r="V12" s="44">
        <f>1+($G$8-0.125)*($I$8-1-0.25)</f>
        <v>2.53265</v>
      </c>
      <c r="W12" s="42">
        <v>0.15</v>
      </c>
      <c r="X12" s="43">
        <f t="shared" si="3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4"/>
        <v>34439.6914274402</v>
      </c>
    </row>
    <row r="13" s="1" customFormat="1" ht="15" spans="2:32">
      <c r="B13" s="47" t="s">
        <v>85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6"/>
      <c r="P13" s="48" t="s">
        <v>86</v>
      </c>
      <c r="Q13" s="49">
        <f>22.48%*10</f>
        <v>2.248</v>
      </c>
      <c r="R13" s="50" t="s">
        <v>22</v>
      </c>
      <c r="S13" s="50">
        <f t="shared" ref="S13:S20" si="7">$C$15</f>
        <v>962</v>
      </c>
      <c r="T13" s="49">
        <f t="shared" ref="T13:T20" si="8">($C$16+$C$17+$C$18+$C$19)+($C$20+$C$11)/S13</f>
        <v>1.40582536382536</v>
      </c>
      <c r="U13" s="49">
        <f t="shared" ref="U13:U18" si="9">SUM($E$15:$E$19)</f>
        <v>1.19</v>
      </c>
      <c r="V13" s="51">
        <f t="shared" ref="V13:V20" si="10">1+$G$20*($I$20-1)</f>
        <v>2.58025</v>
      </c>
      <c r="W13" s="52">
        <f t="shared" ref="W13:W20" si="11">$K$15</f>
        <v>0.15</v>
      </c>
      <c r="X13" s="51">
        <f t="shared" ref="X13:X20" si="12">$AE$2</f>
        <v>0.50131926121372</v>
      </c>
      <c r="Y13" s="50">
        <v>0.8</v>
      </c>
      <c r="Z13" s="53">
        <v>0</v>
      </c>
      <c r="AA13" s="53">
        <v>0</v>
      </c>
      <c r="AB13" s="53">
        <v>0</v>
      </c>
      <c r="AC13" s="54">
        <f t="shared" si="4"/>
        <v>13559.4975833543</v>
      </c>
    </row>
    <row r="14" s="1" customFormat="1" spans="2:32">
      <c r="B14" s="55" t="s">
        <v>17</v>
      </c>
      <c r="C14" s="55"/>
      <c r="D14" s="55" t="s">
        <v>6</v>
      </c>
      <c r="E14" s="55"/>
      <c r="F14" s="55" t="s">
        <v>18</v>
      </c>
      <c r="G14" s="55"/>
      <c r="H14" s="55" t="s">
        <v>19</v>
      </c>
      <c r="I14" s="55"/>
      <c r="J14" s="55" t="s">
        <v>8</v>
      </c>
      <c r="K14" s="55"/>
      <c r="L14" s="55" t="s">
        <v>20</v>
      </c>
      <c r="M14" s="55"/>
      <c r="N14" s="6"/>
      <c r="P14" s="48" t="s">
        <v>87</v>
      </c>
      <c r="Q14" s="49">
        <f>87.48%*10</f>
        <v>8.748</v>
      </c>
      <c r="R14" s="50" t="s">
        <v>88</v>
      </c>
      <c r="S14" s="50">
        <f t="shared" si="7"/>
        <v>962</v>
      </c>
      <c r="T14" s="49">
        <f t="shared" si="8"/>
        <v>1.40582536382536</v>
      </c>
      <c r="U14" s="49">
        <f t="shared" si="9"/>
        <v>1.19</v>
      </c>
      <c r="V14" s="51">
        <f t="shared" si="10"/>
        <v>2.58025</v>
      </c>
      <c r="W14" s="52">
        <f t="shared" si="11"/>
        <v>0.15</v>
      </c>
      <c r="X14" s="51">
        <f t="shared" si="12"/>
        <v>0.50131926121372</v>
      </c>
      <c r="Y14" s="50">
        <v>0.8</v>
      </c>
      <c r="Z14" s="53">
        <v>0</v>
      </c>
      <c r="AA14" s="53">
        <v>0</v>
      </c>
      <c r="AB14" s="53">
        <v>0</v>
      </c>
      <c r="AC14" s="54">
        <f t="shared" si="4"/>
        <v>52766.2299195654</v>
      </c>
    </row>
    <row r="15" s="1" customFormat="1" spans="2:32">
      <c r="B15" s="56" t="s">
        <v>23</v>
      </c>
      <c r="C15" s="57">
        <f>375+587</f>
        <v>962</v>
      </c>
      <c r="D15" s="56" t="s">
        <v>24</v>
      </c>
      <c r="E15" s="58">
        <v>0.6</v>
      </c>
      <c r="F15" s="56" t="s">
        <v>25</v>
      </c>
      <c r="G15" s="59">
        <v>0.13</v>
      </c>
      <c r="H15" s="56" t="s">
        <v>25</v>
      </c>
      <c r="I15" s="58">
        <v>1.5</v>
      </c>
      <c r="J15" s="60" t="s">
        <v>26</v>
      </c>
      <c r="K15" s="58">
        <v>0.15</v>
      </c>
      <c r="L15" s="56" t="s">
        <v>27</v>
      </c>
      <c r="M15" s="59">
        <v>0.172</v>
      </c>
      <c r="N15" s="6"/>
      <c r="P15" s="48" t="s">
        <v>89</v>
      </c>
      <c r="Q15" s="49">
        <f>139.31%+46.44%*3</f>
        <v>2.7863</v>
      </c>
      <c r="R15" s="50" t="s">
        <v>29</v>
      </c>
      <c r="S15" s="50">
        <f t="shared" si="7"/>
        <v>962</v>
      </c>
      <c r="T15" s="49">
        <f t="shared" si="8"/>
        <v>1.40582536382536</v>
      </c>
      <c r="U15" s="49">
        <f t="shared" si="9"/>
        <v>1.19</v>
      </c>
      <c r="V15" s="51">
        <f t="shared" si="10"/>
        <v>2.58025</v>
      </c>
      <c r="W15" s="52">
        <f t="shared" si="11"/>
        <v>0.15</v>
      </c>
      <c r="X15" s="51">
        <f t="shared" si="12"/>
        <v>0.50131926121372</v>
      </c>
      <c r="Y15" s="50">
        <v>0.8</v>
      </c>
      <c r="Z15" s="53">
        <v>0</v>
      </c>
      <c r="AA15" s="53">
        <v>0</v>
      </c>
      <c r="AB15" s="53">
        <v>0</v>
      </c>
      <c r="AC15" s="54">
        <f t="shared" si="4"/>
        <v>16806.41820129</v>
      </c>
    </row>
    <row r="16" s="1" customFormat="1" spans="2:32">
      <c r="B16" s="56" t="s">
        <v>30</v>
      </c>
      <c r="C16" s="58">
        <v>0.12</v>
      </c>
      <c r="D16" s="56" t="s">
        <v>67</v>
      </c>
      <c r="E16" s="58"/>
      <c r="F16" s="56" t="s">
        <v>32</v>
      </c>
      <c r="G16" s="59">
        <v>0.243</v>
      </c>
      <c r="H16" s="56" t="s">
        <v>33</v>
      </c>
      <c r="I16" s="59">
        <v>1.25</v>
      </c>
      <c r="J16" s="61" t="s">
        <v>34</v>
      </c>
      <c r="K16" s="59"/>
      <c r="L16" s="56" t="s">
        <v>90</v>
      </c>
      <c r="M16" s="59">
        <v>0.172</v>
      </c>
      <c r="N16" s="6"/>
      <c r="P16" s="48" t="s">
        <v>91</v>
      </c>
      <c r="Q16" s="49">
        <f>277.78%*2</f>
        <v>5.5556</v>
      </c>
      <c r="R16" s="50" t="s">
        <v>64</v>
      </c>
      <c r="S16" s="50">
        <f t="shared" si="7"/>
        <v>962</v>
      </c>
      <c r="T16" s="49">
        <f t="shared" si="8"/>
        <v>1.40582536382536</v>
      </c>
      <c r="U16" s="49">
        <f t="shared" ref="U16:U18" si="13">SUM($E$15:$E$20)</f>
        <v>1.362</v>
      </c>
      <c r="V16" s="51">
        <f t="shared" si="10"/>
        <v>2.58025</v>
      </c>
      <c r="W16" s="52">
        <f t="shared" si="11"/>
        <v>0.15</v>
      </c>
      <c r="X16" s="51">
        <f t="shared" si="12"/>
        <v>0.50131926121372</v>
      </c>
      <c r="Y16" s="50">
        <v>0.8</v>
      </c>
      <c r="Z16" s="53">
        <v>0</v>
      </c>
      <c r="AA16" s="53">
        <v>0</v>
      </c>
      <c r="AB16" s="53">
        <v>0</v>
      </c>
      <c r="AC16" s="54">
        <f t="shared" si="4"/>
        <v>36142.1545597881</v>
      </c>
    </row>
    <row r="17" s="1" customFormat="1" spans="2:29">
      <c r="B17" s="56" t="s">
        <v>37</v>
      </c>
      <c r="C17" s="58">
        <v>0.532</v>
      </c>
      <c r="D17" s="56" t="s">
        <v>38</v>
      </c>
      <c r="E17" s="58">
        <v>0.1</v>
      </c>
      <c r="F17" s="56" t="s">
        <v>92</v>
      </c>
      <c r="G17" s="59"/>
      <c r="H17" s="56" t="s">
        <v>39</v>
      </c>
      <c r="I17" s="59"/>
      <c r="J17" s="61" t="s">
        <v>40</v>
      </c>
      <c r="K17" s="59"/>
      <c r="L17" s="56" t="s">
        <v>18</v>
      </c>
      <c r="M17" s="59">
        <v>0.405</v>
      </c>
      <c r="N17" s="6"/>
      <c r="P17" s="48" t="s">
        <v>93</v>
      </c>
      <c r="Q17" s="49">
        <f>33.8%*3+16.9%*6+13.1%*8</f>
        <v>3.076</v>
      </c>
      <c r="R17" s="50" t="s">
        <v>64</v>
      </c>
      <c r="S17" s="50">
        <f t="shared" si="7"/>
        <v>962</v>
      </c>
      <c r="T17" s="49">
        <f t="shared" si="8"/>
        <v>1.40582536382536</v>
      </c>
      <c r="U17" s="49">
        <f t="shared" si="13"/>
        <v>1.362</v>
      </c>
      <c r="V17" s="51">
        <f t="shared" si="10"/>
        <v>2.58025</v>
      </c>
      <c r="W17" s="52">
        <f t="shared" si="11"/>
        <v>0.15</v>
      </c>
      <c r="X17" s="51">
        <f t="shared" si="12"/>
        <v>0.50131926121372</v>
      </c>
      <c r="Y17" s="50">
        <v>0.8</v>
      </c>
      <c r="Z17" s="53">
        <v>0</v>
      </c>
      <c r="AA17" s="53">
        <v>0</v>
      </c>
      <c r="AB17" s="53">
        <v>0</v>
      </c>
      <c r="AC17" s="54">
        <f t="shared" si="4"/>
        <v>20011.0280484391</v>
      </c>
    </row>
    <row r="18" s="1" customFormat="1" spans="2:29">
      <c r="B18" s="56" t="s">
        <v>42</v>
      </c>
      <c r="C18" s="62"/>
      <c r="D18" s="56" t="s">
        <v>94</v>
      </c>
      <c r="E18" s="58">
        <v>0.25</v>
      </c>
      <c r="F18" s="56" t="s">
        <v>33</v>
      </c>
      <c r="G18" s="59">
        <v>0.405</v>
      </c>
      <c r="H18" s="56"/>
      <c r="I18" s="59"/>
      <c r="J18" s="61"/>
      <c r="K18" s="59"/>
      <c r="L18" s="56" t="s">
        <v>44</v>
      </c>
      <c r="M18" s="58">
        <v>0.81</v>
      </c>
      <c r="N18" s="6"/>
      <c r="P18" s="48" t="s">
        <v>95</v>
      </c>
      <c r="Q18" s="49">
        <v>12.1672</v>
      </c>
      <c r="R18" s="50" t="s">
        <v>64</v>
      </c>
      <c r="S18" s="50">
        <f t="shared" si="7"/>
        <v>962</v>
      </c>
      <c r="T18" s="49">
        <f t="shared" si="8"/>
        <v>1.40582536382536</v>
      </c>
      <c r="U18" s="49">
        <f t="shared" si="13"/>
        <v>1.362</v>
      </c>
      <c r="V18" s="51">
        <f t="shared" si="10"/>
        <v>2.58025</v>
      </c>
      <c r="W18" s="52">
        <f t="shared" si="11"/>
        <v>0.15</v>
      </c>
      <c r="X18" s="51">
        <f t="shared" si="12"/>
        <v>0.50131926121372</v>
      </c>
      <c r="Y18" s="50">
        <v>0.8</v>
      </c>
      <c r="Z18" s="53">
        <v>0</v>
      </c>
      <c r="AA18" s="53">
        <v>0</v>
      </c>
      <c r="AB18" s="53">
        <v>0</v>
      </c>
      <c r="AC18" s="54">
        <f t="shared" si="4"/>
        <v>79154.1548995344</v>
      </c>
    </row>
    <row r="19" s="1" customFormat="1" spans="2:29">
      <c r="B19" s="56" t="s">
        <v>46</v>
      </c>
      <c r="C19" s="62">
        <v>0.39</v>
      </c>
      <c r="D19" s="56" t="s">
        <v>88</v>
      </c>
      <c r="E19" s="58">
        <v>0.24</v>
      </c>
      <c r="F19" s="56" t="s">
        <v>48</v>
      </c>
      <c r="G19" s="59">
        <v>0.125</v>
      </c>
      <c r="H19" s="56" t="s">
        <v>48</v>
      </c>
      <c r="I19" s="59"/>
      <c r="J19" s="61"/>
      <c r="K19" s="59"/>
      <c r="L19" s="56"/>
      <c r="M19" s="57"/>
      <c r="N19" s="6"/>
      <c r="P19" s="48" t="s">
        <v>96</v>
      </c>
      <c r="Q19" s="49">
        <v>1</v>
      </c>
      <c r="R19" s="50" t="s">
        <v>59</v>
      </c>
      <c r="S19" s="50">
        <f t="shared" si="7"/>
        <v>962</v>
      </c>
      <c r="T19" s="49">
        <f t="shared" si="8"/>
        <v>1.40582536382536</v>
      </c>
      <c r="U19" s="49">
        <f>SUM($E$15:$E$19)</f>
        <v>1.19</v>
      </c>
      <c r="V19" s="51">
        <f t="shared" si="10"/>
        <v>2.58025</v>
      </c>
      <c r="W19" s="52">
        <f t="shared" si="11"/>
        <v>0.15</v>
      </c>
      <c r="X19" s="51">
        <f t="shared" si="12"/>
        <v>0.50131926121372</v>
      </c>
      <c r="Y19" s="50">
        <v>0.8</v>
      </c>
      <c r="Z19" s="53">
        <v>0</v>
      </c>
      <c r="AA19" s="53">
        <v>0</v>
      </c>
      <c r="AB19" s="53">
        <v>0</v>
      </c>
      <c r="AC19" s="54">
        <f t="shared" si="4"/>
        <v>6031.80497480172</v>
      </c>
    </row>
    <row r="20" s="1" customFormat="1" spans="2:29">
      <c r="B20" s="56" t="s">
        <v>50</v>
      </c>
      <c r="C20" s="57">
        <v>350</v>
      </c>
      <c r="D20" s="56" t="s">
        <v>75</v>
      </c>
      <c r="E20" s="58">
        <f>M16</f>
        <v>0.172</v>
      </c>
      <c r="F20" s="63" t="s">
        <v>52</v>
      </c>
      <c r="G20" s="64">
        <f>G15+G16+G17+G18+G19</f>
        <v>0.903</v>
      </c>
      <c r="H20" s="63" t="s">
        <v>53</v>
      </c>
      <c r="I20" s="65">
        <f>I15+I16+I17+I18+I19</f>
        <v>2.75</v>
      </c>
      <c r="J20" s="61"/>
      <c r="K20" s="59"/>
      <c r="L20" s="56"/>
      <c r="M20" s="57"/>
      <c r="N20" s="6"/>
      <c r="P20" s="48" t="s">
        <v>97</v>
      </c>
      <c r="Q20" s="49">
        <f>27.36%*10</f>
        <v>2.736</v>
      </c>
      <c r="R20" s="50" t="s">
        <v>61</v>
      </c>
      <c r="S20" s="50">
        <f t="shared" si="7"/>
        <v>962</v>
      </c>
      <c r="T20" s="49">
        <f t="shared" si="8"/>
        <v>1.40582536382536</v>
      </c>
      <c r="U20" s="49">
        <f>SUM($E$15:$E$19)</f>
        <v>1.19</v>
      </c>
      <c r="V20" s="51">
        <f t="shared" si="10"/>
        <v>2.58025</v>
      </c>
      <c r="W20" s="52">
        <f t="shared" si="11"/>
        <v>0.15</v>
      </c>
      <c r="X20" s="51">
        <f t="shared" si="12"/>
        <v>0.50131926121372</v>
      </c>
      <c r="Y20" s="50">
        <v>0.8</v>
      </c>
      <c r="Z20" s="53">
        <v>0</v>
      </c>
      <c r="AA20" s="53">
        <v>0</v>
      </c>
      <c r="AB20" s="53">
        <v>0</v>
      </c>
      <c r="AC20" s="54">
        <f t="shared" si="4"/>
        <v>16503.0184110575</v>
      </c>
    </row>
    <row r="21" s="1" customFormat="1" spans="2:29">
      <c r="B21" s="56"/>
      <c r="C21" s="57"/>
      <c r="D21" s="56"/>
      <c r="E21" s="58"/>
      <c r="F21" s="63"/>
      <c r="G21" s="64"/>
      <c r="H21" s="63"/>
      <c r="I21" s="65"/>
      <c r="J21" s="61"/>
      <c r="K21" s="59"/>
      <c r="L21" s="56"/>
      <c r="M21" s="57"/>
      <c r="N21" s="6"/>
      <c r="P21" s="48"/>
      <c r="Q21" s="49"/>
      <c r="R21" s="50"/>
      <c r="S21" s="50"/>
      <c r="T21" s="49"/>
      <c r="U21" s="49"/>
      <c r="V21" s="51"/>
      <c r="W21" s="52"/>
      <c r="X21" s="51"/>
      <c r="Y21" s="50"/>
      <c r="Z21" s="53"/>
      <c r="AA21" s="53"/>
      <c r="AB21" s="53"/>
      <c r="AC21" s="54"/>
    </row>
    <row r="22" s="1" customFormat="1" spans="2:29">
      <c r="B22" s="66" t="s">
        <v>55</v>
      </c>
      <c r="C22" s="67"/>
      <c r="D22" s="66"/>
      <c r="E22" s="68"/>
      <c r="F22" s="66"/>
      <c r="G22" s="69"/>
      <c r="H22" s="66"/>
      <c r="I22" s="67"/>
      <c r="J22" s="70"/>
      <c r="K22" s="69"/>
      <c r="L22" s="66"/>
      <c r="M22" s="67"/>
      <c r="N22" s="6"/>
      <c r="P22" s="48"/>
      <c r="Q22" s="49"/>
      <c r="R22" s="50"/>
      <c r="S22" s="50"/>
      <c r="T22" s="49"/>
      <c r="U22" s="49"/>
      <c r="V22" s="51"/>
      <c r="W22" s="52"/>
      <c r="X22" s="51"/>
      <c r="Y22" s="50"/>
      <c r="Z22" s="53"/>
      <c r="AA22" s="53"/>
      <c r="AB22" s="53"/>
      <c r="AC22" s="54"/>
    </row>
    <row r="23" s="1" customFormat="1" spans="2:29">
      <c r="B23" s="71"/>
      <c r="C23" s="71" t="s">
        <v>79</v>
      </c>
      <c r="D23" s="71" t="s">
        <v>80</v>
      </c>
      <c r="E23" s="71" t="s">
        <v>81</v>
      </c>
      <c r="F23" s="72"/>
      <c r="G23" s="40"/>
      <c r="H23" s="6"/>
      <c r="I23" s="6"/>
      <c r="J23" s="6"/>
      <c r="K23" s="6"/>
      <c r="L23" s="6"/>
      <c r="M23" s="6"/>
      <c r="N23" s="6"/>
      <c r="P23" s="48" t="s">
        <v>98</v>
      </c>
      <c r="Q23" s="49">
        <v>18.8075</v>
      </c>
      <c r="R23" s="50" t="s">
        <v>99</v>
      </c>
      <c r="S23" s="50">
        <v>10027</v>
      </c>
      <c r="T23" s="49">
        <v>0</v>
      </c>
      <c r="U23" s="49">
        <v>0</v>
      </c>
      <c r="V23" s="51">
        <v>1</v>
      </c>
      <c r="W23" s="52">
        <v>0</v>
      </c>
      <c r="X23" s="51">
        <f>$AE$2</f>
        <v>0.50131926121372</v>
      </c>
      <c r="Y23" s="50">
        <v>0.8</v>
      </c>
      <c r="Z23" s="53">
        <v>0</v>
      </c>
      <c r="AA23" s="53">
        <v>0</v>
      </c>
      <c r="AB23" s="53">
        <v>0.5</v>
      </c>
      <c r="AC23" s="54">
        <f>Q23*S23*(1+T23)*(1+U23)*V23*(1+W23)*X23*Y23*(1+Z23)*(1+AA23)*(1+AB23)</f>
        <v>113448.229472296</v>
      </c>
    </row>
    <row r="24" s="1" customFormat="1" spans="2:29">
      <c r="B24" s="73" t="s">
        <v>82</v>
      </c>
      <c r="C24" s="73">
        <f>SUM(AC2:AC12)</f>
        <v>1206833.5579978</v>
      </c>
      <c r="D24" s="73">
        <f>C24/E24</f>
        <v>48273.3423199121</v>
      </c>
      <c r="E24" s="72">
        <v>25</v>
      </c>
      <c r="F24" s="72"/>
      <c r="G24" s="40"/>
      <c r="H24" s="6"/>
      <c r="I24" s="6"/>
      <c r="J24" s="6"/>
      <c r="K24" s="6">
        <v>32315</v>
      </c>
      <c r="L24" s="6"/>
      <c r="M24" s="6"/>
      <c r="N24" s="6"/>
      <c r="Q24" s="74"/>
      <c r="U24" s="2"/>
      <c r="V24" s="2"/>
      <c r="AB24" s="4"/>
      <c r="AC24" s="4"/>
    </row>
    <row r="25" s="1" customFormat="1" spans="2:29">
      <c r="B25" s="73" t="s">
        <v>100</v>
      </c>
      <c r="C25" s="73">
        <f>SUM(AC13:AC23)</f>
        <v>354422.536070126</v>
      </c>
      <c r="D25" s="73">
        <f>C25/E24</f>
        <v>14176.901442805</v>
      </c>
      <c r="E25" s="40"/>
      <c r="F25" s="6"/>
      <c r="G25" s="40"/>
      <c r="H25" s="6"/>
      <c r="I25" s="6"/>
      <c r="J25" s="6" t="s">
        <v>101</v>
      </c>
      <c r="K25" s="6">
        <v>48225</v>
      </c>
      <c r="L25" s="6">
        <f>K25/K24</f>
        <v>1.49234101810305</v>
      </c>
      <c r="M25" s="6"/>
      <c r="N25" s="6"/>
      <c r="Q25" s="2"/>
      <c r="U25" s="2"/>
      <c r="V25" s="3"/>
      <c r="AB25" s="4"/>
      <c r="AC25" s="4"/>
    </row>
    <row r="26" s="1" customFormat="1" spans="2:29">
      <c r="B26" s="73" t="s">
        <v>83</v>
      </c>
      <c r="C26" s="73">
        <v>50000</v>
      </c>
      <c r="D26" s="73">
        <f>C26/E24</f>
        <v>2000</v>
      </c>
      <c r="E26" s="6"/>
      <c r="F26" s="6"/>
      <c r="G26" s="40"/>
      <c r="H26" s="6"/>
      <c r="I26" s="6"/>
      <c r="J26" s="6" t="s">
        <v>102</v>
      </c>
      <c r="K26" s="6">
        <v>48273</v>
      </c>
      <c r="L26" s="6">
        <f>K26/K24</f>
        <v>1.49382639641034</v>
      </c>
      <c r="M26" s="6"/>
      <c r="N26" s="6"/>
      <c r="Q26" s="2"/>
      <c r="U26" s="2"/>
      <c r="V26" s="3"/>
      <c r="AB26" s="4"/>
      <c r="AC26" s="4"/>
    </row>
    <row r="27" s="1" customFormat="1" spans="2:29">
      <c r="B27" s="73" t="s">
        <v>84</v>
      </c>
      <c r="C27" s="73">
        <f>C24+C25+C26</f>
        <v>1611256.09406793</v>
      </c>
      <c r="D27" s="73">
        <f>C27/E24</f>
        <v>64450.2437627172</v>
      </c>
      <c r="E27" s="6"/>
      <c r="F27" s="6"/>
      <c r="G27" s="40"/>
      <c r="H27" s="6"/>
      <c r="I27" s="6"/>
      <c r="J27" s="6"/>
      <c r="K27" s="6"/>
      <c r="L27" s="6"/>
      <c r="M27" s="6"/>
      <c r="N27" s="6"/>
      <c r="Q27" s="2"/>
      <c r="U27" s="2"/>
      <c r="V27" s="3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N28" s="6"/>
      <c r="Q28" s="2"/>
      <c r="U28" s="2"/>
      <c r="V28" s="3"/>
      <c r="AB28" s="4"/>
      <c r="AC28" s="4"/>
    </row>
    <row r="29" s="1" customFormat="1" ht="20" customHeight="1" spans="2:29">
      <c r="B29" s="73"/>
      <c r="C29" s="73"/>
      <c r="D29" s="73"/>
      <c r="E29" s="6"/>
      <c r="F29" s="73"/>
      <c r="G29" s="40" t="s">
        <v>103</v>
      </c>
      <c r="H29" s="6">
        <v>57700</v>
      </c>
      <c r="N29" s="6"/>
      <c r="Q29" s="2"/>
      <c r="U29" s="2"/>
      <c r="V29" s="3"/>
      <c r="AB29" s="4"/>
      <c r="AC29" s="4"/>
    </row>
    <row r="30" s="1" customFormat="1" ht="20" customHeight="1" spans="2:29">
      <c r="B30" s="73"/>
      <c r="C30" s="73"/>
      <c r="D30" s="73"/>
      <c r="E30" s="6"/>
      <c r="F30" s="73"/>
      <c r="G30" s="40" t="s">
        <v>104</v>
      </c>
      <c r="H30" s="6">
        <v>62186</v>
      </c>
      <c r="I30" s="1">
        <f>H30/H29</f>
        <v>1.07774696707106</v>
      </c>
      <c r="N30" s="6"/>
      <c r="Q30" s="2"/>
      <c r="U30" s="2"/>
      <c r="V30" s="3"/>
      <c r="AB30" s="4"/>
      <c r="AC30" s="4"/>
    </row>
    <row r="31" s="1" customFormat="1" ht="20" customHeight="1" spans="2:29">
      <c r="B31" s="6"/>
      <c r="C31" s="6"/>
      <c r="D31" s="6"/>
      <c r="E31" s="6"/>
      <c r="F31" s="6"/>
      <c r="G31" s="2" t="s">
        <v>105</v>
      </c>
      <c r="N31" s="6"/>
      <c r="Q31" s="2"/>
      <c r="U31" s="2"/>
      <c r="V31" s="3"/>
      <c r="AB31" s="4"/>
      <c r="AC31" s="4"/>
    </row>
    <row r="32" s="1" customFormat="1" ht="20" customHeight="1" spans="2:29">
      <c r="B32" s="73"/>
      <c r="C32" s="73"/>
      <c r="D32" s="73"/>
      <c r="E32" s="6"/>
      <c r="F32" s="73"/>
      <c r="G32" s="2"/>
      <c r="N32" s="6"/>
      <c r="Q32" s="2"/>
      <c r="U32" s="2"/>
      <c r="V32" s="3"/>
      <c r="AB32" s="4"/>
      <c r="AC32" s="4"/>
    </row>
    <row r="33" s="1" customFormat="1" ht="20" customHeight="1" spans="2:29">
      <c r="B33" s="73"/>
      <c r="C33" s="73"/>
      <c r="D33" s="73"/>
      <c r="E33" s="6"/>
      <c r="F33" s="73"/>
      <c r="G33" s="2"/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N34" s="6"/>
      <c r="Q34" s="2"/>
      <c r="U34" s="2"/>
      <c r="V34" s="3"/>
      <c r="AB34" s="4"/>
      <c r="AC34" s="4"/>
    </row>
    <row r="35" s="1" customFormat="1" spans="2:29">
      <c r="B35" s="73"/>
      <c r="C35" s="73"/>
      <c r="D35" s="73"/>
      <c r="E35" s="6"/>
      <c r="F35" s="73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N49" s="6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workbookViewId="0">
      <selection activeCell="D46" sqref="D4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9090909090909" style="1" customWidth="1"/>
    <col min="7" max="7" width="14" style="2" customWidth="1"/>
    <col min="8" max="8" width="6.54545454545455" style="1" customWidth="1"/>
    <col min="9" max="9" width="14" style="1" customWidth="1"/>
    <col min="10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6.2727272727273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customHeight="1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customHeigh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2.09582536382536</v>
      </c>
      <c r="U2" s="18">
        <f>SUM($E$3:$E$7)</f>
        <v>1.225</v>
      </c>
      <c r="V2" s="20">
        <f t="shared" ref="V2:V11" si="2">1+$G$8*($I$8-1)</f>
        <v>3.0064</v>
      </c>
      <c r="W2" s="21">
        <f>K$3+K$5</f>
        <v>0.55</v>
      </c>
      <c r="X2" s="19">
        <f t="shared" ref="X2:X12" si="3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0" si="4">Q2*S2*(1+T2)*(1+U2)*V2*(1+W2)*X2*Y2*(1+Z2)*(1+AA2)*(1+AB2)</f>
        <v>40575.2309952117</v>
      </c>
      <c r="AD2" s="13">
        <v>0</v>
      </c>
      <c r="AE2" s="14">
        <f t="shared" ref="AE2:AE7" si="5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f>30%+24%</f>
        <v>0.54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f>30%+25%</f>
        <v>0.55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2.09582536382536</v>
      </c>
      <c r="U3" s="18">
        <f>SUM($E$3:$E$8)</f>
        <v>2.117</v>
      </c>
      <c r="V3" s="20">
        <f t="shared" si="2"/>
        <v>3.0064</v>
      </c>
      <c r="W3" s="21">
        <f t="shared" ref="W3:W10" si="6">K$3+K$5</f>
        <v>0.55</v>
      </c>
      <c r="X3" s="19">
        <f t="shared" si="3"/>
        <v>0.550756565598006</v>
      </c>
      <c r="Y3" s="19">
        <v>0.8</v>
      </c>
      <c r="Z3" s="22">
        <v>0</v>
      </c>
      <c r="AA3" s="22">
        <v>0</v>
      </c>
      <c r="AB3" s="22">
        <v>0</v>
      </c>
      <c r="AC3" s="23">
        <f t="shared" si="4"/>
        <v>54933.9177889325</v>
      </c>
      <c r="AD3" s="13">
        <v>18</v>
      </c>
      <c r="AE3" s="14">
        <f t="shared" si="5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f>12%+10%+24%</f>
        <v>0.46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2.09582536382536</v>
      </c>
      <c r="U4" s="18">
        <f>SUM($E$3:$E$8)</f>
        <v>2.117</v>
      </c>
      <c r="V4" s="20">
        <f t="shared" si="2"/>
        <v>3.0064</v>
      </c>
      <c r="W4" s="21">
        <f t="shared" si="6"/>
        <v>0.55</v>
      </c>
      <c r="X4" s="19">
        <f t="shared" si="3"/>
        <v>0.550756565598006</v>
      </c>
      <c r="Y4" s="19">
        <v>0.8</v>
      </c>
      <c r="Z4" s="22">
        <v>0</v>
      </c>
      <c r="AA4" s="22">
        <v>0</v>
      </c>
      <c r="AB4" s="22">
        <v>0</v>
      </c>
      <c r="AC4" s="23">
        <f t="shared" si="4"/>
        <v>107428.191737402</v>
      </c>
      <c r="AD4" s="13">
        <v>14.4</v>
      </c>
      <c r="AE4" s="14">
        <f t="shared" si="5"/>
        <v>0.540104154822277</v>
      </c>
      <c r="AF4" s="24">
        <v>90</v>
      </c>
    </row>
    <row r="5" s="1" customFormat="1" spans="2:32">
      <c r="B5" s="25" t="s">
        <v>37</v>
      </c>
      <c r="C5" s="28">
        <f>18%+18%+M3+30%</f>
        <v>0.832</v>
      </c>
      <c r="D5" s="25" t="s">
        <v>38</v>
      </c>
      <c r="E5" s="27">
        <v>0.225</v>
      </c>
      <c r="F5" s="25" t="s">
        <v>39</v>
      </c>
      <c r="G5" s="27"/>
      <c r="H5" s="25" t="s">
        <v>32</v>
      </c>
      <c r="I5" s="27">
        <v>0.72</v>
      </c>
      <c r="J5" s="30" t="s">
        <v>40</v>
      </c>
      <c r="K5" s="27"/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2.09582536382536</v>
      </c>
      <c r="U5" s="18">
        <f>SUM($E$3:$E$8)</f>
        <v>2.117</v>
      </c>
      <c r="V5" s="20">
        <f t="shared" si="2"/>
        <v>3.0064</v>
      </c>
      <c r="W5" s="21">
        <f t="shared" si="6"/>
        <v>0.55</v>
      </c>
      <c r="X5" s="19">
        <f t="shared" si="3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4"/>
        <v>63688.046038345</v>
      </c>
      <c r="AD5" s="13">
        <v>21.6</v>
      </c>
      <c r="AE5" s="14">
        <f t="shared" si="5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/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2.09582536382536</v>
      </c>
      <c r="U6" s="18">
        <f>SUM($E$3:$E$8)-48%</f>
        <v>1.637</v>
      </c>
      <c r="V6" s="20">
        <f t="shared" si="2"/>
        <v>3.0064</v>
      </c>
      <c r="W6" s="21">
        <f t="shared" si="6"/>
        <v>0.55</v>
      </c>
      <c r="X6" s="19">
        <f t="shared" si="3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4"/>
        <v>80818.2634050097</v>
      </c>
      <c r="AD6" s="13">
        <v>28.8</v>
      </c>
      <c r="AE6" s="14">
        <f t="shared" si="5"/>
        <v>0.585393507677898</v>
      </c>
      <c r="AF6" s="24">
        <v>90</v>
      </c>
    </row>
    <row r="7" s="1" customFormat="1" spans="2:32">
      <c r="B7" s="25" t="s">
        <v>46</v>
      </c>
      <c r="C7" s="31">
        <f>27%+39%</f>
        <v>0.66</v>
      </c>
      <c r="D7" s="25" t="s">
        <v>47</v>
      </c>
      <c r="E7" s="27"/>
      <c r="F7" s="25" t="s">
        <v>48</v>
      </c>
      <c r="G7" s="27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2.09582536382536</v>
      </c>
      <c r="U7" s="18">
        <f>SUM($E$3:$E$8)+18%</f>
        <v>2.297</v>
      </c>
      <c r="V7" s="20">
        <f t="shared" si="2"/>
        <v>3.0064</v>
      </c>
      <c r="W7" s="21">
        <f t="shared" si="6"/>
        <v>0.55</v>
      </c>
      <c r="X7" s="19">
        <f t="shared" si="3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4"/>
        <v>146138.122474909</v>
      </c>
      <c r="AD7" s="13">
        <v>36</v>
      </c>
      <c r="AE7" s="14">
        <f t="shared" si="5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0.88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2.09582536382536</v>
      </c>
      <c r="U8" s="18">
        <f>SUM($E$3:$E$8)+36%</f>
        <v>2.477</v>
      </c>
      <c r="V8" s="20">
        <f t="shared" si="2"/>
        <v>3.0064</v>
      </c>
      <c r="W8" s="21">
        <f t="shared" si="6"/>
        <v>0.55</v>
      </c>
      <c r="X8" s="19">
        <f t="shared" si="3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4"/>
        <v>369901.141290019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2.09582536382536</v>
      </c>
      <c r="U9" s="18">
        <f>SUM($E$3:$E$8)+36%</f>
        <v>2.477</v>
      </c>
      <c r="V9" s="20">
        <f t="shared" si="2"/>
        <v>3.0064</v>
      </c>
      <c r="W9" s="21">
        <f t="shared" si="6"/>
        <v>0.55</v>
      </c>
      <c r="X9" s="19">
        <f t="shared" si="3"/>
        <v>0.550756565598006</v>
      </c>
      <c r="Y9" s="19">
        <v>0.8</v>
      </c>
      <c r="Z9" s="22">
        <v>0</v>
      </c>
      <c r="AA9" s="22">
        <v>0</v>
      </c>
      <c r="AB9" s="22">
        <v>0.8</v>
      </c>
      <c r="AC9" s="23">
        <f t="shared" si="4"/>
        <v>246584.177254798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</f>
        <v>7.942</v>
      </c>
      <c r="R10" s="19" t="s">
        <v>59</v>
      </c>
      <c r="S10" s="19">
        <f t="shared" si="0"/>
        <v>962</v>
      </c>
      <c r="T10" s="18">
        <f t="shared" si="1"/>
        <v>2.09582536382536</v>
      </c>
      <c r="U10" s="18">
        <f>SUM($E$3:$E$7)</f>
        <v>1.225</v>
      </c>
      <c r="V10" s="20">
        <f t="shared" si="2"/>
        <v>3.0064</v>
      </c>
      <c r="W10" s="21">
        <f t="shared" si="6"/>
        <v>0.55</v>
      </c>
      <c r="X10" s="19">
        <f t="shared" si="3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4"/>
        <v>108053.678222838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1.87082536382536</v>
      </c>
      <c r="U11" s="18">
        <f>SUM($E$3:$E$8)-12%</f>
        <v>1.997</v>
      </c>
      <c r="V11" s="20">
        <f t="shared" si="2"/>
        <v>3.0064</v>
      </c>
      <c r="W11" s="21">
        <f>W10</f>
        <v>0.55</v>
      </c>
      <c r="X11" s="19">
        <f t="shared" si="3"/>
        <v>0.550756565598006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4"/>
        <v>144765.457290372</v>
      </c>
    </row>
    <row r="12" s="1" customFormat="1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2.09582536382536</v>
      </c>
      <c r="U12" s="42">
        <f>SUM($E$3:$E$5)</f>
        <v>1.225</v>
      </c>
      <c r="V12" s="44">
        <f>1+($G$8-0.125)*($I$8-1-0.25)</f>
        <v>2.53265</v>
      </c>
      <c r="W12" s="42">
        <v>0.15</v>
      </c>
      <c r="X12" s="43">
        <f t="shared" si="3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4"/>
        <v>34439.6914274402</v>
      </c>
    </row>
    <row r="13" s="1" customFormat="1" ht="15" spans="2:32">
      <c r="B13" s="47" t="s">
        <v>85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6"/>
      <c r="P13" s="48" t="s">
        <v>86</v>
      </c>
      <c r="Q13" s="49">
        <f>22.48%*10</f>
        <v>2.248</v>
      </c>
      <c r="R13" s="50" t="s">
        <v>22</v>
      </c>
      <c r="S13" s="50">
        <f t="shared" ref="S13:S20" si="7">$C$15</f>
        <v>962</v>
      </c>
      <c r="T13" s="49">
        <f t="shared" ref="T13:T20" si="8">($C$16+$C$17+$C$18+$C$19)+($C$20+$C$11)/S13</f>
        <v>1.52582536382536</v>
      </c>
      <c r="U13" s="49">
        <f t="shared" ref="U13:U15" si="9">SUM($E$15:$E$19)</f>
        <v>1.43</v>
      </c>
      <c r="V13" s="51">
        <f t="shared" ref="V13:V20" si="10">1+$G$20*($I$20-1)</f>
        <v>2.58025</v>
      </c>
      <c r="W13" s="52">
        <f t="shared" ref="W13:W20" si="11">$K$15</f>
        <v>0.4</v>
      </c>
      <c r="X13" s="51">
        <f t="shared" ref="X13:X20" si="12">$AE$2</f>
        <v>0.50131926121372</v>
      </c>
      <c r="Y13" s="50">
        <v>0.8</v>
      </c>
      <c r="Z13" s="53">
        <v>0</v>
      </c>
      <c r="AA13" s="53">
        <v>0</v>
      </c>
      <c r="AB13" s="53">
        <v>0</v>
      </c>
      <c r="AC13" s="54">
        <f t="shared" si="4"/>
        <v>19229.8179580095</v>
      </c>
    </row>
    <row r="14" s="1" customFormat="1" spans="2:32">
      <c r="B14" s="55" t="s">
        <v>17</v>
      </c>
      <c r="C14" s="55"/>
      <c r="D14" s="55" t="s">
        <v>6</v>
      </c>
      <c r="E14" s="55"/>
      <c r="F14" s="55" t="s">
        <v>18</v>
      </c>
      <c r="G14" s="55"/>
      <c r="H14" s="55" t="s">
        <v>19</v>
      </c>
      <c r="I14" s="55"/>
      <c r="J14" s="55" t="s">
        <v>8</v>
      </c>
      <c r="K14" s="55"/>
      <c r="L14" s="55" t="s">
        <v>20</v>
      </c>
      <c r="M14" s="55"/>
      <c r="N14" s="6"/>
      <c r="P14" s="48" t="s">
        <v>87</v>
      </c>
      <c r="Q14" s="49">
        <f>87.48%*10</f>
        <v>8.748</v>
      </c>
      <c r="R14" s="50" t="s">
        <v>88</v>
      </c>
      <c r="S14" s="50">
        <f t="shared" si="7"/>
        <v>962</v>
      </c>
      <c r="T14" s="49">
        <f t="shared" si="8"/>
        <v>1.52582536382536</v>
      </c>
      <c r="U14" s="49">
        <f t="shared" si="9"/>
        <v>1.43</v>
      </c>
      <c r="V14" s="51">
        <f t="shared" si="10"/>
        <v>2.58025</v>
      </c>
      <c r="W14" s="52">
        <f t="shared" si="11"/>
        <v>0.4</v>
      </c>
      <c r="X14" s="51">
        <f t="shared" si="12"/>
        <v>0.50131926121372</v>
      </c>
      <c r="Y14" s="50">
        <v>0.8</v>
      </c>
      <c r="Z14" s="53">
        <v>0</v>
      </c>
      <c r="AA14" s="53">
        <v>0</v>
      </c>
      <c r="AB14" s="53">
        <v>0</v>
      </c>
      <c r="AC14" s="54">
        <f t="shared" si="4"/>
        <v>74832.0495981616</v>
      </c>
    </row>
    <row r="15" s="1" customFormat="1" spans="2:32">
      <c r="B15" s="56" t="s">
        <v>23</v>
      </c>
      <c r="C15" s="57">
        <f>375+587</f>
        <v>962</v>
      </c>
      <c r="D15" s="56" t="s">
        <v>24</v>
      </c>
      <c r="E15" s="58">
        <v>0.6</v>
      </c>
      <c r="F15" s="56" t="s">
        <v>25</v>
      </c>
      <c r="G15" s="59">
        <v>0.13</v>
      </c>
      <c r="H15" s="56" t="s">
        <v>25</v>
      </c>
      <c r="I15" s="58">
        <v>1.5</v>
      </c>
      <c r="J15" s="60" t="s">
        <v>26</v>
      </c>
      <c r="K15" s="58">
        <f>15%+25%</f>
        <v>0.4</v>
      </c>
      <c r="L15" s="56" t="s">
        <v>27</v>
      </c>
      <c r="M15" s="59">
        <v>0.172</v>
      </c>
      <c r="N15" s="6"/>
      <c r="P15" s="48" t="s">
        <v>89</v>
      </c>
      <c r="Q15" s="49">
        <f>139.31%+46.44%*3</f>
        <v>2.7863</v>
      </c>
      <c r="R15" s="50" t="s">
        <v>29</v>
      </c>
      <c r="S15" s="50">
        <f t="shared" si="7"/>
        <v>962</v>
      </c>
      <c r="T15" s="49">
        <f t="shared" si="8"/>
        <v>1.52582536382536</v>
      </c>
      <c r="U15" s="49">
        <f t="shared" si="9"/>
        <v>1.43</v>
      </c>
      <c r="V15" s="51">
        <f t="shared" si="10"/>
        <v>2.58025</v>
      </c>
      <c r="W15" s="52">
        <f t="shared" si="11"/>
        <v>0.4</v>
      </c>
      <c r="X15" s="51">
        <f t="shared" si="12"/>
        <v>0.50131926121372</v>
      </c>
      <c r="Y15" s="50">
        <v>0.8</v>
      </c>
      <c r="Z15" s="53">
        <v>0</v>
      </c>
      <c r="AA15" s="53">
        <v>0</v>
      </c>
      <c r="AB15" s="53">
        <v>0</v>
      </c>
      <c r="AC15" s="54">
        <f t="shared" si="4"/>
        <v>23834.5381567624</v>
      </c>
    </row>
    <row r="16" s="1" customFormat="1" spans="2:32">
      <c r="B16" s="56" t="s">
        <v>30</v>
      </c>
      <c r="C16" s="58">
        <f>12%+12%</f>
        <v>0.24</v>
      </c>
      <c r="D16" s="56" t="s">
        <v>67</v>
      </c>
      <c r="E16" s="58"/>
      <c r="F16" s="56" t="s">
        <v>32</v>
      </c>
      <c r="G16" s="59">
        <v>0.243</v>
      </c>
      <c r="H16" s="56" t="s">
        <v>33</v>
      </c>
      <c r="I16" s="59">
        <v>1.25</v>
      </c>
      <c r="J16" s="61" t="s">
        <v>34</v>
      </c>
      <c r="K16" s="59"/>
      <c r="L16" s="56" t="s">
        <v>90</v>
      </c>
      <c r="M16" s="59">
        <v>0.172</v>
      </c>
      <c r="N16" s="6"/>
      <c r="P16" s="48" t="s">
        <v>91</v>
      </c>
      <c r="Q16" s="49">
        <f>277.78%*2</f>
        <v>5.5556</v>
      </c>
      <c r="R16" s="50" t="s">
        <v>64</v>
      </c>
      <c r="S16" s="50">
        <f t="shared" si="7"/>
        <v>962</v>
      </c>
      <c r="T16" s="49">
        <f t="shared" si="8"/>
        <v>1.52582536382536</v>
      </c>
      <c r="U16" s="49">
        <f t="shared" ref="U16:U18" si="13">SUM($E$15:$E$20)</f>
        <v>1.962</v>
      </c>
      <c r="V16" s="51">
        <f t="shared" si="10"/>
        <v>2.58025</v>
      </c>
      <c r="W16" s="52">
        <f t="shared" si="11"/>
        <v>0.4</v>
      </c>
      <c r="X16" s="51">
        <f t="shared" si="12"/>
        <v>0.50131926121372</v>
      </c>
      <c r="Y16" s="50">
        <v>0.8</v>
      </c>
      <c r="Z16" s="53">
        <v>0</v>
      </c>
      <c r="AA16" s="53">
        <v>0</v>
      </c>
      <c r="AB16" s="53">
        <v>0</v>
      </c>
      <c r="AC16" s="54">
        <f t="shared" si="4"/>
        <v>57928.010857378</v>
      </c>
    </row>
    <row r="17" s="1" customFormat="1" spans="2:29">
      <c r="B17" s="56" t="s">
        <v>37</v>
      </c>
      <c r="C17" s="58">
        <v>0.532</v>
      </c>
      <c r="D17" s="56" t="s">
        <v>38</v>
      </c>
      <c r="E17" s="58">
        <v>0.1</v>
      </c>
      <c r="F17" s="56" t="s">
        <v>92</v>
      </c>
      <c r="G17" s="59"/>
      <c r="H17" s="56" t="s">
        <v>39</v>
      </c>
      <c r="I17" s="59"/>
      <c r="J17" s="61" t="s">
        <v>40</v>
      </c>
      <c r="K17" s="59"/>
      <c r="L17" s="56" t="s">
        <v>18</v>
      </c>
      <c r="M17" s="59">
        <v>0.405</v>
      </c>
      <c r="N17" s="6"/>
      <c r="P17" s="48" t="s">
        <v>93</v>
      </c>
      <c r="Q17" s="49">
        <f>33.8%*3+16.9%*6+13.1%*8</f>
        <v>3.076</v>
      </c>
      <c r="R17" s="50" t="s">
        <v>64</v>
      </c>
      <c r="S17" s="50">
        <f t="shared" si="7"/>
        <v>962</v>
      </c>
      <c r="T17" s="49">
        <f t="shared" si="8"/>
        <v>1.52582536382536</v>
      </c>
      <c r="U17" s="49">
        <f t="shared" si="13"/>
        <v>1.962</v>
      </c>
      <c r="V17" s="51">
        <f t="shared" si="10"/>
        <v>2.58025</v>
      </c>
      <c r="W17" s="52">
        <f t="shared" si="11"/>
        <v>0.4</v>
      </c>
      <c r="X17" s="51">
        <f t="shared" si="12"/>
        <v>0.50131926121372</v>
      </c>
      <c r="Y17" s="50">
        <v>0.8</v>
      </c>
      <c r="Z17" s="53">
        <v>1.2</v>
      </c>
      <c r="AA17" s="53">
        <v>0</v>
      </c>
      <c r="AB17" s="53">
        <v>0</v>
      </c>
      <c r="AC17" s="54">
        <f t="shared" si="4"/>
        <v>70561.3138228182</v>
      </c>
    </row>
    <row r="18" s="1" customFormat="1" spans="2:29">
      <c r="B18" s="56" t="s">
        <v>42</v>
      </c>
      <c r="C18" s="62"/>
      <c r="D18" s="56" t="s">
        <v>94</v>
      </c>
      <c r="E18" s="58">
        <v>0.25</v>
      </c>
      <c r="F18" s="56" t="s">
        <v>33</v>
      </c>
      <c r="G18" s="59">
        <v>0.405</v>
      </c>
      <c r="H18" s="56"/>
      <c r="I18" s="59"/>
      <c r="J18" s="61"/>
      <c r="K18" s="59"/>
      <c r="L18" s="56" t="s">
        <v>44</v>
      </c>
      <c r="M18" s="58">
        <v>0.81</v>
      </c>
      <c r="N18" s="6"/>
      <c r="P18" s="48" t="s">
        <v>95</v>
      </c>
      <c r="Q18" s="49">
        <v>12.1672</v>
      </c>
      <c r="R18" s="50" t="s">
        <v>64</v>
      </c>
      <c r="S18" s="50">
        <f t="shared" si="7"/>
        <v>962</v>
      </c>
      <c r="T18" s="49">
        <f t="shared" si="8"/>
        <v>1.52582536382536</v>
      </c>
      <c r="U18" s="49">
        <f t="shared" si="13"/>
        <v>1.962</v>
      </c>
      <c r="V18" s="51">
        <f t="shared" si="10"/>
        <v>2.58025</v>
      </c>
      <c r="W18" s="52">
        <f t="shared" si="11"/>
        <v>0.4</v>
      </c>
      <c r="X18" s="51">
        <f t="shared" si="12"/>
        <v>0.50131926121372</v>
      </c>
      <c r="Y18" s="50">
        <v>0.8</v>
      </c>
      <c r="Z18" s="53">
        <v>0</v>
      </c>
      <c r="AA18" s="53">
        <v>0</v>
      </c>
      <c r="AB18" s="53">
        <v>0</v>
      </c>
      <c r="AC18" s="54">
        <f t="shared" si="4"/>
        <v>126866.889931581</v>
      </c>
    </row>
    <row r="19" s="1" customFormat="1" spans="2:29">
      <c r="B19" s="56" t="s">
        <v>46</v>
      </c>
      <c r="C19" s="62">
        <v>0.39</v>
      </c>
      <c r="D19" s="56" t="s">
        <v>106</v>
      </c>
      <c r="E19" s="58">
        <f>24%+24%</f>
        <v>0.48</v>
      </c>
      <c r="F19" s="56" t="s">
        <v>48</v>
      </c>
      <c r="G19" s="59">
        <v>0.125</v>
      </c>
      <c r="H19" s="56" t="s">
        <v>48</v>
      </c>
      <c r="I19" s="59"/>
      <c r="J19" s="61"/>
      <c r="K19" s="59"/>
      <c r="L19" s="56"/>
      <c r="M19" s="57"/>
      <c r="N19" s="6"/>
      <c r="P19" s="48" t="s">
        <v>96</v>
      </c>
      <c r="Q19" s="49">
        <v>1</v>
      </c>
      <c r="R19" s="50" t="s">
        <v>59</v>
      </c>
      <c r="S19" s="50">
        <f t="shared" si="7"/>
        <v>962</v>
      </c>
      <c r="T19" s="49">
        <f t="shared" si="8"/>
        <v>1.52582536382536</v>
      </c>
      <c r="U19" s="49">
        <f>SUM($E$15:$E$19)</f>
        <v>1.43</v>
      </c>
      <c r="V19" s="51">
        <f t="shared" si="10"/>
        <v>2.58025</v>
      </c>
      <c r="W19" s="52">
        <f t="shared" si="11"/>
        <v>0.4</v>
      </c>
      <c r="X19" s="51">
        <f t="shared" si="12"/>
        <v>0.50131926121372</v>
      </c>
      <c r="Y19" s="50">
        <v>0.8</v>
      </c>
      <c r="Z19" s="53">
        <v>0</v>
      </c>
      <c r="AA19" s="53">
        <v>0</v>
      </c>
      <c r="AB19" s="53">
        <v>0</v>
      </c>
      <c r="AC19" s="54">
        <f t="shared" si="4"/>
        <v>8554.18948310032</v>
      </c>
    </row>
    <row r="20" s="1" customFormat="1" spans="2:29">
      <c r="B20" s="56" t="s">
        <v>50</v>
      </c>
      <c r="C20" s="57">
        <v>350</v>
      </c>
      <c r="D20" s="56" t="s">
        <v>75</v>
      </c>
      <c r="E20" s="58">
        <f>M16+36%</f>
        <v>0.532</v>
      </c>
      <c r="F20" s="63" t="s">
        <v>52</v>
      </c>
      <c r="G20" s="64">
        <f>G15+G16+G17+G18+G19</f>
        <v>0.903</v>
      </c>
      <c r="H20" s="63" t="s">
        <v>53</v>
      </c>
      <c r="I20" s="65">
        <f>I15+I16+I17+I18+I19</f>
        <v>2.75</v>
      </c>
      <c r="J20" s="61"/>
      <c r="K20" s="59"/>
      <c r="L20" s="56"/>
      <c r="M20" s="57"/>
      <c r="N20" s="6"/>
      <c r="P20" s="48" t="s">
        <v>97</v>
      </c>
      <c r="Q20" s="49">
        <f>27.36%*10</f>
        <v>2.736</v>
      </c>
      <c r="R20" s="50" t="s">
        <v>61</v>
      </c>
      <c r="S20" s="50">
        <f t="shared" si="7"/>
        <v>962</v>
      </c>
      <c r="T20" s="49">
        <f t="shared" si="8"/>
        <v>1.52582536382536</v>
      </c>
      <c r="U20" s="49">
        <f>SUM($E$15:$E$19)</f>
        <v>1.43</v>
      </c>
      <c r="V20" s="51">
        <f t="shared" si="10"/>
        <v>2.58025</v>
      </c>
      <c r="W20" s="52">
        <f t="shared" si="11"/>
        <v>0.4</v>
      </c>
      <c r="X20" s="51">
        <f t="shared" si="12"/>
        <v>0.50131926121372</v>
      </c>
      <c r="Y20" s="50">
        <v>0.8</v>
      </c>
      <c r="Z20" s="53">
        <v>0</v>
      </c>
      <c r="AA20" s="53">
        <v>0</v>
      </c>
      <c r="AB20" s="53">
        <v>0</v>
      </c>
      <c r="AC20" s="54">
        <f t="shared" si="4"/>
        <v>23404.2624257625</v>
      </c>
    </row>
    <row r="21" s="1" customFormat="1" spans="2:29">
      <c r="B21" s="56"/>
      <c r="C21" s="57"/>
      <c r="D21" s="56"/>
      <c r="E21" s="58"/>
      <c r="F21" s="63"/>
      <c r="G21" s="64"/>
      <c r="H21" s="63"/>
      <c r="I21" s="65"/>
      <c r="J21" s="61"/>
      <c r="K21" s="59"/>
      <c r="L21" s="56"/>
      <c r="M21" s="57"/>
      <c r="N21" s="6"/>
      <c r="P21" s="48"/>
      <c r="Q21" s="49"/>
      <c r="R21" s="50"/>
      <c r="S21" s="50"/>
      <c r="T21" s="49"/>
      <c r="U21" s="49"/>
      <c r="V21" s="51"/>
      <c r="W21" s="52"/>
      <c r="X21" s="51"/>
      <c r="Y21" s="50"/>
      <c r="Z21" s="53"/>
      <c r="AA21" s="53"/>
      <c r="AB21" s="53"/>
      <c r="AC21" s="54"/>
    </row>
    <row r="22" s="1" customFormat="1" spans="2:29">
      <c r="B22" s="66" t="s">
        <v>55</v>
      </c>
      <c r="C22" s="67"/>
      <c r="D22" s="66"/>
      <c r="E22" s="68"/>
      <c r="F22" s="66"/>
      <c r="G22" s="69"/>
      <c r="H22" s="66"/>
      <c r="I22" s="67"/>
      <c r="J22" s="70"/>
      <c r="K22" s="69"/>
      <c r="L22" s="66"/>
      <c r="M22" s="67"/>
      <c r="N22" s="6"/>
      <c r="P22" s="48"/>
      <c r="Q22" s="49"/>
      <c r="R22" s="50"/>
      <c r="S22" s="50"/>
      <c r="T22" s="49"/>
      <c r="U22" s="49"/>
      <c r="V22" s="51"/>
      <c r="W22" s="52"/>
      <c r="X22" s="51"/>
      <c r="Y22" s="50"/>
      <c r="Z22" s="53"/>
      <c r="AA22" s="53"/>
      <c r="AB22" s="53"/>
      <c r="AC22" s="54"/>
    </row>
    <row r="23" s="1" customFormat="1" spans="2:29">
      <c r="B23" s="71"/>
      <c r="C23" s="71" t="s">
        <v>79</v>
      </c>
      <c r="D23" s="71" t="s">
        <v>80</v>
      </c>
      <c r="E23" s="71" t="s">
        <v>81</v>
      </c>
      <c r="F23" s="72"/>
      <c r="G23" s="40"/>
      <c r="H23" s="6"/>
      <c r="I23" s="6"/>
      <c r="J23" s="6"/>
      <c r="K23" s="6"/>
      <c r="L23" s="6"/>
      <c r="M23" s="6"/>
      <c r="N23" s="6"/>
      <c r="P23" s="48" t="s">
        <v>98</v>
      </c>
      <c r="Q23" s="49">
        <v>18.8075</v>
      </c>
      <c r="R23" s="50" t="s">
        <v>99</v>
      </c>
      <c r="S23" s="50">
        <v>10027</v>
      </c>
      <c r="T23" s="49">
        <v>0</v>
      </c>
      <c r="U23" s="49">
        <v>0</v>
      </c>
      <c r="V23" s="51">
        <v>1</v>
      </c>
      <c r="W23" s="52">
        <v>0</v>
      </c>
      <c r="X23" s="51">
        <f>$AE$2</f>
        <v>0.50131926121372</v>
      </c>
      <c r="Y23" s="50">
        <v>0.8</v>
      </c>
      <c r="Z23" s="53">
        <v>0</v>
      </c>
      <c r="AA23" s="53">
        <v>0</v>
      </c>
      <c r="AB23" s="53">
        <v>0.5</v>
      </c>
      <c r="AC23" s="54">
        <f>Q23*S23*(1+T23)*(1+U23)*V23*(1+W23)*X23*Y23*(1+Z23)*(1+AA23)*(1+AB23)</f>
        <v>113448.229472296</v>
      </c>
    </row>
    <row r="24" s="1" customFormat="1" spans="2:29">
      <c r="B24" s="73" t="s">
        <v>82</v>
      </c>
      <c r="C24" s="73">
        <f>SUM(AC2:AC12)</f>
        <v>1397325.91792528</v>
      </c>
      <c r="D24" s="73">
        <f>C24/E24</f>
        <v>55893.0367170111</v>
      </c>
      <c r="E24" s="72">
        <v>25</v>
      </c>
      <c r="F24" s="72"/>
      <c r="G24" s="40"/>
      <c r="H24" s="6"/>
      <c r="I24" s="6"/>
      <c r="J24" s="6"/>
      <c r="K24" s="6"/>
      <c r="L24" s="6"/>
      <c r="M24" s="6"/>
      <c r="N24" s="6"/>
      <c r="Q24" s="74"/>
      <c r="U24" s="2"/>
      <c r="V24" s="2"/>
      <c r="AB24" s="4"/>
      <c r="AC24" s="4"/>
    </row>
    <row r="25" s="1" customFormat="1" spans="2:29">
      <c r="B25" s="73" t="s">
        <v>100</v>
      </c>
      <c r="C25" s="73">
        <f>SUM(AC13:AC23)</f>
        <v>518659.301705869</v>
      </c>
      <c r="D25" s="73">
        <f>C25/E24</f>
        <v>20746.3720682348</v>
      </c>
      <c r="E25" s="40"/>
      <c r="F25" s="6"/>
      <c r="G25" s="40"/>
      <c r="H25" s="6"/>
      <c r="I25" s="6"/>
      <c r="J25" s="6"/>
      <c r="K25" s="6"/>
      <c r="L25" s="6"/>
      <c r="M25" s="6"/>
      <c r="N25" s="6"/>
      <c r="Q25" s="2"/>
      <c r="U25" s="2"/>
      <c r="V25" s="3"/>
      <c r="AB25" s="4"/>
      <c r="AC25" s="4"/>
    </row>
    <row r="26" s="1" customFormat="1" spans="2:29">
      <c r="B26" s="73" t="s">
        <v>83</v>
      </c>
      <c r="C26" s="73">
        <v>50000</v>
      </c>
      <c r="D26" s="73">
        <f>C26/E24</f>
        <v>2000</v>
      </c>
      <c r="E26" s="6"/>
      <c r="F26" s="6"/>
      <c r="G26" s="40"/>
      <c r="H26" s="6"/>
      <c r="I26" s="6"/>
      <c r="J26" s="6"/>
      <c r="K26" s="6"/>
      <c r="L26" s="6"/>
      <c r="M26" s="6"/>
      <c r="N26" s="6"/>
      <c r="Q26" s="2"/>
      <c r="U26" s="2"/>
      <c r="V26" s="3"/>
      <c r="AB26" s="4"/>
      <c r="AC26" s="4"/>
    </row>
    <row r="27" s="1" customFormat="1" spans="2:29">
      <c r="B27" s="73" t="s">
        <v>84</v>
      </c>
      <c r="C27" s="73">
        <f>C24+C25+C26</f>
        <v>1965985.21963115</v>
      </c>
      <c r="D27" s="73">
        <f>C27/E24</f>
        <v>78639.4087852459</v>
      </c>
      <c r="E27" s="6"/>
      <c r="F27" s="6"/>
      <c r="G27" s="40"/>
      <c r="H27" s="6"/>
      <c r="I27" s="6"/>
      <c r="J27" s="6"/>
      <c r="K27" s="6"/>
      <c r="L27" s="6"/>
      <c r="M27" s="6"/>
      <c r="N27" s="6"/>
      <c r="Q27" s="2"/>
      <c r="U27" s="2"/>
      <c r="V27" s="3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40"/>
      <c r="H28" s="6"/>
      <c r="I28" s="6" t="s">
        <v>107</v>
      </c>
      <c r="N28" s="6"/>
      <c r="Q28" s="2"/>
      <c r="U28" s="2"/>
      <c r="V28" s="3"/>
      <c r="AB28" s="4"/>
      <c r="AC28" s="4"/>
    </row>
    <row r="29" s="1" customFormat="1" ht="20" customHeight="1" spans="2:29">
      <c r="B29" s="73"/>
      <c r="C29" s="73"/>
      <c r="D29" s="73"/>
      <c r="E29" s="6"/>
      <c r="F29" s="73"/>
      <c r="G29" s="40" t="s">
        <v>103</v>
      </c>
      <c r="H29" s="6">
        <v>57700</v>
      </c>
      <c r="I29" s="6"/>
      <c r="N29" s="6"/>
      <c r="Q29" s="2"/>
      <c r="U29" s="2"/>
      <c r="V29" s="3"/>
      <c r="AB29" s="4"/>
      <c r="AC29" s="4"/>
    </row>
    <row r="30" s="1" customFormat="1" ht="20" customHeight="1" spans="2:29">
      <c r="B30" s="73"/>
      <c r="C30" s="73"/>
      <c r="D30" s="73"/>
      <c r="E30" s="6"/>
      <c r="F30" s="73" t="s">
        <v>108</v>
      </c>
      <c r="G30" s="40" t="s">
        <v>104</v>
      </c>
      <c r="H30" s="6">
        <v>62186</v>
      </c>
      <c r="I30" s="40">
        <f>H30/H29-1</f>
        <v>0.0777469670710571</v>
      </c>
      <c r="N30" s="6"/>
      <c r="Q30" s="2"/>
      <c r="U30" s="2"/>
      <c r="V30" s="3"/>
      <c r="AB30" s="4"/>
      <c r="AC30" s="4"/>
    </row>
    <row r="31" s="1" customFormat="1" ht="20" customHeight="1" spans="2:29">
      <c r="B31" s="6"/>
      <c r="C31" s="6"/>
      <c r="D31" s="6"/>
      <c r="E31" s="6"/>
      <c r="F31" s="6" t="s">
        <v>109</v>
      </c>
      <c r="G31" s="40" t="s">
        <v>104</v>
      </c>
      <c r="H31" s="6">
        <v>63791</v>
      </c>
      <c r="I31" s="40">
        <f>H31/H29-1</f>
        <v>0.105563258232236</v>
      </c>
      <c r="N31" s="6"/>
      <c r="Q31" s="2"/>
      <c r="U31" s="2"/>
      <c r="V31" s="3"/>
      <c r="AB31" s="4"/>
      <c r="AC31" s="4"/>
    </row>
    <row r="32" s="1" customFormat="1" ht="20" customHeight="1" spans="2:29">
      <c r="B32" s="73"/>
      <c r="C32" s="73"/>
      <c r="D32" s="73"/>
      <c r="E32" s="6"/>
      <c r="F32" s="73" t="s">
        <v>110</v>
      </c>
      <c r="G32" s="40" t="s">
        <v>105</v>
      </c>
      <c r="H32" s="6">
        <v>66861</v>
      </c>
      <c r="I32" s="40">
        <f>H32/H29-1</f>
        <v>0.158769497400347</v>
      </c>
      <c r="N32" s="6"/>
      <c r="Q32" s="2"/>
      <c r="U32" s="2"/>
      <c r="V32" s="3"/>
      <c r="AB32" s="4"/>
      <c r="AC32" s="4"/>
    </row>
    <row r="33" s="1" customFormat="1" ht="20" customHeight="1" spans="2:29">
      <c r="B33" s="73"/>
      <c r="C33" s="73"/>
      <c r="D33" s="73"/>
      <c r="E33" s="6"/>
      <c r="F33" s="73"/>
      <c r="G33" s="2" t="s">
        <v>111</v>
      </c>
      <c r="H33" s="1">
        <v>78639</v>
      </c>
      <c r="I33" s="40">
        <f>H33/H$29-1</f>
        <v>0.362894280762565</v>
      </c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 t="s">
        <v>112</v>
      </c>
      <c r="H34" s="1">
        <v>62094</v>
      </c>
      <c r="I34" s="40">
        <f>H34/H$29-1</f>
        <v>0.076152512998267</v>
      </c>
      <c r="N34" s="6"/>
      <c r="Q34" s="2"/>
      <c r="U34" s="2"/>
      <c r="V34" s="3"/>
      <c r="AB34" s="4"/>
      <c r="AC34" s="4"/>
    </row>
    <row r="35" s="1" customFormat="1" spans="2:29">
      <c r="B35" s="73"/>
      <c r="C35" s="73"/>
      <c r="D35" s="73"/>
      <c r="E35" s="6"/>
      <c r="F35" s="73"/>
      <c r="G35" s="2" t="s">
        <v>113</v>
      </c>
      <c r="H35" s="1">
        <v>73959</v>
      </c>
      <c r="I35" s="40">
        <f>H35/H$29-1</f>
        <v>0.281785095320624</v>
      </c>
      <c r="N35" s="6"/>
      <c r="Q35" s="2"/>
      <c r="U35" s="2"/>
      <c r="V35" s="3"/>
      <c r="AB35" s="4"/>
      <c r="AC35" s="4"/>
    </row>
    <row r="36" s="1" customFormat="1" spans="2:29">
      <c r="G36" s="2" t="s">
        <v>114</v>
      </c>
      <c r="H36" s="1">
        <v>89961</v>
      </c>
      <c r="I36" s="40">
        <f>H36/H$29-1</f>
        <v>0.559116117850953</v>
      </c>
      <c r="N36" s="6"/>
      <c r="Q36" s="2"/>
      <c r="U36" s="2"/>
      <c r="V36" s="3"/>
      <c r="AB36" s="4"/>
      <c r="AC36" s="4"/>
    </row>
    <row r="37" s="1" customFormat="1" spans="2:29">
      <c r="G37" s="2" t="s">
        <v>115</v>
      </c>
      <c r="H37" s="1">
        <v>77201</v>
      </c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workbookViewId="0">
      <selection activeCell="F31" sqref="F31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1.75082536382536</v>
      </c>
      <c r="U2" s="18">
        <f>SUM($E$3:$E$7)</f>
        <v>1.065</v>
      </c>
      <c r="V2" s="20">
        <f t="shared" ref="V2:V11" si="2">1+$G$8*($I$8-1)</f>
        <v>3.28</v>
      </c>
      <c r="W2" s="21">
        <v>0.35</v>
      </c>
      <c r="X2" s="19">
        <f t="shared" ref="X2:X12" si="3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2" si="4">Q2*S2*(1+T2)*(1+U2)*V2*(1+W2)*X2*Y2*(1+Z2)*(1+AA2)*(1+AB2)</f>
        <v>31795.5805370218</v>
      </c>
      <c r="AD2" s="13">
        <v>0</v>
      </c>
      <c r="AE2" s="14">
        <f t="shared" ref="AE2:AE7" si="5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v>0.6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f>15%+20%</f>
        <v>0.35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1.75082536382536</v>
      </c>
      <c r="U3" s="18">
        <f>SUM($E$3:$E$8)</f>
        <v>1.957</v>
      </c>
      <c r="V3" s="20">
        <f t="shared" si="2"/>
        <v>3.28</v>
      </c>
      <c r="W3" s="21">
        <f t="shared" ref="W3:W10" si="6">K$3+K$5</f>
        <v>0.6</v>
      </c>
      <c r="X3" s="19">
        <f t="shared" si="3"/>
        <v>0.550756565598006</v>
      </c>
      <c r="Y3" s="19">
        <v>0.8</v>
      </c>
      <c r="Z3" s="22">
        <v>0</v>
      </c>
      <c r="AA3" s="22">
        <v>0</v>
      </c>
      <c r="AB3" s="22">
        <v>0</v>
      </c>
      <c r="AC3" s="23">
        <f t="shared" si="4"/>
        <v>52150.3259191581</v>
      </c>
      <c r="AD3" s="13">
        <v>18</v>
      </c>
      <c r="AE3" s="14">
        <f t="shared" si="5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v>0.12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1.75082536382536</v>
      </c>
      <c r="U4" s="18">
        <f>SUM($E$3:$E$8)</f>
        <v>1.957</v>
      </c>
      <c r="V4" s="20">
        <f t="shared" si="2"/>
        <v>3.28</v>
      </c>
      <c r="W4" s="21">
        <f t="shared" si="6"/>
        <v>0.6</v>
      </c>
      <c r="X4" s="19">
        <f t="shared" si="3"/>
        <v>0.550756565598006</v>
      </c>
      <c r="Y4" s="19">
        <v>0.8</v>
      </c>
      <c r="Z4" s="22">
        <v>0</v>
      </c>
      <c r="AA4" s="22">
        <v>0</v>
      </c>
      <c r="AB4" s="22">
        <v>0</v>
      </c>
      <c r="AC4" s="23">
        <f t="shared" si="4"/>
        <v>101984.628759539</v>
      </c>
      <c r="AD4" s="13">
        <v>14.4</v>
      </c>
      <c r="AE4" s="14">
        <f t="shared" si="5"/>
        <v>0.540104154822277</v>
      </c>
      <c r="AF4" s="24">
        <v>90</v>
      </c>
    </row>
    <row r="5" s="1" customFormat="1" spans="2:32">
      <c r="B5" s="25" t="s">
        <v>37</v>
      </c>
      <c r="C5" s="28">
        <f>18%+18%+M3</f>
        <v>0.532</v>
      </c>
      <c r="D5" s="25" t="s">
        <v>38</v>
      </c>
      <c r="E5" s="27">
        <v>0.225</v>
      </c>
      <c r="F5" s="25" t="s">
        <v>116</v>
      </c>
      <c r="G5" s="27">
        <v>0.125</v>
      </c>
      <c r="H5" s="25" t="s">
        <v>32</v>
      </c>
      <c r="I5" s="27">
        <v>0.72</v>
      </c>
      <c r="J5" s="30" t="s">
        <v>40</v>
      </c>
      <c r="K5" s="27">
        <v>0.25</v>
      </c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1.75082536382536</v>
      </c>
      <c r="U5" s="18">
        <f>SUM($E$3:$E$8)</f>
        <v>1.957</v>
      </c>
      <c r="V5" s="20">
        <f t="shared" si="2"/>
        <v>3.28</v>
      </c>
      <c r="W5" s="21">
        <f t="shared" si="6"/>
        <v>0.6</v>
      </c>
      <c r="X5" s="19">
        <f t="shared" si="3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4"/>
        <v>60460.8681073024</v>
      </c>
      <c r="AD5" s="13">
        <v>21.6</v>
      </c>
      <c r="AE5" s="14">
        <f t="shared" si="5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>
        <v>0.12</v>
      </c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1.75082536382536</v>
      </c>
      <c r="U6" s="18">
        <f>SUM($E$3:$E$8)-48%</f>
        <v>1.477</v>
      </c>
      <c r="V6" s="20">
        <f t="shared" si="2"/>
        <v>3.28</v>
      </c>
      <c r="W6" s="21">
        <f t="shared" si="6"/>
        <v>0.6</v>
      </c>
      <c r="X6" s="19">
        <f t="shared" si="3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4"/>
        <v>75967.4104338444</v>
      </c>
      <c r="AD6" s="13">
        <v>28.8</v>
      </c>
      <c r="AE6" s="14">
        <f t="shared" si="5"/>
        <v>0.585393507677898</v>
      </c>
      <c r="AF6" s="24">
        <v>90</v>
      </c>
    </row>
    <row r="7" s="1" customFormat="1" spans="2:32">
      <c r="B7" s="25" t="s">
        <v>46</v>
      </c>
      <c r="C7" s="31">
        <f>22.5%+39%</f>
        <v>0.615</v>
      </c>
      <c r="D7" s="25" t="s">
        <v>47</v>
      </c>
      <c r="E7" s="27"/>
      <c r="F7" s="25" t="s">
        <v>48</v>
      </c>
      <c r="G7" s="89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1.75082536382536</v>
      </c>
      <c r="U7" s="18">
        <f>SUM($E$3:$E$8)+18%</f>
        <v>2.137</v>
      </c>
      <c r="V7" s="20">
        <f t="shared" si="2"/>
        <v>3.28</v>
      </c>
      <c r="W7" s="21">
        <f t="shared" si="6"/>
        <v>0.6</v>
      </c>
      <c r="X7" s="19">
        <f t="shared" si="3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4"/>
        <v>139142.892241499</v>
      </c>
      <c r="AD7" s="13">
        <v>36</v>
      </c>
      <c r="AE7" s="14">
        <f t="shared" si="5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1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1.75082536382536</v>
      </c>
      <c r="U8" s="18">
        <f>SUM($E$3:$E$8)+36%</f>
        <v>2.317</v>
      </c>
      <c r="V8" s="20">
        <f t="shared" si="2"/>
        <v>3.28</v>
      </c>
      <c r="W8" s="21">
        <f t="shared" si="6"/>
        <v>0.6</v>
      </c>
      <c r="X8" s="19">
        <f t="shared" si="3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4"/>
        <v>353124.933666091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1.75082536382536</v>
      </c>
      <c r="U9" s="18">
        <f>SUM($E$3:$E$8)+36%</f>
        <v>2.317</v>
      </c>
      <c r="V9" s="20">
        <f t="shared" si="2"/>
        <v>3.28</v>
      </c>
      <c r="W9" s="21">
        <f t="shared" si="6"/>
        <v>0.6</v>
      </c>
      <c r="X9" s="19">
        <f t="shared" si="3"/>
        <v>0.550756565598006</v>
      </c>
      <c r="Y9" s="19">
        <v>0.8</v>
      </c>
      <c r="Z9" s="22">
        <v>0</v>
      </c>
      <c r="AA9" s="22">
        <v>1.26</v>
      </c>
      <c r="AB9" s="22">
        <v>0.8</v>
      </c>
      <c r="AC9" s="23">
        <f t="shared" si="4"/>
        <v>532005.787566735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</f>
        <v>7.942</v>
      </c>
      <c r="R10" s="19" t="s">
        <v>59</v>
      </c>
      <c r="S10" s="19">
        <f t="shared" si="0"/>
        <v>962</v>
      </c>
      <c r="T10" s="18">
        <f t="shared" si="1"/>
        <v>1.75082536382536</v>
      </c>
      <c r="U10" s="18">
        <f>SUM($E$3:$E$7)</f>
        <v>1.065</v>
      </c>
      <c r="V10" s="20">
        <f t="shared" si="2"/>
        <v>3.28</v>
      </c>
      <c r="W10" s="21">
        <f t="shared" si="6"/>
        <v>0.6</v>
      </c>
      <c r="X10" s="19">
        <f t="shared" si="3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4"/>
        <v>100353.269723478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1.52582536382536</v>
      </c>
      <c r="U11" s="18">
        <f>SUM($E$3:$E$8)-12%</f>
        <v>1.837</v>
      </c>
      <c r="V11" s="20">
        <f t="shared" si="2"/>
        <v>3.28</v>
      </c>
      <c r="W11" s="21">
        <v>0.6</v>
      </c>
      <c r="X11" s="19">
        <f t="shared" si="3"/>
        <v>0.550756565598006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4"/>
        <v>135784.266404453</v>
      </c>
    </row>
    <row r="12" s="1" customFormat="1" ht="14.75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1.75082536382536</v>
      </c>
      <c r="U12" s="42">
        <f>SUM($E$3:$E$5)</f>
        <v>0.945</v>
      </c>
      <c r="V12" s="44">
        <f>1+($G$8-0.125)*($I$8-1-0.25)</f>
        <v>2.77625</v>
      </c>
      <c r="W12" s="42">
        <v>0.15</v>
      </c>
      <c r="X12" s="43">
        <f t="shared" si="3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4"/>
        <v>29323.7023796386</v>
      </c>
    </row>
    <row r="13" s="1" customFormat="1" ht="15" spans="2:32">
      <c r="B13" s="90" t="s">
        <v>62</v>
      </c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2"/>
      <c r="N13" s="6"/>
      <c r="P13" s="93" t="s">
        <v>63</v>
      </c>
      <c r="Q13" s="94">
        <f>41.76%*2+20.55%*5+133.61%</f>
        <v>3.1988</v>
      </c>
      <c r="R13" s="95" t="s">
        <v>64</v>
      </c>
      <c r="S13" s="95">
        <f t="shared" ref="S13:S22" si="7">C$15</f>
        <v>875</v>
      </c>
      <c r="T13" s="94">
        <f t="shared" ref="T13:T22" si="8">(C$16+C$17+C$18+C$19)+(C$20+C$21)/S$4</f>
        <v>2.12482536382536</v>
      </c>
      <c r="U13" s="94">
        <f t="shared" ref="U13:U22" si="9">E$15+E$20</f>
        <v>0.94</v>
      </c>
      <c r="V13" s="96">
        <f t="shared" ref="V13:V15" si="10">G$20*(I$20-1)+1</f>
        <v>2.1528</v>
      </c>
      <c r="W13" s="97">
        <f t="shared" ref="W13:W22" si="11">K$15</f>
        <v>0.15</v>
      </c>
      <c r="X13" s="95">
        <f t="shared" ref="X13:X22" si="12">AE$2</f>
        <v>0.50131926121372</v>
      </c>
      <c r="Y13" s="95">
        <v>0.8</v>
      </c>
      <c r="Z13" s="97"/>
      <c r="AA13" s="97"/>
      <c r="AB13" s="98"/>
      <c r="AC13" s="99">
        <f t="shared" si="4"/>
        <v>16847.2307573442</v>
      </c>
    </row>
    <row r="14" s="1" customFormat="1" spans="2:32">
      <c r="B14" s="100" t="s">
        <v>17</v>
      </c>
      <c r="C14" s="101"/>
      <c r="D14" s="100" t="s">
        <v>6</v>
      </c>
      <c r="E14" s="101"/>
      <c r="F14" s="100" t="s">
        <v>18</v>
      </c>
      <c r="G14" s="101"/>
      <c r="H14" s="100" t="s">
        <v>19</v>
      </c>
      <c r="I14" s="101"/>
      <c r="J14" s="102" t="s">
        <v>8</v>
      </c>
      <c r="K14" s="102"/>
      <c r="L14" s="100" t="s">
        <v>20</v>
      </c>
      <c r="M14" s="101"/>
      <c r="N14" s="6"/>
      <c r="P14" s="93" t="s">
        <v>65</v>
      </c>
      <c r="Q14" s="94">
        <f>86.16%*3</f>
        <v>2.5848</v>
      </c>
      <c r="R14" s="95" t="s">
        <v>22</v>
      </c>
      <c r="S14" s="95">
        <f t="shared" si="7"/>
        <v>875</v>
      </c>
      <c r="T14" s="94">
        <f t="shared" si="8"/>
        <v>2.12482536382536</v>
      </c>
      <c r="U14" s="94">
        <f t="shared" si="9"/>
        <v>0.94</v>
      </c>
      <c r="V14" s="96">
        <f t="shared" si="10"/>
        <v>2.1528</v>
      </c>
      <c r="W14" s="97">
        <f t="shared" si="11"/>
        <v>0.15</v>
      </c>
      <c r="X14" s="95">
        <f t="shared" si="12"/>
        <v>0.50131926121372</v>
      </c>
      <c r="Y14" s="95">
        <v>0.8</v>
      </c>
      <c r="Z14" s="97"/>
      <c r="AA14" s="97"/>
      <c r="AB14" s="98"/>
      <c r="AC14" s="99">
        <f t="shared" si="4"/>
        <v>13613.4556901286</v>
      </c>
    </row>
    <row r="15" s="1" customFormat="1" spans="2:32">
      <c r="B15" s="25" t="s">
        <v>23</v>
      </c>
      <c r="C15" s="26">
        <f>375+500</f>
        <v>875</v>
      </c>
      <c r="D15" s="25" t="s">
        <v>24</v>
      </c>
      <c r="E15" s="28">
        <v>0.6</v>
      </c>
      <c r="F15" s="25" t="s">
        <v>25</v>
      </c>
      <c r="G15" s="27">
        <v>0.13</v>
      </c>
      <c r="H15" s="25" t="s">
        <v>25</v>
      </c>
      <c r="I15" s="28">
        <v>1.5</v>
      </c>
      <c r="J15" s="103" t="s">
        <v>26</v>
      </c>
      <c r="K15" s="104">
        <v>0.15</v>
      </c>
      <c r="L15" s="25" t="s">
        <v>27</v>
      </c>
      <c r="M15" s="27">
        <f>8.6%*2</f>
        <v>0.172</v>
      </c>
      <c r="N15" s="6"/>
      <c r="P15" s="93" t="s">
        <v>66</v>
      </c>
      <c r="Q15" s="94">
        <f>98.42%*3</f>
        <v>2.9526</v>
      </c>
      <c r="R15" s="95" t="s">
        <v>29</v>
      </c>
      <c r="S15" s="95">
        <f t="shared" si="7"/>
        <v>875</v>
      </c>
      <c r="T15" s="94">
        <f t="shared" si="8"/>
        <v>2.12482536382536</v>
      </c>
      <c r="U15" s="94">
        <f t="shared" si="9"/>
        <v>0.94</v>
      </c>
      <c r="V15" s="96">
        <f t="shared" si="10"/>
        <v>2.1528</v>
      </c>
      <c r="W15" s="97">
        <f t="shared" si="11"/>
        <v>0.15</v>
      </c>
      <c r="X15" s="95">
        <f t="shared" si="12"/>
        <v>0.50131926121372</v>
      </c>
      <c r="Y15" s="95">
        <v>0.8</v>
      </c>
      <c r="Z15" s="97"/>
      <c r="AA15" s="97"/>
      <c r="AB15" s="98"/>
      <c r="AC15" s="99">
        <f t="shared" si="4"/>
        <v>15550.5606896757</v>
      </c>
    </row>
    <row r="16" s="1" customFormat="1" spans="2:32">
      <c r="B16" s="25" t="s">
        <v>30</v>
      </c>
      <c r="C16" s="28">
        <f>12%+53.9%</f>
        <v>0.659</v>
      </c>
      <c r="D16" s="25" t="s">
        <v>67</v>
      </c>
      <c r="E16" s="28"/>
      <c r="F16" s="25" t="s">
        <v>32</v>
      </c>
      <c r="G16" s="105">
        <v>0</v>
      </c>
      <c r="H16" s="25" t="s">
        <v>33</v>
      </c>
      <c r="I16" s="27">
        <f>M18</f>
        <v>0.81</v>
      </c>
      <c r="J16" s="30" t="s">
        <v>68</v>
      </c>
      <c r="K16" s="27"/>
      <c r="L16" s="25" t="s">
        <v>69</v>
      </c>
      <c r="M16" s="27">
        <f>8.6%*2</f>
        <v>0.172</v>
      </c>
      <c r="N16" s="6"/>
      <c r="P16" s="93" t="s">
        <v>70</v>
      </c>
      <c r="Q16" s="94">
        <f>65.21%*2</f>
        <v>1.3042</v>
      </c>
      <c r="R16" s="95" t="s">
        <v>64</v>
      </c>
      <c r="S16" s="95">
        <f t="shared" si="7"/>
        <v>875</v>
      </c>
      <c r="T16" s="94">
        <f t="shared" si="8"/>
        <v>2.12482536382536</v>
      </c>
      <c r="U16" s="94">
        <f t="shared" si="9"/>
        <v>0.94</v>
      </c>
      <c r="V16" s="96">
        <f>(G$20-0.125)*(I$20-1)+1</f>
        <v>1.98905</v>
      </c>
      <c r="W16" s="97">
        <f t="shared" si="11"/>
        <v>0.15</v>
      </c>
      <c r="X16" s="95">
        <f t="shared" si="12"/>
        <v>0.50131926121372</v>
      </c>
      <c r="Y16" s="95">
        <v>0.8</v>
      </c>
      <c r="Z16" s="97"/>
      <c r="AA16" s="97"/>
      <c r="AB16" s="98"/>
      <c r="AC16" s="99">
        <f t="shared" si="4"/>
        <v>6346.40302995152</v>
      </c>
    </row>
    <row r="17" s="1" customFormat="1" spans="2:29">
      <c r="B17" s="25" t="s">
        <v>37</v>
      </c>
      <c r="C17" s="28">
        <f>18%+18%+M15</f>
        <v>0.532</v>
      </c>
      <c r="D17" s="25" t="s">
        <v>38</v>
      </c>
      <c r="E17" s="28"/>
      <c r="F17" s="25" t="s">
        <v>39</v>
      </c>
      <c r="G17" s="27"/>
      <c r="H17" s="25" t="s">
        <v>39</v>
      </c>
      <c r="I17" s="27"/>
      <c r="J17" s="30"/>
      <c r="K17" s="27"/>
      <c r="L17" s="25" t="s">
        <v>18</v>
      </c>
      <c r="M17" s="27">
        <f>8.1*5%</f>
        <v>0.405</v>
      </c>
      <c r="N17" s="6"/>
      <c r="P17" s="93" t="s">
        <v>71</v>
      </c>
      <c r="Q17" s="94">
        <f>65.21%*4</f>
        <v>2.6084</v>
      </c>
      <c r="R17" s="95" t="s">
        <v>64</v>
      </c>
      <c r="S17" s="95">
        <f t="shared" si="7"/>
        <v>875</v>
      </c>
      <c r="T17" s="94">
        <f t="shared" si="8"/>
        <v>2.12482536382536</v>
      </c>
      <c r="U17" s="94">
        <f t="shared" si="9"/>
        <v>0.94</v>
      </c>
      <c r="V17" s="96">
        <f t="shared" ref="V17:V22" si="13">G$20*(I$20-1)+1</f>
        <v>2.1528</v>
      </c>
      <c r="W17" s="97">
        <f t="shared" si="11"/>
        <v>0.15</v>
      </c>
      <c r="X17" s="95">
        <f t="shared" si="12"/>
        <v>0.50131926121372</v>
      </c>
      <c r="Y17" s="95">
        <v>0.8</v>
      </c>
      <c r="Z17" s="97"/>
      <c r="AA17" s="97"/>
      <c r="AB17" s="98"/>
      <c r="AC17" s="99">
        <f t="shared" si="4"/>
        <v>13737.7506275656</v>
      </c>
    </row>
    <row r="18" s="1" customFormat="1" spans="2:29">
      <c r="B18" s="25" t="s">
        <v>42</v>
      </c>
      <c r="C18" s="31">
        <v>0.18</v>
      </c>
      <c r="D18" s="25" t="s">
        <v>43</v>
      </c>
      <c r="E18" s="28"/>
      <c r="F18" s="25" t="s">
        <v>33</v>
      </c>
      <c r="G18" s="27">
        <f>M17+22%</f>
        <v>0.625</v>
      </c>
      <c r="H18" s="25"/>
      <c r="I18" s="27"/>
      <c r="J18" s="30"/>
      <c r="K18" s="27"/>
      <c r="L18" s="25" t="s">
        <v>44</v>
      </c>
      <c r="M18" s="28">
        <f>16.2%*5</f>
        <v>0.81</v>
      </c>
      <c r="N18" s="6"/>
      <c r="P18" s="93" t="s">
        <v>72</v>
      </c>
      <c r="Q18" s="94">
        <f>65.21%*15</f>
        <v>9.7815</v>
      </c>
      <c r="R18" s="95" t="s">
        <v>64</v>
      </c>
      <c r="S18" s="95">
        <f t="shared" si="7"/>
        <v>875</v>
      </c>
      <c r="T18" s="94">
        <f t="shared" si="8"/>
        <v>2.12482536382536</v>
      </c>
      <c r="U18" s="94">
        <f t="shared" si="9"/>
        <v>0.94</v>
      </c>
      <c r="V18" s="96">
        <f>G$20*(I$20-1+25%)+1</f>
        <v>2.3728</v>
      </c>
      <c r="W18" s="97">
        <f t="shared" si="11"/>
        <v>0.15</v>
      </c>
      <c r="X18" s="95">
        <f t="shared" si="12"/>
        <v>0.50131926121372</v>
      </c>
      <c r="Y18" s="95">
        <v>0.8</v>
      </c>
      <c r="Z18" s="97"/>
      <c r="AA18" s="97"/>
      <c r="AB18" s="98"/>
      <c r="AC18" s="99">
        <f t="shared" si="4"/>
        <v>56781.1710721285</v>
      </c>
    </row>
    <row r="19" s="1" customFormat="1" spans="2:29">
      <c r="B19" s="25" t="s">
        <v>46</v>
      </c>
      <c r="C19" s="31">
        <v>0.39</v>
      </c>
      <c r="D19" s="25" t="s">
        <v>47</v>
      </c>
      <c r="E19" s="105"/>
      <c r="F19" s="25" t="s">
        <v>48</v>
      </c>
      <c r="G19" s="27">
        <v>0.125</v>
      </c>
      <c r="H19" s="25" t="s">
        <v>48</v>
      </c>
      <c r="I19" s="27">
        <v>0</v>
      </c>
      <c r="J19" s="30"/>
      <c r="K19" s="27"/>
      <c r="L19" s="25"/>
      <c r="M19" s="26"/>
      <c r="N19" s="6"/>
      <c r="P19" s="93" t="s">
        <v>73</v>
      </c>
      <c r="Q19" s="94">
        <f>83.01%*3</f>
        <v>2.4903</v>
      </c>
      <c r="R19" s="95" t="s">
        <v>74</v>
      </c>
      <c r="S19" s="95">
        <f t="shared" si="7"/>
        <v>875</v>
      </c>
      <c r="T19" s="94">
        <f t="shared" si="8"/>
        <v>2.12482536382536</v>
      </c>
      <c r="U19" s="94">
        <f t="shared" si="9"/>
        <v>0.94</v>
      </c>
      <c r="V19" s="96">
        <f t="shared" si="13"/>
        <v>2.1528</v>
      </c>
      <c r="W19" s="97">
        <f t="shared" si="11"/>
        <v>0.15</v>
      </c>
      <c r="X19" s="95">
        <f t="shared" si="12"/>
        <v>0.50131926121372</v>
      </c>
      <c r="Y19" s="95">
        <v>0.8</v>
      </c>
      <c r="Z19" s="97"/>
      <c r="AA19" s="97"/>
      <c r="AB19" s="98"/>
      <c r="AC19" s="99">
        <f t="shared" si="4"/>
        <v>13115.7492669171</v>
      </c>
    </row>
    <row r="20" s="1" customFormat="1" spans="2:29">
      <c r="B20" s="25" t="s">
        <v>50</v>
      </c>
      <c r="C20" s="26">
        <v>350</v>
      </c>
      <c r="D20" s="25" t="s">
        <v>75</v>
      </c>
      <c r="E20" s="28">
        <f>18%+16%</f>
        <v>0.34</v>
      </c>
      <c r="F20" s="32" t="s">
        <v>52</v>
      </c>
      <c r="G20" s="33">
        <f>MIN(100%,SUM(G15:G19))</f>
        <v>0.88</v>
      </c>
      <c r="H20" s="32" t="s">
        <v>53</v>
      </c>
      <c r="I20" s="34">
        <f>SUM(I15:I19)</f>
        <v>2.31</v>
      </c>
      <c r="J20" s="30"/>
      <c r="K20" s="27"/>
      <c r="L20" s="25"/>
      <c r="M20" s="26"/>
      <c r="N20" s="6"/>
      <c r="P20" s="106" t="s">
        <v>76</v>
      </c>
      <c r="Q20" s="94">
        <v>2.9822</v>
      </c>
      <c r="R20" s="95" t="s">
        <v>64</v>
      </c>
      <c r="S20" s="95">
        <f t="shared" si="7"/>
        <v>875</v>
      </c>
      <c r="T20" s="94">
        <f t="shared" si="8"/>
        <v>2.12482536382536</v>
      </c>
      <c r="U20" s="94">
        <f t="shared" si="9"/>
        <v>0.94</v>
      </c>
      <c r="V20" s="96">
        <f t="shared" si="13"/>
        <v>2.1528</v>
      </c>
      <c r="W20" s="97">
        <f t="shared" si="11"/>
        <v>0.15</v>
      </c>
      <c r="X20" s="95">
        <f t="shared" si="12"/>
        <v>0.50131926121372</v>
      </c>
      <c r="Y20" s="95">
        <v>0.8</v>
      </c>
      <c r="Z20" s="97"/>
      <c r="AA20" s="97"/>
      <c r="AB20" s="98"/>
      <c r="AC20" s="99">
        <f t="shared" si="4"/>
        <v>15706.4560349356</v>
      </c>
    </row>
    <row r="21" s="1" customFormat="1" spans="2:29">
      <c r="B21" s="35" t="s">
        <v>55</v>
      </c>
      <c r="C21" s="36"/>
      <c r="D21" s="35"/>
      <c r="E21" s="37"/>
      <c r="F21" s="35"/>
      <c r="G21" s="37"/>
      <c r="H21" s="35"/>
      <c r="I21" s="36"/>
      <c r="J21" s="39"/>
      <c r="K21" s="38"/>
      <c r="L21" s="35"/>
      <c r="M21" s="36"/>
      <c r="N21" s="6"/>
      <c r="P21" s="93" t="s">
        <v>77</v>
      </c>
      <c r="Q21" s="94">
        <f>119.29%*3</f>
        <v>3.5787</v>
      </c>
      <c r="R21" s="95" t="s">
        <v>64</v>
      </c>
      <c r="S21" s="95">
        <f t="shared" si="7"/>
        <v>875</v>
      </c>
      <c r="T21" s="94">
        <f t="shared" si="8"/>
        <v>2.12482536382536</v>
      </c>
      <c r="U21" s="94">
        <f t="shared" si="9"/>
        <v>0.94</v>
      </c>
      <c r="V21" s="96">
        <f t="shared" si="13"/>
        <v>2.1528</v>
      </c>
      <c r="W21" s="97">
        <f t="shared" si="11"/>
        <v>0.15</v>
      </c>
      <c r="X21" s="95">
        <f t="shared" si="12"/>
        <v>0.50131926121372</v>
      </c>
      <c r="Y21" s="95">
        <v>0.8</v>
      </c>
      <c r="Z21" s="97"/>
      <c r="AA21" s="97"/>
      <c r="AB21" s="98"/>
      <c r="AC21" s="99">
        <f t="shared" si="4"/>
        <v>18848.063246001</v>
      </c>
    </row>
    <row r="22" s="1" customFormat="1" ht="15" spans="2:29">
      <c r="B22" s="107" t="s">
        <v>78</v>
      </c>
      <c r="C22" s="6"/>
      <c r="D22" s="6"/>
      <c r="E22" s="6"/>
      <c r="F22" s="6"/>
      <c r="G22" s="40"/>
      <c r="H22" s="6"/>
      <c r="I22" s="6"/>
      <c r="J22" s="6"/>
      <c r="K22" s="6"/>
      <c r="L22" s="6"/>
      <c r="M22" s="6"/>
      <c r="N22" s="6"/>
      <c r="P22" s="93" t="s">
        <v>61</v>
      </c>
      <c r="Q22" s="94">
        <v>3.1</v>
      </c>
      <c r="R22" s="95" t="s">
        <v>61</v>
      </c>
      <c r="S22" s="95">
        <f t="shared" si="7"/>
        <v>875</v>
      </c>
      <c r="T22" s="94">
        <f t="shared" si="8"/>
        <v>2.12482536382536</v>
      </c>
      <c r="U22" s="94">
        <f t="shared" si="9"/>
        <v>0.94</v>
      </c>
      <c r="V22" s="96">
        <f t="shared" si="13"/>
        <v>2.1528</v>
      </c>
      <c r="W22" s="97">
        <f t="shared" si="11"/>
        <v>0.15</v>
      </c>
      <c r="X22" s="95">
        <f t="shared" si="12"/>
        <v>0.50131926121372</v>
      </c>
      <c r="Y22" s="95">
        <v>0.8</v>
      </c>
      <c r="Z22" s="97"/>
      <c r="AA22" s="97"/>
      <c r="AB22" s="98"/>
      <c r="AC22" s="99">
        <f t="shared" si="4"/>
        <v>16326.8773751929</v>
      </c>
    </row>
    <row r="23" s="1" customFormat="1" spans="2:29">
      <c r="B23" s="71"/>
      <c r="C23" s="71" t="s">
        <v>79</v>
      </c>
      <c r="D23" s="71" t="s">
        <v>80</v>
      </c>
      <c r="E23" s="71" t="s">
        <v>81</v>
      </c>
      <c r="F23" s="72"/>
      <c r="G23" s="40"/>
      <c r="H23" s="6"/>
      <c r="I23" s="6"/>
      <c r="J23" s="6"/>
      <c r="K23" s="6"/>
      <c r="L23" s="6"/>
      <c r="M23" s="6"/>
      <c r="N23" s="6"/>
      <c r="Q23" s="108"/>
      <c r="U23" s="2"/>
      <c r="V23" s="108"/>
      <c r="AB23" s="4"/>
      <c r="AC23" s="4"/>
    </row>
    <row r="24" s="1" customFormat="1" spans="2:29">
      <c r="B24" s="73" t="s">
        <v>82</v>
      </c>
      <c r="C24" s="73">
        <f>SUM(AC2:AC12)</f>
        <v>1612093.66573876</v>
      </c>
      <c r="D24" s="73">
        <f>C24/E24</f>
        <v>64483.7466295504</v>
      </c>
      <c r="E24" s="72">
        <v>25</v>
      </c>
      <c r="F24" s="72"/>
      <c r="G24" s="40"/>
      <c r="H24" s="6"/>
      <c r="I24" s="6"/>
      <c r="J24" s="6"/>
      <c r="K24" s="6"/>
      <c r="L24" s="6"/>
      <c r="M24" s="6"/>
      <c r="N24" s="6"/>
      <c r="Q24" s="108"/>
      <c r="U24" s="2"/>
      <c r="V24" s="108"/>
      <c r="AB24" s="4"/>
      <c r="AC24" s="4"/>
    </row>
    <row r="25" s="1" customFormat="1" spans="2:29">
      <c r="B25" s="73" t="s">
        <v>62</v>
      </c>
      <c r="C25" s="73">
        <f>SUM(AC13:AC22)</f>
        <v>186873.717789841</v>
      </c>
      <c r="D25" s="73">
        <f>C25/E24</f>
        <v>7474.94871159363</v>
      </c>
      <c r="E25" s="40"/>
      <c r="F25" s="6"/>
      <c r="G25" s="40"/>
      <c r="H25" s="6"/>
      <c r="I25" s="6"/>
      <c r="J25" s="6"/>
      <c r="K25" s="6"/>
      <c r="L25" s="6"/>
      <c r="M25" s="6"/>
      <c r="N25" s="6"/>
      <c r="Q25" s="108"/>
      <c r="V25" s="108"/>
      <c r="AB25" s="4"/>
      <c r="AC25" s="4"/>
    </row>
    <row r="26" s="1" customFormat="1" spans="2:29">
      <c r="B26" s="73" t="s">
        <v>83</v>
      </c>
      <c r="C26" s="73">
        <v>50000</v>
      </c>
      <c r="D26" s="73">
        <f>C26/E24</f>
        <v>2000</v>
      </c>
      <c r="E26" s="6"/>
      <c r="F26" s="6"/>
      <c r="G26" s="40"/>
      <c r="H26" s="6"/>
      <c r="I26" s="6"/>
      <c r="J26" s="6"/>
      <c r="K26" s="6"/>
      <c r="L26" s="6"/>
      <c r="M26" s="6"/>
      <c r="N26" s="6"/>
      <c r="Q26" s="74"/>
      <c r="U26" s="2"/>
      <c r="V26" s="2"/>
      <c r="AB26" s="4"/>
      <c r="AC26" s="4"/>
    </row>
    <row r="27" s="1" customFormat="1" spans="2:29">
      <c r="B27" s="73" t="s">
        <v>84</v>
      </c>
      <c r="C27" s="73">
        <f>C24+C25+C26</f>
        <v>1848967.3835286</v>
      </c>
      <c r="D27" s="73">
        <f>C27/E24</f>
        <v>73958.695341144</v>
      </c>
      <c r="E27" s="6"/>
      <c r="F27" s="6"/>
      <c r="G27" s="40"/>
      <c r="H27" s="6"/>
      <c r="I27" s="6"/>
      <c r="J27" s="6"/>
      <c r="K27" s="6"/>
      <c r="L27" s="6"/>
      <c r="M27" s="6"/>
      <c r="N27" s="6"/>
      <c r="Q27" s="2"/>
      <c r="U27" s="2"/>
      <c r="V27" s="3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N28" s="6"/>
      <c r="Q28" s="2"/>
      <c r="U28" s="2"/>
      <c r="V28" s="3"/>
      <c r="AB28" s="4"/>
      <c r="AC28" s="4"/>
    </row>
    <row r="29" s="1" customFormat="1" ht="20" customHeight="1" spans="2:29">
      <c r="B29" s="73"/>
      <c r="C29" s="73"/>
      <c r="D29" s="73"/>
      <c r="E29" s="6"/>
      <c r="F29" s="73"/>
      <c r="G29" s="2"/>
      <c r="N29" s="6"/>
      <c r="Q29" s="2"/>
      <c r="U29" s="2"/>
      <c r="V29" s="3"/>
      <c r="AB29" s="4"/>
      <c r="AC29" s="4"/>
    </row>
    <row r="30" s="1" customFormat="1" ht="20" customHeight="1" spans="2:29">
      <c r="B30" s="73"/>
      <c r="C30" s="73"/>
      <c r="D30" s="73"/>
      <c r="E30" s="6"/>
      <c r="F30" s="73"/>
      <c r="G30" s="2"/>
      <c r="N30" s="6"/>
      <c r="Q30" s="2"/>
      <c r="U30" s="2"/>
      <c r="V30" s="3"/>
      <c r="AB30" s="4"/>
      <c r="AC30" s="4"/>
    </row>
    <row r="31" s="1" customFormat="1" ht="20" customHeight="1" spans="2:29">
      <c r="B31" s="6"/>
      <c r="C31" s="6"/>
      <c r="D31" s="6"/>
      <c r="E31" s="6"/>
      <c r="F31" s="6"/>
      <c r="G31" s="2"/>
      <c r="N31" s="6"/>
      <c r="Q31" s="2"/>
      <c r="U31" s="2"/>
      <c r="V31" s="3"/>
      <c r="AB31" s="4"/>
      <c r="AC31" s="4"/>
    </row>
    <row r="32" s="1" customFormat="1" ht="20" customHeight="1" spans="2:29">
      <c r="B32" s="73"/>
      <c r="C32" s="73"/>
      <c r="D32" s="73"/>
      <c r="E32" s="6"/>
      <c r="F32" s="73"/>
      <c r="G32" s="2"/>
      <c r="N32" s="6"/>
      <c r="Q32" s="2"/>
      <c r="U32" s="2"/>
      <c r="V32" s="3"/>
      <c r="AB32" s="4"/>
      <c r="AC32" s="4"/>
    </row>
    <row r="33" s="1" customFormat="1" ht="20" customHeight="1" spans="2:29">
      <c r="B33" s="73"/>
      <c r="C33" s="73"/>
      <c r="D33" s="73"/>
      <c r="E33" s="6"/>
      <c r="F33" s="73"/>
      <c r="G33" s="2"/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N34" s="6"/>
      <c r="Q34" s="2"/>
      <c r="U34" s="2"/>
      <c r="V34" s="3"/>
      <c r="AB34" s="4"/>
      <c r="AC34" s="4"/>
    </row>
    <row r="35" s="1" customFormat="1" spans="2:29">
      <c r="B35" s="73"/>
      <c r="C35" s="73"/>
      <c r="D35" s="73"/>
      <c r="E35" s="6"/>
      <c r="F35" s="73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workbookViewId="0">
      <selection activeCell="H30" sqref="H30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1.75082536382536</v>
      </c>
      <c r="U2" s="18">
        <f>SUM($E$3:$E$7)</f>
        <v>1.065</v>
      </c>
      <c r="V2" s="20">
        <f t="shared" ref="V2:V11" si="2">1+$G$8*($I$8-1)</f>
        <v>3.28</v>
      </c>
      <c r="W2" s="21">
        <v>0.35</v>
      </c>
      <c r="X2" s="19">
        <f t="shared" ref="X2:X12" si="3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2" si="4">Q2*S2*(1+T2)*(1+U2)*V2*(1+W2)*X2*Y2*(1+Z2)*(1+AA2)*(1+AB2)</f>
        <v>31795.5805370218</v>
      </c>
      <c r="AD2" s="13">
        <v>0</v>
      </c>
      <c r="AE2" s="14">
        <f t="shared" ref="AE2:AE7" si="5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v>0.6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f>15%+20%</f>
        <v>0.35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1.75082536382536</v>
      </c>
      <c r="U3" s="18">
        <f>SUM($E$3:$E$8)</f>
        <v>1.957</v>
      </c>
      <c r="V3" s="20">
        <f t="shared" si="2"/>
        <v>3.28</v>
      </c>
      <c r="W3" s="21">
        <f t="shared" ref="W3:W10" si="6">K$3+K$5</f>
        <v>0.6</v>
      </c>
      <c r="X3" s="19">
        <f t="shared" si="3"/>
        <v>0.550756565598006</v>
      </c>
      <c r="Y3" s="19">
        <v>0.8</v>
      </c>
      <c r="Z3" s="22">
        <v>0.93</v>
      </c>
      <c r="AA3" s="22">
        <v>0</v>
      </c>
      <c r="AB3" s="22">
        <v>0</v>
      </c>
      <c r="AC3" s="23">
        <f t="shared" si="4"/>
        <v>100650.129023975</v>
      </c>
      <c r="AD3" s="13">
        <v>18</v>
      </c>
      <c r="AE3" s="14">
        <f t="shared" si="5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v>0.12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1.75082536382536</v>
      </c>
      <c r="U4" s="18">
        <f>SUM($E$3:$E$8)</f>
        <v>1.957</v>
      </c>
      <c r="V4" s="20">
        <f t="shared" si="2"/>
        <v>3.28</v>
      </c>
      <c r="W4" s="21">
        <f t="shared" si="6"/>
        <v>0.6</v>
      </c>
      <c r="X4" s="19">
        <f t="shared" si="3"/>
        <v>0.550756565598006</v>
      </c>
      <c r="Y4" s="19">
        <v>0.8</v>
      </c>
      <c r="Z4" s="22">
        <v>0.93</v>
      </c>
      <c r="AA4" s="22">
        <v>0</v>
      </c>
      <c r="AB4" s="22">
        <v>0</v>
      </c>
      <c r="AC4" s="23">
        <f t="shared" si="4"/>
        <v>196830.33350591</v>
      </c>
      <c r="AD4" s="13">
        <v>14.4</v>
      </c>
      <c r="AE4" s="14">
        <f t="shared" si="5"/>
        <v>0.540104154822277</v>
      </c>
      <c r="AF4" s="24">
        <v>90</v>
      </c>
    </row>
    <row r="5" s="1" customFormat="1" spans="2:32">
      <c r="B5" s="25" t="s">
        <v>37</v>
      </c>
      <c r="C5" s="28">
        <f>18%+18%+M3</f>
        <v>0.532</v>
      </c>
      <c r="D5" s="25" t="s">
        <v>38</v>
      </c>
      <c r="E5" s="27">
        <v>0.225</v>
      </c>
      <c r="F5" s="25" t="s">
        <v>116</v>
      </c>
      <c r="G5" s="27">
        <v>0.125</v>
      </c>
      <c r="H5" s="25" t="s">
        <v>32</v>
      </c>
      <c r="I5" s="27">
        <v>0.72</v>
      </c>
      <c r="J5" s="30" t="s">
        <v>40</v>
      </c>
      <c r="K5" s="27">
        <v>0.25</v>
      </c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1.75082536382536</v>
      </c>
      <c r="U5" s="18">
        <f>SUM($E$3:$E$8)</f>
        <v>1.957</v>
      </c>
      <c r="V5" s="20">
        <f t="shared" si="2"/>
        <v>3.28</v>
      </c>
      <c r="W5" s="21">
        <f t="shared" si="6"/>
        <v>0.6</v>
      </c>
      <c r="X5" s="19">
        <f t="shared" si="3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4"/>
        <v>60460.8681073024</v>
      </c>
      <c r="AD5" s="13">
        <v>21.6</v>
      </c>
      <c r="AE5" s="14">
        <f t="shared" si="5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>
        <v>0.12</v>
      </c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1.75082536382536</v>
      </c>
      <c r="U6" s="18">
        <f>SUM($E$3:$E$8)-48%</f>
        <v>1.477</v>
      </c>
      <c r="V6" s="20">
        <f t="shared" si="2"/>
        <v>3.28</v>
      </c>
      <c r="W6" s="21">
        <f t="shared" si="6"/>
        <v>0.6</v>
      </c>
      <c r="X6" s="19">
        <f t="shared" si="3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4"/>
        <v>75967.4104338444</v>
      </c>
      <c r="AD6" s="13">
        <v>28.8</v>
      </c>
      <c r="AE6" s="14">
        <f t="shared" si="5"/>
        <v>0.585393507677898</v>
      </c>
      <c r="AF6" s="24">
        <v>90</v>
      </c>
    </row>
    <row r="7" s="1" customFormat="1" spans="2:32">
      <c r="B7" s="25" t="s">
        <v>46</v>
      </c>
      <c r="C7" s="31">
        <f>22.5%+39%</f>
        <v>0.615</v>
      </c>
      <c r="D7" s="25" t="s">
        <v>47</v>
      </c>
      <c r="E7" s="27"/>
      <c r="F7" s="25" t="s">
        <v>48</v>
      </c>
      <c r="G7" s="89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1.75082536382536</v>
      </c>
      <c r="U7" s="18">
        <f>SUM($E$3:$E$8)+18%</f>
        <v>2.137</v>
      </c>
      <c r="V7" s="20">
        <f t="shared" si="2"/>
        <v>3.28</v>
      </c>
      <c r="W7" s="21">
        <f t="shared" si="6"/>
        <v>0.6</v>
      </c>
      <c r="X7" s="19">
        <f t="shared" si="3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4"/>
        <v>139142.892241499</v>
      </c>
      <c r="AD7" s="13">
        <v>36</v>
      </c>
      <c r="AE7" s="14">
        <f t="shared" si="5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1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1.75082536382536</v>
      </c>
      <c r="U8" s="18">
        <f>SUM($E$3:$E$8)+36%</f>
        <v>2.317</v>
      </c>
      <c r="V8" s="20">
        <f t="shared" si="2"/>
        <v>3.28</v>
      </c>
      <c r="W8" s="21">
        <f t="shared" si="6"/>
        <v>0.6</v>
      </c>
      <c r="X8" s="19">
        <f t="shared" si="3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4"/>
        <v>353124.933666091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1.75082536382536</v>
      </c>
      <c r="U9" s="18">
        <f>SUM($E$3:$E$8)+36%</f>
        <v>2.317</v>
      </c>
      <c r="V9" s="20">
        <f t="shared" si="2"/>
        <v>3.28</v>
      </c>
      <c r="W9" s="21">
        <f t="shared" si="6"/>
        <v>0.6</v>
      </c>
      <c r="X9" s="19">
        <f t="shared" si="3"/>
        <v>0.550756565598006</v>
      </c>
      <c r="Y9" s="19">
        <v>0.8</v>
      </c>
      <c r="Z9" s="22">
        <v>0</v>
      </c>
      <c r="AA9" s="22">
        <v>1.26</v>
      </c>
      <c r="AB9" s="22">
        <v>0.8</v>
      </c>
      <c r="AC9" s="23">
        <f t="shared" si="4"/>
        <v>532005.787566735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794.2%+1032.18%</f>
        <v>18.2638</v>
      </c>
      <c r="R10" s="19" t="s">
        <v>59</v>
      </c>
      <c r="S10" s="19">
        <f t="shared" si="0"/>
        <v>962</v>
      </c>
      <c r="T10" s="18">
        <f t="shared" si="1"/>
        <v>1.75082536382536</v>
      </c>
      <c r="U10" s="18">
        <f>SUM($E$3:$E$7)</f>
        <v>1.065</v>
      </c>
      <c r="V10" s="20">
        <f t="shared" si="2"/>
        <v>3.28</v>
      </c>
      <c r="W10" s="21">
        <f t="shared" si="6"/>
        <v>0.6</v>
      </c>
      <c r="X10" s="19">
        <f t="shared" si="3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4"/>
        <v>230777.140213505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1.52582536382536</v>
      </c>
      <c r="U11" s="18">
        <f>SUM($E$3:$E$8)-12%</f>
        <v>1.837</v>
      </c>
      <c r="V11" s="20">
        <f t="shared" si="2"/>
        <v>3.28</v>
      </c>
      <c r="W11" s="21">
        <v>0.6</v>
      </c>
      <c r="X11" s="19">
        <f t="shared" si="3"/>
        <v>0.550756565598006</v>
      </c>
      <c r="Y11" s="19">
        <v>0.8</v>
      </c>
      <c r="Z11" s="22">
        <v>0.93</v>
      </c>
      <c r="AA11" s="22">
        <v>0</v>
      </c>
      <c r="AB11" s="22">
        <v>0</v>
      </c>
      <c r="AC11" s="23">
        <f t="shared" si="4"/>
        <v>262063.634160594</v>
      </c>
    </row>
    <row r="12" s="1" customFormat="1" ht="14.75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1.75082536382536</v>
      </c>
      <c r="U12" s="42">
        <f>SUM($E$3:$E$5)</f>
        <v>0.945</v>
      </c>
      <c r="V12" s="44">
        <f>1+($G$8-0.125)*($I$8-1-0.25)</f>
        <v>2.77625</v>
      </c>
      <c r="W12" s="42">
        <v>0.15</v>
      </c>
      <c r="X12" s="43">
        <f t="shared" si="3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4"/>
        <v>29323.7023796386</v>
      </c>
    </row>
    <row r="13" s="1" customFormat="1" ht="15" spans="2:32">
      <c r="B13" s="90" t="s">
        <v>62</v>
      </c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2"/>
      <c r="N13" s="6"/>
      <c r="P13" s="93" t="s">
        <v>63</v>
      </c>
      <c r="Q13" s="94">
        <f>41.76%*2+20.55%*5+133.61%</f>
        <v>3.1988</v>
      </c>
      <c r="R13" s="95" t="s">
        <v>64</v>
      </c>
      <c r="S13" s="95">
        <f t="shared" ref="S13:S22" si="7">C$15</f>
        <v>875</v>
      </c>
      <c r="T13" s="94">
        <f t="shared" ref="T13:T22" si="8">(C$16+C$17+C$18+C$19)+(C$20+C$21)/S$4</f>
        <v>2.12482536382536</v>
      </c>
      <c r="U13" s="94">
        <f t="shared" ref="U13:U22" si="9">E$15+E$20</f>
        <v>0.94</v>
      </c>
      <c r="V13" s="96">
        <f t="shared" ref="V13:V15" si="10">G$20*(I$20-1)+1</f>
        <v>2.1528</v>
      </c>
      <c r="W13" s="97">
        <f t="shared" ref="W13:W22" si="11">K$15</f>
        <v>0.15</v>
      </c>
      <c r="X13" s="95">
        <f t="shared" ref="X13:X22" si="12">AE$2</f>
        <v>0.50131926121372</v>
      </c>
      <c r="Y13" s="95">
        <v>0.8</v>
      </c>
      <c r="Z13" s="97"/>
      <c r="AA13" s="97"/>
      <c r="AB13" s="98"/>
      <c r="AC13" s="99">
        <f t="shared" si="4"/>
        <v>16847.2307573442</v>
      </c>
    </row>
    <row r="14" s="1" customFormat="1" spans="2:32">
      <c r="B14" s="100" t="s">
        <v>17</v>
      </c>
      <c r="C14" s="101"/>
      <c r="D14" s="100" t="s">
        <v>6</v>
      </c>
      <c r="E14" s="101"/>
      <c r="F14" s="100" t="s">
        <v>18</v>
      </c>
      <c r="G14" s="101"/>
      <c r="H14" s="100" t="s">
        <v>19</v>
      </c>
      <c r="I14" s="101"/>
      <c r="J14" s="102" t="s">
        <v>8</v>
      </c>
      <c r="K14" s="102"/>
      <c r="L14" s="100" t="s">
        <v>20</v>
      </c>
      <c r="M14" s="101"/>
      <c r="N14" s="6"/>
      <c r="P14" s="93" t="s">
        <v>65</v>
      </c>
      <c r="Q14" s="94">
        <f>86.16%*3</f>
        <v>2.5848</v>
      </c>
      <c r="R14" s="95" t="s">
        <v>22</v>
      </c>
      <c r="S14" s="95">
        <f t="shared" si="7"/>
        <v>875</v>
      </c>
      <c r="T14" s="94">
        <f t="shared" si="8"/>
        <v>2.12482536382536</v>
      </c>
      <c r="U14" s="94">
        <f t="shared" si="9"/>
        <v>0.94</v>
      </c>
      <c r="V14" s="96">
        <f t="shared" si="10"/>
        <v>2.1528</v>
      </c>
      <c r="W14" s="97">
        <f t="shared" si="11"/>
        <v>0.15</v>
      </c>
      <c r="X14" s="95">
        <f t="shared" si="12"/>
        <v>0.50131926121372</v>
      </c>
      <c r="Y14" s="95">
        <v>0.8</v>
      </c>
      <c r="Z14" s="97"/>
      <c r="AA14" s="97"/>
      <c r="AB14" s="98"/>
      <c r="AC14" s="99">
        <f t="shared" si="4"/>
        <v>13613.4556901286</v>
      </c>
    </row>
    <row r="15" s="1" customFormat="1" spans="2:32">
      <c r="B15" s="25" t="s">
        <v>23</v>
      </c>
      <c r="C15" s="26">
        <f>375+500</f>
        <v>875</v>
      </c>
      <c r="D15" s="25" t="s">
        <v>24</v>
      </c>
      <c r="E15" s="28">
        <v>0.6</v>
      </c>
      <c r="F15" s="25" t="s">
        <v>25</v>
      </c>
      <c r="G15" s="27">
        <v>0.13</v>
      </c>
      <c r="H15" s="25" t="s">
        <v>25</v>
      </c>
      <c r="I15" s="28">
        <v>1.5</v>
      </c>
      <c r="J15" s="103" t="s">
        <v>26</v>
      </c>
      <c r="K15" s="104">
        <v>0.15</v>
      </c>
      <c r="L15" s="25" t="s">
        <v>27</v>
      </c>
      <c r="M15" s="27">
        <f>8.6%*2</f>
        <v>0.172</v>
      </c>
      <c r="N15" s="6"/>
      <c r="P15" s="93" t="s">
        <v>66</v>
      </c>
      <c r="Q15" s="94">
        <f>98.42%*3</f>
        <v>2.9526</v>
      </c>
      <c r="R15" s="95" t="s">
        <v>29</v>
      </c>
      <c r="S15" s="95">
        <f t="shared" si="7"/>
        <v>875</v>
      </c>
      <c r="T15" s="94">
        <f t="shared" si="8"/>
        <v>2.12482536382536</v>
      </c>
      <c r="U15" s="94">
        <f t="shared" si="9"/>
        <v>0.94</v>
      </c>
      <c r="V15" s="96">
        <f t="shared" si="10"/>
        <v>2.1528</v>
      </c>
      <c r="W15" s="97">
        <f t="shared" si="11"/>
        <v>0.15</v>
      </c>
      <c r="X15" s="95">
        <f t="shared" si="12"/>
        <v>0.50131926121372</v>
      </c>
      <c r="Y15" s="95">
        <v>0.8</v>
      </c>
      <c r="Z15" s="97"/>
      <c r="AA15" s="97"/>
      <c r="AB15" s="98"/>
      <c r="AC15" s="99">
        <f t="shared" si="4"/>
        <v>15550.5606896757</v>
      </c>
    </row>
    <row r="16" s="1" customFormat="1" spans="2:32">
      <c r="B16" s="25" t="s">
        <v>30</v>
      </c>
      <c r="C16" s="28">
        <f>12%+53.9%</f>
        <v>0.659</v>
      </c>
      <c r="D16" s="25" t="s">
        <v>67</v>
      </c>
      <c r="E16" s="28"/>
      <c r="F16" s="25" t="s">
        <v>32</v>
      </c>
      <c r="G16" s="105">
        <v>0</v>
      </c>
      <c r="H16" s="25" t="s">
        <v>33</v>
      </c>
      <c r="I16" s="27">
        <f>M18</f>
        <v>0.81</v>
      </c>
      <c r="J16" s="30" t="s">
        <v>68</v>
      </c>
      <c r="K16" s="27"/>
      <c r="L16" s="25" t="s">
        <v>69</v>
      </c>
      <c r="M16" s="27">
        <f>8.6%*2</f>
        <v>0.172</v>
      </c>
      <c r="N16" s="6"/>
      <c r="P16" s="93" t="s">
        <v>70</v>
      </c>
      <c r="Q16" s="94">
        <f>65.21%*2</f>
        <v>1.3042</v>
      </c>
      <c r="R16" s="95" t="s">
        <v>64</v>
      </c>
      <c r="S16" s="95">
        <f t="shared" si="7"/>
        <v>875</v>
      </c>
      <c r="T16" s="94">
        <f t="shared" si="8"/>
        <v>2.12482536382536</v>
      </c>
      <c r="U16" s="94">
        <f t="shared" si="9"/>
        <v>0.94</v>
      </c>
      <c r="V16" s="96">
        <f>(G$20-0.125)*(I$20-1)+1</f>
        <v>1.98905</v>
      </c>
      <c r="W16" s="97">
        <f t="shared" si="11"/>
        <v>0.15</v>
      </c>
      <c r="X16" s="95">
        <f t="shared" si="12"/>
        <v>0.50131926121372</v>
      </c>
      <c r="Y16" s="95">
        <v>0.8</v>
      </c>
      <c r="Z16" s="97"/>
      <c r="AA16" s="97"/>
      <c r="AB16" s="98"/>
      <c r="AC16" s="99">
        <f t="shared" si="4"/>
        <v>6346.40302995152</v>
      </c>
    </row>
    <row r="17" s="1" customFormat="1" spans="2:29">
      <c r="B17" s="25" t="s">
        <v>37</v>
      </c>
      <c r="C17" s="28">
        <f>18%+18%+M15</f>
        <v>0.532</v>
      </c>
      <c r="D17" s="25" t="s">
        <v>38</v>
      </c>
      <c r="E17" s="28"/>
      <c r="F17" s="25" t="s">
        <v>39</v>
      </c>
      <c r="G17" s="27"/>
      <c r="H17" s="25" t="s">
        <v>39</v>
      </c>
      <c r="I17" s="27"/>
      <c r="J17" s="30"/>
      <c r="K17" s="27"/>
      <c r="L17" s="25" t="s">
        <v>18</v>
      </c>
      <c r="M17" s="27">
        <f>8.1*5%</f>
        <v>0.405</v>
      </c>
      <c r="N17" s="6"/>
      <c r="P17" s="93" t="s">
        <v>71</v>
      </c>
      <c r="Q17" s="94">
        <f>65.21%*4</f>
        <v>2.6084</v>
      </c>
      <c r="R17" s="95" t="s">
        <v>64</v>
      </c>
      <c r="S17" s="95">
        <f t="shared" si="7"/>
        <v>875</v>
      </c>
      <c r="T17" s="94">
        <f t="shared" si="8"/>
        <v>2.12482536382536</v>
      </c>
      <c r="U17" s="94">
        <f t="shared" si="9"/>
        <v>0.94</v>
      </c>
      <c r="V17" s="96">
        <f t="shared" ref="V17:V22" si="13">G$20*(I$20-1)+1</f>
        <v>2.1528</v>
      </c>
      <c r="W17" s="97">
        <f t="shared" si="11"/>
        <v>0.15</v>
      </c>
      <c r="X17" s="95">
        <f t="shared" si="12"/>
        <v>0.50131926121372</v>
      </c>
      <c r="Y17" s="95">
        <v>0.8</v>
      </c>
      <c r="Z17" s="97"/>
      <c r="AA17" s="97"/>
      <c r="AB17" s="98"/>
      <c r="AC17" s="99">
        <f t="shared" si="4"/>
        <v>13737.7506275656</v>
      </c>
    </row>
    <row r="18" s="1" customFormat="1" spans="2:29">
      <c r="B18" s="25" t="s">
        <v>42</v>
      </c>
      <c r="C18" s="31">
        <v>0.18</v>
      </c>
      <c r="D18" s="25" t="s">
        <v>43</v>
      </c>
      <c r="E18" s="28"/>
      <c r="F18" s="25" t="s">
        <v>33</v>
      </c>
      <c r="G18" s="27">
        <f>M17+22%</f>
        <v>0.625</v>
      </c>
      <c r="H18" s="25"/>
      <c r="I18" s="27"/>
      <c r="J18" s="30"/>
      <c r="K18" s="27"/>
      <c r="L18" s="25" t="s">
        <v>44</v>
      </c>
      <c r="M18" s="28">
        <f>16.2%*5</f>
        <v>0.81</v>
      </c>
      <c r="N18" s="6"/>
      <c r="P18" s="93" t="s">
        <v>72</v>
      </c>
      <c r="Q18" s="94">
        <f>65.21%*15</f>
        <v>9.7815</v>
      </c>
      <c r="R18" s="95" t="s">
        <v>64</v>
      </c>
      <c r="S18" s="95">
        <f t="shared" si="7"/>
        <v>875</v>
      </c>
      <c r="T18" s="94">
        <f t="shared" si="8"/>
        <v>2.12482536382536</v>
      </c>
      <c r="U18" s="94">
        <f t="shared" si="9"/>
        <v>0.94</v>
      </c>
      <c r="V18" s="96">
        <f>G$20*(I$20-1+25%)+1</f>
        <v>2.3728</v>
      </c>
      <c r="W18" s="97">
        <f t="shared" si="11"/>
        <v>0.15</v>
      </c>
      <c r="X18" s="95">
        <f t="shared" si="12"/>
        <v>0.50131926121372</v>
      </c>
      <c r="Y18" s="95">
        <v>0.8</v>
      </c>
      <c r="Z18" s="97"/>
      <c r="AA18" s="97"/>
      <c r="AB18" s="98"/>
      <c r="AC18" s="99">
        <f t="shared" si="4"/>
        <v>56781.1710721285</v>
      </c>
    </row>
    <row r="19" s="1" customFormat="1" spans="2:29">
      <c r="B19" s="25" t="s">
        <v>46</v>
      </c>
      <c r="C19" s="31">
        <v>0.39</v>
      </c>
      <c r="D19" s="25" t="s">
        <v>47</v>
      </c>
      <c r="E19" s="105"/>
      <c r="F19" s="25" t="s">
        <v>48</v>
      </c>
      <c r="G19" s="27">
        <v>0.125</v>
      </c>
      <c r="H19" s="25" t="s">
        <v>48</v>
      </c>
      <c r="I19" s="27">
        <v>0</v>
      </c>
      <c r="J19" s="30"/>
      <c r="K19" s="27"/>
      <c r="L19" s="25"/>
      <c r="M19" s="26"/>
      <c r="N19" s="6"/>
      <c r="P19" s="93" t="s">
        <v>73</v>
      </c>
      <c r="Q19" s="94">
        <f>83.01%*3</f>
        <v>2.4903</v>
      </c>
      <c r="R19" s="95" t="s">
        <v>74</v>
      </c>
      <c r="S19" s="95">
        <f t="shared" si="7"/>
        <v>875</v>
      </c>
      <c r="T19" s="94">
        <f t="shared" si="8"/>
        <v>2.12482536382536</v>
      </c>
      <c r="U19" s="94">
        <f t="shared" si="9"/>
        <v>0.94</v>
      </c>
      <c r="V19" s="96">
        <f t="shared" si="13"/>
        <v>2.1528</v>
      </c>
      <c r="W19" s="97">
        <f t="shared" si="11"/>
        <v>0.15</v>
      </c>
      <c r="X19" s="95">
        <f t="shared" si="12"/>
        <v>0.50131926121372</v>
      </c>
      <c r="Y19" s="95">
        <v>0.8</v>
      </c>
      <c r="Z19" s="97"/>
      <c r="AA19" s="97"/>
      <c r="AB19" s="98"/>
      <c r="AC19" s="99">
        <f t="shared" si="4"/>
        <v>13115.7492669171</v>
      </c>
    </row>
    <row r="20" s="1" customFormat="1" spans="2:29">
      <c r="B20" s="25" t="s">
        <v>50</v>
      </c>
      <c r="C20" s="26">
        <v>350</v>
      </c>
      <c r="D20" s="25" t="s">
        <v>75</v>
      </c>
      <c r="E20" s="28">
        <f>18%+16%</f>
        <v>0.34</v>
      </c>
      <c r="F20" s="32" t="s">
        <v>52</v>
      </c>
      <c r="G20" s="33">
        <f>MIN(100%,SUM(G15:G19))</f>
        <v>0.88</v>
      </c>
      <c r="H20" s="32" t="s">
        <v>53</v>
      </c>
      <c r="I20" s="34">
        <f>SUM(I15:I19)</f>
        <v>2.31</v>
      </c>
      <c r="J20" s="30"/>
      <c r="K20" s="27"/>
      <c r="L20" s="25"/>
      <c r="M20" s="26"/>
      <c r="N20" s="6"/>
      <c r="P20" s="106" t="s">
        <v>76</v>
      </c>
      <c r="Q20" s="94">
        <v>2.9822</v>
      </c>
      <c r="R20" s="95" t="s">
        <v>64</v>
      </c>
      <c r="S20" s="95">
        <f t="shared" si="7"/>
        <v>875</v>
      </c>
      <c r="T20" s="94">
        <f t="shared" si="8"/>
        <v>2.12482536382536</v>
      </c>
      <c r="U20" s="94">
        <f t="shared" si="9"/>
        <v>0.94</v>
      </c>
      <c r="V20" s="96">
        <f t="shared" si="13"/>
        <v>2.1528</v>
      </c>
      <c r="W20" s="97">
        <f t="shared" si="11"/>
        <v>0.15</v>
      </c>
      <c r="X20" s="95">
        <f t="shared" si="12"/>
        <v>0.50131926121372</v>
      </c>
      <c r="Y20" s="95">
        <v>0.8</v>
      </c>
      <c r="Z20" s="97"/>
      <c r="AA20" s="97"/>
      <c r="AB20" s="98"/>
      <c r="AC20" s="99">
        <f t="shared" si="4"/>
        <v>15706.4560349356</v>
      </c>
    </row>
    <row r="21" s="1" customFormat="1" spans="2:29">
      <c r="B21" s="35" t="s">
        <v>55</v>
      </c>
      <c r="C21" s="36"/>
      <c r="D21" s="35"/>
      <c r="E21" s="37"/>
      <c r="F21" s="35"/>
      <c r="G21" s="37"/>
      <c r="H21" s="35"/>
      <c r="I21" s="36"/>
      <c r="J21" s="39"/>
      <c r="K21" s="38"/>
      <c r="L21" s="35"/>
      <c r="M21" s="36"/>
      <c r="N21" s="6"/>
      <c r="P21" s="93" t="s">
        <v>77</v>
      </c>
      <c r="Q21" s="94">
        <f>119.29%*3</f>
        <v>3.5787</v>
      </c>
      <c r="R21" s="95" t="s">
        <v>64</v>
      </c>
      <c r="S21" s="95">
        <f t="shared" si="7"/>
        <v>875</v>
      </c>
      <c r="T21" s="94">
        <f t="shared" si="8"/>
        <v>2.12482536382536</v>
      </c>
      <c r="U21" s="94">
        <f t="shared" si="9"/>
        <v>0.94</v>
      </c>
      <c r="V21" s="96">
        <f t="shared" si="13"/>
        <v>2.1528</v>
      </c>
      <c r="W21" s="97">
        <f t="shared" si="11"/>
        <v>0.15</v>
      </c>
      <c r="X21" s="95">
        <f t="shared" si="12"/>
        <v>0.50131926121372</v>
      </c>
      <c r="Y21" s="95">
        <v>0.8</v>
      </c>
      <c r="Z21" s="97"/>
      <c r="AA21" s="97"/>
      <c r="AB21" s="98"/>
      <c r="AC21" s="99">
        <f t="shared" si="4"/>
        <v>18848.063246001</v>
      </c>
    </row>
    <row r="22" s="1" customFormat="1" ht="15" spans="2:29">
      <c r="B22" s="107" t="s">
        <v>78</v>
      </c>
      <c r="C22" s="6"/>
      <c r="D22" s="6"/>
      <c r="E22" s="6"/>
      <c r="F22" s="6"/>
      <c r="G22" s="40"/>
      <c r="H22" s="6"/>
      <c r="I22" s="6"/>
      <c r="J22" s="6"/>
      <c r="K22" s="6"/>
      <c r="L22" s="6"/>
      <c r="M22" s="6"/>
      <c r="N22" s="6"/>
      <c r="P22" s="93" t="s">
        <v>61</v>
      </c>
      <c r="Q22" s="94">
        <v>3.1</v>
      </c>
      <c r="R22" s="95" t="s">
        <v>61</v>
      </c>
      <c r="S22" s="95">
        <f t="shared" si="7"/>
        <v>875</v>
      </c>
      <c r="T22" s="94">
        <f t="shared" si="8"/>
        <v>2.12482536382536</v>
      </c>
      <c r="U22" s="94">
        <f t="shared" si="9"/>
        <v>0.94</v>
      </c>
      <c r="V22" s="96">
        <f t="shared" si="13"/>
        <v>2.1528</v>
      </c>
      <c r="W22" s="97">
        <f t="shared" si="11"/>
        <v>0.15</v>
      </c>
      <c r="X22" s="95">
        <f t="shared" si="12"/>
        <v>0.50131926121372</v>
      </c>
      <c r="Y22" s="95">
        <v>0.8</v>
      </c>
      <c r="Z22" s="97"/>
      <c r="AA22" s="97"/>
      <c r="AB22" s="98"/>
      <c r="AC22" s="99">
        <f t="shared" si="4"/>
        <v>16326.8773751929</v>
      </c>
    </row>
    <row r="23" s="1" customFormat="1" spans="2:29">
      <c r="B23" s="71"/>
      <c r="C23" s="71" t="s">
        <v>79</v>
      </c>
      <c r="D23" s="71" t="s">
        <v>80</v>
      </c>
      <c r="E23" s="71" t="s">
        <v>81</v>
      </c>
      <c r="F23" s="72"/>
      <c r="G23" s="40"/>
      <c r="H23" s="6"/>
      <c r="I23" s="6"/>
      <c r="J23" s="6"/>
      <c r="K23" s="6"/>
      <c r="L23" s="6"/>
      <c r="M23" s="6"/>
      <c r="N23" s="6"/>
      <c r="Q23" s="108"/>
      <c r="U23" s="2"/>
      <c r="V23" s="108"/>
      <c r="AB23" s="4"/>
      <c r="AC23" s="4"/>
    </row>
    <row r="24" s="1" customFormat="1" spans="2:29">
      <c r="B24" s="73" t="s">
        <v>82</v>
      </c>
      <c r="C24" s="73">
        <f>SUM(AC2:AC12)</f>
        <v>2012142.41183612</v>
      </c>
      <c r="D24" s="73">
        <f>C24/E24</f>
        <v>80485.6964734447</v>
      </c>
      <c r="E24" s="72">
        <v>25</v>
      </c>
      <c r="F24" s="72"/>
      <c r="G24" s="40"/>
      <c r="H24" s="6"/>
      <c r="I24" s="6"/>
      <c r="J24" s="6"/>
      <c r="K24" s="6"/>
      <c r="L24" s="6"/>
      <c r="M24" s="6"/>
      <c r="N24" s="6"/>
      <c r="Q24" s="108"/>
      <c r="U24" s="2"/>
      <c r="V24" s="108"/>
      <c r="AB24" s="4"/>
      <c r="AC24" s="4"/>
    </row>
    <row r="25" s="1" customFormat="1" spans="2:29">
      <c r="B25" s="73" t="s">
        <v>62</v>
      </c>
      <c r="C25" s="73">
        <f>SUM(AC13:AC22)</f>
        <v>186873.717789841</v>
      </c>
      <c r="D25" s="73">
        <f>C25/E24</f>
        <v>7474.94871159363</v>
      </c>
      <c r="E25" s="40"/>
      <c r="F25" s="6"/>
      <c r="G25" s="40"/>
      <c r="H25" s="6"/>
      <c r="I25" s="6"/>
      <c r="J25" s="6"/>
      <c r="K25" s="6"/>
      <c r="L25" s="6"/>
      <c r="M25" s="6"/>
      <c r="N25" s="6"/>
      <c r="Q25" s="108"/>
      <c r="V25" s="108"/>
      <c r="AB25" s="4"/>
      <c r="AC25" s="4"/>
    </row>
    <row r="26" s="1" customFormat="1" spans="2:29">
      <c r="B26" s="73" t="s">
        <v>83</v>
      </c>
      <c r="C26" s="73">
        <v>50000</v>
      </c>
      <c r="D26" s="73">
        <f>C26/E24</f>
        <v>2000</v>
      </c>
      <c r="E26" s="6"/>
      <c r="F26" s="6"/>
      <c r="G26" s="40"/>
      <c r="H26" s="6"/>
      <c r="I26" s="6"/>
      <c r="J26" s="6"/>
      <c r="K26" s="6"/>
      <c r="L26" s="6"/>
      <c r="M26" s="6"/>
      <c r="N26" s="6"/>
      <c r="Q26" s="74"/>
      <c r="U26" s="2"/>
      <c r="V26" s="2"/>
      <c r="AB26" s="4"/>
      <c r="AC26" s="4"/>
    </row>
    <row r="27" s="1" customFormat="1" spans="2:29">
      <c r="B27" s="73" t="s">
        <v>84</v>
      </c>
      <c r="C27" s="73">
        <f>C24+C25+C26</f>
        <v>2249016.12962596</v>
      </c>
      <c r="D27" s="73">
        <f>C27/E24</f>
        <v>89960.6451850383</v>
      </c>
      <c r="E27" s="6"/>
      <c r="F27" s="6"/>
      <c r="G27" s="40"/>
      <c r="H27" s="6"/>
      <c r="I27" s="6"/>
      <c r="J27" s="6"/>
      <c r="K27" s="6"/>
      <c r="L27" s="6"/>
      <c r="M27" s="6"/>
      <c r="N27" s="6"/>
      <c r="Q27" s="2"/>
      <c r="U27" s="2"/>
      <c r="V27" s="3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N28" s="6"/>
      <c r="Q28" s="2"/>
      <c r="U28" s="2"/>
      <c r="V28" s="3"/>
      <c r="AB28" s="4"/>
      <c r="AC28" s="4"/>
    </row>
    <row r="29" s="1" customFormat="1" ht="20" customHeight="1" spans="2:29">
      <c r="B29" s="73"/>
      <c r="C29" s="73"/>
      <c r="D29" s="73"/>
      <c r="E29" s="6"/>
      <c r="F29" s="73"/>
      <c r="G29" s="2"/>
      <c r="N29" s="6"/>
      <c r="Q29" s="2"/>
      <c r="U29" s="2"/>
      <c r="V29" s="3"/>
      <c r="AB29" s="4"/>
      <c r="AC29" s="4"/>
    </row>
    <row r="30" s="1" customFormat="1" ht="20" customHeight="1" spans="2:29">
      <c r="B30" s="73"/>
      <c r="C30" s="73"/>
      <c r="D30" s="73"/>
      <c r="E30" s="6"/>
      <c r="F30" s="73"/>
      <c r="G30" s="2"/>
      <c r="N30" s="6"/>
      <c r="Q30" s="2"/>
      <c r="U30" s="2"/>
      <c r="V30" s="3"/>
      <c r="AB30" s="4"/>
      <c r="AC30" s="4"/>
    </row>
    <row r="31" s="1" customFormat="1" ht="20" customHeight="1" spans="2:29">
      <c r="B31" s="6"/>
      <c r="C31" s="6"/>
      <c r="D31" s="6"/>
      <c r="E31" s="6"/>
      <c r="F31" s="6"/>
      <c r="G31" s="2"/>
      <c r="N31" s="6"/>
      <c r="Q31" s="2"/>
      <c r="U31" s="2"/>
      <c r="V31" s="3"/>
      <c r="AB31" s="4"/>
      <c r="AC31" s="4"/>
    </row>
    <row r="32" s="1" customFormat="1" ht="20" customHeight="1" spans="2:29">
      <c r="B32" s="73"/>
      <c r="C32" s="73"/>
      <c r="D32" s="73"/>
      <c r="E32" s="6"/>
      <c r="F32" s="73"/>
      <c r="G32" s="2"/>
      <c r="N32" s="6"/>
      <c r="Q32" s="2"/>
      <c r="U32" s="2"/>
      <c r="V32" s="3"/>
      <c r="AB32" s="4"/>
      <c r="AC32" s="4"/>
    </row>
    <row r="33" s="1" customFormat="1" ht="20" customHeight="1" spans="2:29">
      <c r="B33" s="73"/>
      <c r="C33" s="73"/>
      <c r="D33" s="73"/>
      <c r="E33" s="6"/>
      <c r="F33" s="73"/>
      <c r="G33" s="2"/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N34" s="6"/>
      <c r="Q34" s="2"/>
      <c r="U34" s="2"/>
      <c r="V34" s="3"/>
      <c r="AB34" s="4"/>
      <c r="AC34" s="4"/>
    </row>
    <row r="35" s="1" customFormat="1" spans="2:29">
      <c r="B35" s="73"/>
      <c r="C35" s="73"/>
      <c r="D35" s="73"/>
      <c r="E35" s="6"/>
      <c r="F35" s="73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8"/>
  <sheetViews>
    <sheetView topLeftCell="A10" workbookViewId="0">
      <selection activeCell="J36" sqref="J3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9090909090909" style="1" customWidth="1"/>
    <col min="7" max="7" width="14" style="2" customWidth="1"/>
    <col min="8" max="8" width="6.54545454545455" style="1" customWidth="1"/>
    <col min="9" max="9" width="14" style="1" customWidth="1"/>
    <col min="10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6.2727272727273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customHeight="1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customHeigh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2.09582536382536</v>
      </c>
      <c r="U2" s="18">
        <f>SUM($E$3:$E$7)</f>
        <v>1.225</v>
      </c>
      <c r="V2" s="20">
        <f t="shared" ref="V2:V11" si="2">1+$G$8*($I$8-1)</f>
        <v>3.28</v>
      </c>
      <c r="W2" s="21">
        <f t="shared" ref="W2:W10" si="3">K$3+K$5</f>
        <v>0.3</v>
      </c>
      <c r="X2" s="19">
        <f t="shared" ref="X2:X12" si="4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0" si="5">Q2*S2*(1+T2)*(1+U2)*V2*(1+W2)*X2*Y2*(1+Z2)*(1+AA2)*(1+AB2)</f>
        <v>37127.8444616179</v>
      </c>
      <c r="AD2" s="13">
        <v>0</v>
      </c>
      <c r="AE2" s="14">
        <f t="shared" ref="AE2:AE7" si="6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f>30%+24%</f>
        <v>0.54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v>0.3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2.09582536382536</v>
      </c>
      <c r="U3" s="18">
        <f>SUM($E$3:$E$8)</f>
        <v>2.117</v>
      </c>
      <c r="V3" s="20">
        <f t="shared" si="2"/>
        <v>3.28</v>
      </c>
      <c r="W3" s="21">
        <f t="shared" si="3"/>
        <v>0.3</v>
      </c>
      <c r="X3" s="19">
        <f t="shared" si="4"/>
        <v>0.550756565598006</v>
      </c>
      <c r="Y3" s="19">
        <v>0.8</v>
      </c>
      <c r="Z3" s="22">
        <v>0.93</v>
      </c>
      <c r="AA3" s="22">
        <v>0</v>
      </c>
      <c r="AB3" s="22">
        <v>0</v>
      </c>
      <c r="AC3" s="23">
        <f t="shared" si="5"/>
        <v>97014.4927643342</v>
      </c>
      <c r="AD3" s="13">
        <v>18</v>
      </c>
      <c r="AE3" s="14">
        <f t="shared" si="6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f>12%+10%+24%</f>
        <v>0.46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2.09582536382536</v>
      </c>
      <c r="U4" s="18">
        <f>SUM($E$3:$E$8)</f>
        <v>2.117</v>
      </c>
      <c r="V4" s="20">
        <f t="shared" si="2"/>
        <v>3.28</v>
      </c>
      <c r="W4" s="21">
        <f t="shared" si="3"/>
        <v>0.3</v>
      </c>
      <c r="X4" s="19">
        <f t="shared" si="4"/>
        <v>0.550756565598006</v>
      </c>
      <c r="Y4" s="19">
        <v>0.8</v>
      </c>
      <c r="Z4" s="22">
        <v>0.93</v>
      </c>
      <c r="AA4" s="22">
        <v>0</v>
      </c>
      <c r="AB4" s="22">
        <v>0</v>
      </c>
      <c r="AC4" s="23">
        <f t="shared" si="5"/>
        <v>189720.521482511</v>
      </c>
      <c r="AD4" s="13">
        <v>14.4</v>
      </c>
      <c r="AE4" s="14">
        <f t="shared" si="6"/>
        <v>0.540104154822277</v>
      </c>
      <c r="AF4" s="24">
        <v>90</v>
      </c>
    </row>
    <row r="5" s="1" customFormat="1" spans="2:32">
      <c r="B5" s="25" t="s">
        <v>37</v>
      </c>
      <c r="C5" s="28">
        <f>18%+18%+M3+30%</f>
        <v>0.832</v>
      </c>
      <c r="D5" s="25" t="s">
        <v>38</v>
      </c>
      <c r="E5" s="27">
        <v>0.225</v>
      </c>
      <c r="F5" s="25" t="s">
        <v>39</v>
      </c>
      <c r="G5" s="27">
        <v>0.125</v>
      </c>
      <c r="H5" s="25" t="s">
        <v>32</v>
      </c>
      <c r="I5" s="27">
        <v>0.72</v>
      </c>
      <c r="J5" s="30" t="s">
        <v>40</v>
      </c>
      <c r="K5" s="27"/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2.09582536382536</v>
      </c>
      <c r="U5" s="18">
        <f>SUM($E$3:$E$8)</f>
        <v>2.117</v>
      </c>
      <c r="V5" s="20">
        <f t="shared" si="2"/>
        <v>3.28</v>
      </c>
      <c r="W5" s="21">
        <f t="shared" si="3"/>
        <v>0.3</v>
      </c>
      <c r="X5" s="19">
        <f t="shared" si="4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58276.9292836579</v>
      </c>
      <c r="AD5" s="13">
        <v>21.6</v>
      </c>
      <c r="AE5" s="14">
        <f t="shared" si="6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/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2.09582536382536</v>
      </c>
      <c r="U6" s="18">
        <f>SUM($E$3:$E$8)-48%</f>
        <v>1.637</v>
      </c>
      <c r="V6" s="20">
        <f t="shared" si="2"/>
        <v>3.28</v>
      </c>
      <c r="W6" s="21">
        <f t="shared" si="3"/>
        <v>0.3</v>
      </c>
      <c r="X6" s="19">
        <f t="shared" si="4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73951.7148704186</v>
      </c>
      <c r="AD6" s="13">
        <v>28.8</v>
      </c>
      <c r="AE6" s="14">
        <f t="shared" si="6"/>
        <v>0.585393507677898</v>
      </c>
      <c r="AF6" s="24">
        <v>90</v>
      </c>
    </row>
    <row r="7" s="1" customFormat="1" spans="2:32">
      <c r="B7" s="25" t="s">
        <v>46</v>
      </c>
      <c r="C7" s="31">
        <f>27%+39%</f>
        <v>0.66</v>
      </c>
      <c r="D7" s="25" t="s">
        <v>47</v>
      </c>
      <c r="E7" s="27"/>
      <c r="F7" s="25" t="s">
        <v>48</v>
      </c>
      <c r="G7" s="27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2.09582536382536</v>
      </c>
      <c r="U7" s="18">
        <f>SUM($E$3:$E$8)+18%</f>
        <v>2.297</v>
      </c>
      <c r="V7" s="20">
        <f t="shared" si="2"/>
        <v>3.28</v>
      </c>
      <c r="W7" s="21">
        <f t="shared" si="3"/>
        <v>0.3</v>
      </c>
      <c r="X7" s="19">
        <f t="shared" si="4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5"/>
        <v>133721.813729209</v>
      </c>
      <c r="AD7" s="13">
        <v>36</v>
      </c>
      <c r="AE7" s="14">
        <f t="shared" si="6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1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2.09582536382536</v>
      </c>
      <c r="U8" s="18">
        <f>SUM($E$3:$E$8)+36%</f>
        <v>2.477</v>
      </c>
      <c r="V8" s="20">
        <f t="shared" si="2"/>
        <v>3.28</v>
      </c>
      <c r="W8" s="21">
        <f t="shared" si="3"/>
        <v>0.3</v>
      </c>
      <c r="X8" s="19">
        <f t="shared" si="4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5"/>
        <v>338473.292773404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2.09582536382536</v>
      </c>
      <c r="U9" s="18">
        <f>SUM($E$3:$E$8)+36%</f>
        <v>2.477</v>
      </c>
      <c r="V9" s="20">
        <f t="shared" si="2"/>
        <v>3.28</v>
      </c>
      <c r="W9" s="21">
        <f t="shared" si="3"/>
        <v>0.3</v>
      </c>
      <c r="X9" s="19">
        <f t="shared" si="4"/>
        <v>0.550756565598006</v>
      </c>
      <c r="Y9" s="19">
        <v>0.8</v>
      </c>
      <c r="Z9" s="22">
        <v>1.26</v>
      </c>
      <c r="AA9" s="22">
        <v>0</v>
      </c>
      <c r="AB9" s="22">
        <v>0.8</v>
      </c>
      <c r="AC9" s="23">
        <f t="shared" si="5"/>
        <v>509932.133148354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794.2%+1032.18%</f>
        <v>18.2638</v>
      </c>
      <c r="R10" s="19" t="s">
        <v>59</v>
      </c>
      <c r="S10" s="19">
        <f t="shared" si="0"/>
        <v>962</v>
      </c>
      <c r="T10" s="18">
        <f t="shared" si="1"/>
        <v>2.09582536382536</v>
      </c>
      <c r="U10" s="18">
        <f>SUM($E$3:$E$7)</f>
        <v>1.225</v>
      </c>
      <c r="V10" s="20">
        <f t="shared" si="2"/>
        <v>3.28</v>
      </c>
      <c r="W10" s="21">
        <f t="shared" si="3"/>
        <v>0.3</v>
      </c>
      <c r="X10" s="19">
        <f t="shared" si="4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227373.344625992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1.87082536382536</v>
      </c>
      <c r="U11" s="18">
        <f>SUM($E$3:$E$8)-12%</f>
        <v>1.997</v>
      </c>
      <c r="V11" s="20">
        <f t="shared" si="2"/>
        <v>3.28</v>
      </c>
      <c r="W11" s="21">
        <f>W10</f>
        <v>0.3</v>
      </c>
      <c r="X11" s="19">
        <f t="shared" si="4"/>
        <v>0.550756565598006</v>
      </c>
      <c r="Y11" s="19">
        <v>0.8</v>
      </c>
      <c r="Z11" s="22">
        <v>0.93</v>
      </c>
      <c r="AA11" s="22">
        <v>0</v>
      </c>
      <c r="AB11" s="22">
        <v>0</v>
      </c>
      <c r="AC11" s="23">
        <f t="shared" si="5"/>
        <v>255658.943947593</v>
      </c>
    </row>
    <row r="12" s="1" customFormat="1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2.09582536382536</v>
      </c>
      <c r="U12" s="42">
        <f>SUM($E$3:$E$5)</f>
        <v>1.225</v>
      </c>
      <c r="V12" s="44">
        <f>1+($G$8-0.125)*($I$8-1-0.25)</f>
        <v>2.77625</v>
      </c>
      <c r="W12" s="42">
        <v>0.15</v>
      </c>
      <c r="X12" s="43">
        <f t="shared" si="4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5"/>
        <v>37752.2331650369</v>
      </c>
    </row>
    <row r="13" s="1" customFormat="1" ht="15" spans="2:32">
      <c r="B13" s="47" t="s">
        <v>85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6"/>
      <c r="P13" s="48" t="s">
        <v>86</v>
      </c>
      <c r="Q13" s="49">
        <f>22.48%*10</f>
        <v>2.248</v>
      </c>
      <c r="R13" s="50" t="s">
        <v>22</v>
      </c>
      <c r="S13" s="50">
        <f t="shared" ref="S13:S20" si="7">$C$15</f>
        <v>962</v>
      </c>
      <c r="T13" s="49">
        <f t="shared" ref="T13:T20" si="8">($C$16+$C$17+$C$18+$C$19)+($C$20+$C$11)/S13</f>
        <v>1.52582536382536</v>
      </c>
      <c r="U13" s="49">
        <f t="shared" ref="U13:U15" si="9">SUM($E$15:$E$19)</f>
        <v>1.43</v>
      </c>
      <c r="V13" s="51">
        <f t="shared" ref="V13:V20" si="10">1+$G$20*($I$20-1)</f>
        <v>2.58025</v>
      </c>
      <c r="W13" s="52">
        <f t="shared" ref="W13:W20" si="11">$K$15</f>
        <v>0.15</v>
      </c>
      <c r="X13" s="51">
        <f t="shared" ref="X13:X20" si="12">$AE$2</f>
        <v>0.50131926121372</v>
      </c>
      <c r="Y13" s="50">
        <v>0.8</v>
      </c>
      <c r="Z13" s="53">
        <v>0</v>
      </c>
      <c r="AA13" s="53">
        <v>0</v>
      </c>
      <c r="AB13" s="53">
        <v>0</v>
      </c>
      <c r="AC13" s="54">
        <f t="shared" si="5"/>
        <v>15795.9218940793</v>
      </c>
    </row>
    <row r="14" s="1" customFormat="1" spans="2:32">
      <c r="B14" s="55" t="s">
        <v>17</v>
      </c>
      <c r="C14" s="55"/>
      <c r="D14" s="55" t="s">
        <v>6</v>
      </c>
      <c r="E14" s="55"/>
      <c r="F14" s="55" t="s">
        <v>18</v>
      </c>
      <c r="G14" s="55"/>
      <c r="H14" s="55" t="s">
        <v>19</v>
      </c>
      <c r="I14" s="55"/>
      <c r="J14" s="55" t="s">
        <v>8</v>
      </c>
      <c r="K14" s="55"/>
      <c r="L14" s="55" t="s">
        <v>20</v>
      </c>
      <c r="M14" s="55"/>
      <c r="N14" s="6"/>
      <c r="P14" s="48" t="s">
        <v>87</v>
      </c>
      <c r="Q14" s="49">
        <f>87.48%*10</f>
        <v>8.748</v>
      </c>
      <c r="R14" s="50" t="s">
        <v>88</v>
      </c>
      <c r="S14" s="50">
        <f t="shared" si="7"/>
        <v>962</v>
      </c>
      <c r="T14" s="49">
        <f t="shared" si="8"/>
        <v>1.52582536382536</v>
      </c>
      <c r="U14" s="49">
        <f t="shared" si="9"/>
        <v>1.43</v>
      </c>
      <c r="V14" s="51">
        <f t="shared" si="10"/>
        <v>2.58025</v>
      </c>
      <c r="W14" s="52">
        <f t="shared" si="11"/>
        <v>0.15</v>
      </c>
      <c r="X14" s="51">
        <f t="shared" si="12"/>
        <v>0.50131926121372</v>
      </c>
      <c r="Y14" s="50">
        <v>0.8</v>
      </c>
      <c r="Z14" s="53">
        <v>0</v>
      </c>
      <c r="AA14" s="53">
        <v>0</v>
      </c>
      <c r="AB14" s="53">
        <v>0</v>
      </c>
      <c r="AC14" s="54">
        <f t="shared" si="5"/>
        <v>61469.1835984899</v>
      </c>
    </row>
    <row r="15" s="1" customFormat="1" spans="2:32">
      <c r="B15" s="56" t="s">
        <v>23</v>
      </c>
      <c r="C15" s="57">
        <f>375+587</f>
        <v>962</v>
      </c>
      <c r="D15" s="56" t="s">
        <v>24</v>
      </c>
      <c r="E15" s="58">
        <v>0.6</v>
      </c>
      <c r="F15" s="56" t="s">
        <v>25</v>
      </c>
      <c r="G15" s="59">
        <v>0.13</v>
      </c>
      <c r="H15" s="56" t="s">
        <v>25</v>
      </c>
      <c r="I15" s="58">
        <v>1.5</v>
      </c>
      <c r="J15" s="60" t="s">
        <v>26</v>
      </c>
      <c r="K15" s="58">
        <v>0.15</v>
      </c>
      <c r="L15" s="56" t="s">
        <v>27</v>
      </c>
      <c r="M15" s="59">
        <v>0.172</v>
      </c>
      <c r="N15" s="6"/>
      <c r="P15" s="48" t="s">
        <v>89</v>
      </c>
      <c r="Q15" s="49">
        <f>139.31%+46.44%*3</f>
        <v>2.7863</v>
      </c>
      <c r="R15" s="50" t="s">
        <v>29</v>
      </c>
      <c r="S15" s="50">
        <f t="shared" si="7"/>
        <v>962</v>
      </c>
      <c r="T15" s="49">
        <f t="shared" si="8"/>
        <v>1.52582536382536</v>
      </c>
      <c r="U15" s="49">
        <f t="shared" si="9"/>
        <v>1.43</v>
      </c>
      <c r="V15" s="51">
        <f t="shared" si="10"/>
        <v>2.58025</v>
      </c>
      <c r="W15" s="52">
        <f t="shared" si="11"/>
        <v>0.15</v>
      </c>
      <c r="X15" s="51">
        <f t="shared" si="12"/>
        <v>0.50131926121372</v>
      </c>
      <c r="Y15" s="50">
        <v>0.8</v>
      </c>
      <c r="Z15" s="53">
        <v>0</v>
      </c>
      <c r="AA15" s="53">
        <v>0</v>
      </c>
      <c r="AB15" s="53">
        <v>0</v>
      </c>
      <c r="AC15" s="54">
        <f t="shared" si="5"/>
        <v>19578.3706287691</v>
      </c>
    </row>
    <row r="16" s="1" customFormat="1" spans="2:32">
      <c r="B16" s="56" t="s">
        <v>30</v>
      </c>
      <c r="C16" s="58">
        <f>12%+12%</f>
        <v>0.24</v>
      </c>
      <c r="D16" s="56" t="s">
        <v>67</v>
      </c>
      <c r="E16" s="58"/>
      <c r="F16" s="56" t="s">
        <v>32</v>
      </c>
      <c r="G16" s="59">
        <v>0.243</v>
      </c>
      <c r="H16" s="56" t="s">
        <v>33</v>
      </c>
      <c r="I16" s="59">
        <v>1.25</v>
      </c>
      <c r="J16" s="61" t="s">
        <v>34</v>
      </c>
      <c r="K16" s="59"/>
      <c r="L16" s="56" t="s">
        <v>90</v>
      </c>
      <c r="M16" s="59">
        <v>0.172</v>
      </c>
      <c r="N16" s="6"/>
      <c r="P16" s="48" t="s">
        <v>91</v>
      </c>
      <c r="Q16" s="49">
        <f>277.78%*2</f>
        <v>5.5556</v>
      </c>
      <c r="R16" s="50" t="s">
        <v>64</v>
      </c>
      <c r="S16" s="50">
        <f t="shared" si="7"/>
        <v>962</v>
      </c>
      <c r="T16" s="49">
        <f t="shared" si="8"/>
        <v>1.52582536382536</v>
      </c>
      <c r="U16" s="49">
        <f t="shared" ref="U16:U18" si="13">SUM($E$15:$E$20)</f>
        <v>1.962</v>
      </c>
      <c r="V16" s="51">
        <f t="shared" si="10"/>
        <v>2.58025</v>
      </c>
      <c r="W16" s="52">
        <f t="shared" si="11"/>
        <v>0.15</v>
      </c>
      <c r="X16" s="51">
        <f t="shared" si="12"/>
        <v>0.50131926121372</v>
      </c>
      <c r="Y16" s="50">
        <v>0.8</v>
      </c>
      <c r="Z16" s="53">
        <v>0</v>
      </c>
      <c r="AA16" s="53">
        <v>0</v>
      </c>
      <c r="AB16" s="53">
        <v>0</v>
      </c>
      <c r="AC16" s="54">
        <f t="shared" si="5"/>
        <v>47583.7232042748</v>
      </c>
    </row>
    <row r="17" s="1" customFormat="1" spans="2:29">
      <c r="B17" s="56" t="s">
        <v>37</v>
      </c>
      <c r="C17" s="58">
        <v>0.532</v>
      </c>
      <c r="D17" s="56" t="s">
        <v>38</v>
      </c>
      <c r="E17" s="58">
        <v>0.1</v>
      </c>
      <c r="F17" s="56" t="s">
        <v>92</v>
      </c>
      <c r="G17" s="59"/>
      <c r="H17" s="56" t="s">
        <v>39</v>
      </c>
      <c r="I17" s="59"/>
      <c r="J17" s="61" t="s">
        <v>40</v>
      </c>
      <c r="K17" s="59"/>
      <c r="L17" s="56" t="s">
        <v>18</v>
      </c>
      <c r="M17" s="59">
        <v>0.405</v>
      </c>
      <c r="N17" s="6"/>
      <c r="P17" s="48" t="s">
        <v>93</v>
      </c>
      <c r="Q17" s="49">
        <f>33.8%*3+16.9%*6+13.1%*8</f>
        <v>3.076</v>
      </c>
      <c r="R17" s="50" t="s">
        <v>64</v>
      </c>
      <c r="S17" s="50">
        <f t="shared" si="7"/>
        <v>962</v>
      </c>
      <c r="T17" s="49">
        <f t="shared" si="8"/>
        <v>1.52582536382536</v>
      </c>
      <c r="U17" s="49">
        <f t="shared" si="13"/>
        <v>1.962</v>
      </c>
      <c r="V17" s="51">
        <f t="shared" si="10"/>
        <v>2.58025</v>
      </c>
      <c r="W17" s="52">
        <f t="shared" si="11"/>
        <v>0.15</v>
      </c>
      <c r="X17" s="51">
        <f t="shared" si="12"/>
        <v>0.50131926121372</v>
      </c>
      <c r="Y17" s="50">
        <v>0.8</v>
      </c>
      <c r="Z17" s="53">
        <v>0</v>
      </c>
      <c r="AA17" s="53">
        <v>0</v>
      </c>
      <c r="AB17" s="53">
        <v>0</v>
      </c>
      <c r="AC17" s="54">
        <f t="shared" si="5"/>
        <v>26345.9450961821</v>
      </c>
    </row>
    <row r="18" s="1" customFormat="1" spans="2:29">
      <c r="B18" s="56" t="s">
        <v>42</v>
      </c>
      <c r="C18" s="62"/>
      <c r="D18" s="56" t="s">
        <v>94</v>
      </c>
      <c r="E18" s="58">
        <v>0.25</v>
      </c>
      <c r="F18" s="56" t="s">
        <v>33</v>
      </c>
      <c r="G18" s="59">
        <v>0.405</v>
      </c>
      <c r="H18" s="56"/>
      <c r="I18" s="59"/>
      <c r="J18" s="61"/>
      <c r="K18" s="59"/>
      <c r="L18" s="56" t="s">
        <v>44</v>
      </c>
      <c r="M18" s="58">
        <v>0.81</v>
      </c>
      <c r="N18" s="6"/>
      <c r="P18" s="48" t="s">
        <v>95</v>
      </c>
      <c r="Q18" s="49">
        <v>12.1672</v>
      </c>
      <c r="R18" s="50" t="s">
        <v>64</v>
      </c>
      <c r="S18" s="50">
        <f t="shared" si="7"/>
        <v>962</v>
      </c>
      <c r="T18" s="49">
        <f t="shared" si="8"/>
        <v>1.52582536382536</v>
      </c>
      <c r="U18" s="49">
        <f t="shared" si="13"/>
        <v>1.962</v>
      </c>
      <c r="V18" s="51">
        <f t="shared" si="10"/>
        <v>2.58025</v>
      </c>
      <c r="W18" s="52">
        <f t="shared" si="11"/>
        <v>0.15</v>
      </c>
      <c r="X18" s="51">
        <f t="shared" si="12"/>
        <v>0.50131926121372</v>
      </c>
      <c r="Y18" s="50">
        <v>0.8</v>
      </c>
      <c r="Z18" s="53">
        <v>0</v>
      </c>
      <c r="AA18" s="53">
        <v>0</v>
      </c>
      <c r="AB18" s="53">
        <v>0</v>
      </c>
      <c r="AC18" s="54">
        <f t="shared" si="5"/>
        <v>104212.088158084</v>
      </c>
    </row>
    <row r="19" s="1" customFormat="1" spans="2:29">
      <c r="B19" s="56" t="s">
        <v>46</v>
      </c>
      <c r="C19" s="62">
        <v>0.39</v>
      </c>
      <c r="D19" s="56" t="s">
        <v>106</v>
      </c>
      <c r="E19" s="58">
        <f>24%+24%</f>
        <v>0.48</v>
      </c>
      <c r="F19" s="56" t="s">
        <v>48</v>
      </c>
      <c r="G19" s="59">
        <v>0.125</v>
      </c>
      <c r="H19" s="56" t="s">
        <v>48</v>
      </c>
      <c r="I19" s="59"/>
      <c r="J19" s="61"/>
      <c r="K19" s="59"/>
      <c r="L19" s="56"/>
      <c r="M19" s="57"/>
      <c r="N19" s="6"/>
      <c r="P19" s="48" t="s">
        <v>96</v>
      </c>
      <c r="Q19" s="49">
        <v>1</v>
      </c>
      <c r="R19" s="50" t="s">
        <v>59</v>
      </c>
      <c r="S19" s="50">
        <f t="shared" si="7"/>
        <v>962</v>
      </c>
      <c r="T19" s="49">
        <f t="shared" si="8"/>
        <v>1.52582536382536</v>
      </c>
      <c r="U19" s="49">
        <f>SUM($E$15:$E$19)</f>
        <v>1.43</v>
      </c>
      <c r="V19" s="51">
        <f t="shared" si="10"/>
        <v>2.58025</v>
      </c>
      <c r="W19" s="52">
        <f t="shared" si="11"/>
        <v>0.15</v>
      </c>
      <c r="X19" s="51">
        <f t="shared" si="12"/>
        <v>0.50131926121372</v>
      </c>
      <c r="Y19" s="50">
        <v>0.8</v>
      </c>
      <c r="Z19" s="53">
        <v>0</v>
      </c>
      <c r="AA19" s="53">
        <v>0</v>
      </c>
      <c r="AB19" s="53">
        <v>0</v>
      </c>
      <c r="AC19" s="54">
        <f t="shared" si="5"/>
        <v>7026.65564683241</v>
      </c>
    </row>
    <row r="20" s="1" customFormat="1" spans="2:29">
      <c r="B20" s="56" t="s">
        <v>50</v>
      </c>
      <c r="C20" s="57">
        <v>350</v>
      </c>
      <c r="D20" s="56" t="s">
        <v>75</v>
      </c>
      <c r="E20" s="58">
        <f>M16+36%</f>
        <v>0.532</v>
      </c>
      <c r="F20" s="63" t="s">
        <v>52</v>
      </c>
      <c r="G20" s="64">
        <f>G15+G16+G17+G18+G19</f>
        <v>0.903</v>
      </c>
      <c r="H20" s="63" t="s">
        <v>53</v>
      </c>
      <c r="I20" s="65">
        <f>I15+I16+I17+I18+I19</f>
        <v>2.75</v>
      </c>
      <c r="J20" s="61"/>
      <c r="K20" s="59"/>
      <c r="L20" s="56"/>
      <c r="M20" s="57"/>
      <c r="N20" s="6"/>
      <c r="P20" s="48" t="s">
        <v>97</v>
      </c>
      <c r="Q20" s="49">
        <f>27.36%*10</f>
        <v>2.736</v>
      </c>
      <c r="R20" s="50" t="s">
        <v>61</v>
      </c>
      <c r="S20" s="50">
        <f t="shared" si="7"/>
        <v>962</v>
      </c>
      <c r="T20" s="49">
        <f t="shared" si="8"/>
        <v>1.52582536382536</v>
      </c>
      <c r="U20" s="49">
        <f>SUM($E$15:$E$19)</f>
        <v>1.43</v>
      </c>
      <c r="V20" s="51">
        <f t="shared" si="10"/>
        <v>2.58025</v>
      </c>
      <c r="W20" s="52">
        <f t="shared" si="11"/>
        <v>0.15</v>
      </c>
      <c r="X20" s="51">
        <f t="shared" si="12"/>
        <v>0.50131926121372</v>
      </c>
      <c r="Y20" s="50">
        <v>0.8</v>
      </c>
      <c r="Z20" s="53">
        <v>0</v>
      </c>
      <c r="AA20" s="53">
        <v>0</v>
      </c>
      <c r="AB20" s="53">
        <v>0</v>
      </c>
      <c r="AC20" s="54">
        <f t="shared" si="5"/>
        <v>19224.9298497335</v>
      </c>
    </row>
    <row r="21" s="1" customFormat="1" spans="2:29">
      <c r="B21" s="66" t="s">
        <v>55</v>
      </c>
      <c r="C21" s="67"/>
      <c r="D21" s="66"/>
      <c r="E21" s="68"/>
      <c r="F21" s="66"/>
      <c r="G21" s="69"/>
      <c r="H21" s="66"/>
      <c r="I21" s="67"/>
      <c r="J21" s="70"/>
      <c r="K21" s="69"/>
      <c r="L21" s="66"/>
      <c r="M21" s="67"/>
      <c r="N21" s="6"/>
      <c r="P21" s="48"/>
      <c r="Q21" s="49"/>
      <c r="R21" s="50"/>
      <c r="S21" s="50"/>
      <c r="T21" s="49"/>
      <c r="U21" s="49"/>
      <c r="V21" s="51"/>
      <c r="W21" s="52"/>
      <c r="X21" s="51"/>
      <c r="Y21" s="50"/>
      <c r="Z21" s="53"/>
      <c r="AA21" s="53"/>
      <c r="AB21" s="53"/>
      <c r="AC21" s="54"/>
    </row>
    <row r="22" s="1" customFormat="1" spans="2:29">
      <c r="B22" s="71"/>
      <c r="C22" s="71" t="s">
        <v>79</v>
      </c>
      <c r="D22" s="71" t="s">
        <v>80</v>
      </c>
      <c r="E22" s="71" t="s">
        <v>81</v>
      </c>
      <c r="F22" s="72"/>
      <c r="G22" s="40"/>
      <c r="H22" s="6"/>
      <c r="I22" s="6"/>
      <c r="J22" s="6"/>
      <c r="K22" s="6"/>
      <c r="L22" s="6"/>
      <c r="M22" s="6"/>
      <c r="N22" s="6"/>
      <c r="P22" s="48" t="s">
        <v>98</v>
      </c>
      <c r="Q22" s="49">
        <v>18.8075</v>
      </c>
      <c r="R22" s="50" t="s">
        <v>99</v>
      </c>
      <c r="S22" s="50">
        <v>10027</v>
      </c>
      <c r="T22" s="49">
        <v>0</v>
      </c>
      <c r="U22" s="49">
        <v>0</v>
      </c>
      <c r="V22" s="51">
        <v>1</v>
      </c>
      <c r="W22" s="52">
        <v>0</v>
      </c>
      <c r="X22" s="51">
        <f>$AE$2</f>
        <v>0.50131926121372</v>
      </c>
      <c r="Y22" s="50">
        <v>0.8</v>
      </c>
      <c r="Z22" s="53">
        <v>0</v>
      </c>
      <c r="AA22" s="53">
        <v>0</v>
      </c>
      <c r="AB22" s="53">
        <v>0.5</v>
      </c>
      <c r="AC22" s="54">
        <f>Q22*S22*(1+T22)*(1+U22)*V22*(1+W22)*X22*Y22*(1+Z22)*(1+AA22)*(1+AB22)</f>
        <v>113448.229472296</v>
      </c>
    </row>
    <row r="23" s="1" customFormat="1" spans="2:29">
      <c r="B23" s="73" t="s">
        <v>117</v>
      </c>
      <c r="C23" s="73">
        <f>SUM(AC2:AC12)</f>
        <v>1959003.26425213</v>
      </c>
      <c r="D23" s="73">
        <f>C23/E23</f>
        <v>78360.1305700851</v>
      </c>
      <c r="E23" s="72">
        <v>25</v>
      </c>
      <c r="F23" s="72"/>
      <c r="G23" s="40"/>
      <c r="H23" s="6"/>
      <c r="I23" s="6"/>
      <c r="J23" s="6"/>
      <c r="K23" s="6"/>
      <c r="L23" s="6"/>
      <c r="M23" s="6"/>
      <c r="N23" s="6"/>
      <c r="Q23" s="74"/>
      <c r="U23" s="2"/>
      <c r="V23" s="2"/>
      <c r="AB23" s="4"/>
      <c r="AC23" s="4"/>
    </row>
    <row r="24" s="1" customFormat="1" spans="2:29">
      <c r="B24" s="73" t="s">
        <v>118</v>
      </c>
      <c r="C24" s="73">
        <f>SUM(AC13:AC22)</f>
        <v>414685.047548741</v>
      </c>
      <c r="D24" s="73">
        <f>C24/E23</f>
        <v>16587.4019019496</v>
      </c>
      <c r="E24" s="40"/>
      <c r="F24" s="6"/>
      <c r="G24" s="40"/>
      <c r="H24" s="6"/>
      <c r="I24" s="6"/>
      <c r="J24" s="6"/>
      <c r="K24" s="6"/>
      <c r="L24" s="6"/>
      <c r="M24" s="6"/>
      <c r="N24" s="6"/>
      <c r="Q24" s="2"/>
      <c r="U24" s="2"/>
      <c r="V24" s="3"/>
      <c r="AB24" s="4"/>
      <c r="AC24" s="4"/>
    </row>
    <row r="25" s="1" customFormat="1" spans="2:29">
      <c r="B25" s="73" t="s">
        <v>83</v>
      </c>
      <c r="C25" s="73">
        <v>50000</v>
      </c>
      <c r="D25" s="73">
        <f>C25/E23</f>
        <v>2000</v>
      </c>
      <c r="E25" s="6"/>
      <c r="F25" s="6"/>
      <c r="G25" s="40"/>
      <c r="H25" s="6"/>
      <c r="I25" s="6"/>
      <c r="J25" s="6"/>
      <c r="K25" s="6"/>
      <c r="L25" s="6"/>
      <c r="M25" s="6"/>
      <c r="N25" s="6"/>
      <c r="Q25" s="2"/>
      <c r="U25" s="2"/>
      <c r="V25" s="3"/>
      <c r="AB25" s="4"/>
      <c r="AC25" s="4"/>
    </row>
    <row r="26" s="1" customFormat="1" spans="2:29">
      <c r="B26" s="73" t="s">
        <v>84</v>
      </c>
      <c r="C26" s="73">
        <f>C23+C24+C25</f>
        <v>2423688.31180087</v>
      </c>
      <c r="D26" s="73">
        <f>C26/E23</f>
        <v>96947.5324720347</v>
      </c>
      <c r="E26" s="6"/>
      <c r="F26" s="6"/>
      <c r="G26" s="40"/>
      <c r="H26" s="6"/>
      <c r="I26" s="6"/>
      <c r="J26" s="6"/>
      <c r="K26" s="6"/>
      <c r="L26" s="6"/>
      <c r="M26" s="6"/>
      <c r="N26" s="6"/>
      <c r="Q26" s="2"/>
      <c r="U26" s="2"/>
      <c r="V26" s="3"/>
      <c r="AB26" s="4"/>
      <c r="AC26" s="4"/>
    </row>
    <row r="27" s="1" customFormat="1" ht="20" customHeight="1" spans="2:29">
      <c r="B27" s="6"/>
      <c r="C27" s="6"/>
      <c r="D27" s="6"/>
      <c r="E27" s="6"/>
      <c r="F27" s="6"/>
      <c r="G27" s="40"/>
      <c r="H27" s="6"/>
      <c r="I27" s="6" t="s">
        <v>107</v>
      </c>
      <c r="N27" s="6"/>
      <c r="Q27" s="2"/>
      <c r="U27" s="2"/>
      <c r="V27" s="3"/>
      <c r="AB27" s="4"/>
      <c r="AC27" s="4"/>
    </row>
    <row r="28" s="1" customFormat="1" ht="20" customHeight="1" spans="2:29">
      <c r="B28" s="73"/>
      <c r="C28" s="73"/>
      <c r="D28" s="73"/>
      <c r="E28" s="6"/>
      <c r="F28" s="73"/>
      <c r="G28" s="40" t="s">
        <v>103</v>
      </c>
      <c r="H28" s="6">
        <v>57700</v>
      </c>
      <c r="I28" s="6"/>
      <c r="N28" s="6"/>
      <c r="Q28" s="2"/>
      <c r="U28" s="2"/>
      <c r="V28" s="3"/>
      <c r="AB28" s="4"/>
      <c r="AC28" s="4"/>
    </row>
    <row r="29" s="1" customFormat="1" ht="20" customHeight="1" spans="2:29">
      <c r="B29" s="73"/>
      <c r="C29" s="73"/>
      <c r="D29" s="73"/>
      <c r="E29" s="6"/>
      <c r="F29" s="73" t="s">
        <v>108</v>
      </c>
      <c r="G29" s="40" t="s">
        <v>104</v>
      </c>
      <c r="H29" s="6">
        <v>62186</v>
      </c>
      <c r="I29" s="40">
        <f>H29/H28-1</f>
        <v>0.0777469670710571</v>
      </c>
      <c r="N29" s="6"/>
      <c r="Q29" s="2"/>
      <c r="U29" s="2"/>
      <c r="V29" s="3"/>
      <c r="AB29" s="4"/>
      <c r="AC29" s="4"/>
    </row>
    <row r="30" s="1" customFormat="1" ht="20" customHeight="1" spans="2:29">
      <c r="B30" s="6"/>
      <c r="C30" s="6"/>
      <c r="D30" s="6"/>
      <c r="E30" s="6"/>
      <c r="F30" s="6" t="s">
        <v>109</v>
      </c>
      <c r="G30" s="40" t="s">
        <v>104</v>
      </c>
      <c r="H30" s="6">
        <v>63791</v>
      </c>
      <c r="I30" s="40">
        <f>H30/H28-1</f>
        <v>0.105563258232236</v>
      </c>
      <c r="N30" s="6"/>
      <c r="Q30" s="2"/>
      <c r="U30" s="2"/>
      <c r="V30" s="3"/>
      <c r="AB30" s="4"/>
      <c r="AC30" s="4"/>
    </row>
    <row r="31" s="1" customFormat="1" ht="20" customHeight="1" spans="2:29">
      <c r="B31" s="73"/>
      <c r="C31" s="73"/>
      <c r="D31" s="73"/>
      <c r="E31" s="6"/>
      <c r="F31" s="73" t="s">
        <v>110</v>
      </c>
      <c r="G31" s="40" t="s">
        <v>105</v>
      </c>
      <c r="H31" s="6">
        <v>66861</v>
      </c>
      <c r="I31" s="40">
        <f>H31/H28-1</f>
        <v>0.158769497400347</v>
      </c>
      <c r="N31" s="6"/>
      <c r="Q31" s="2"/>
      <c r="U31" s="2"/>
      <c r="V31" s="3"/>
      <c r="AB31" s="4"/>
      <c r="AC31" s="4"/>
    </row>
    <row r="32" s="1" customFormat="1" ht="20" customHeight="1" spans="2:29">
      <c r="B32" s="73"/>
      <c r="C32" s="73"/>
      <c r="D32" s="73"/>
      <c r="E32" s="6"/>
      <c r="F32" s="73"/>
      <c r="G32" s="2" t="s">
        <v>111</v>
      </c>
      <c r="H32" s="1">
        <v>78639</v>
      </c>
      <c r="I32" s="40">
        <f t="shared" ref="I32:I36" si="14">H32/H$28-1</f>
        <v>0.362894280762565</v>
      </c>
      <c r="N32" s="6"/>
      <c r="Q32" s="2"/>
      <c r="U32" s="2"/>
      <c r="V32" s="3"/>
      <c r="AB32" s="4"/>
      <c r="AC32" s="4"/>
    </row>
    <row r="33" s="1" customFormat="1" ht="20" customHeight="1" spans="2:29">
      <c r="B33" s="6"/>
      <c r="C33" s="6"/>
      <c r="D33" s="6"/>
      <c r="E33" s="6"/>
      <c r="F33" s="6"/>
      <c r="G33" s="2" t="s">
        <v>112</v>
      </c>
      <c r="H33" s="1">
        <v>62094</v>
      </c>
      <c r="I33" s="40">
        <f t="shared" si="14"/>
        <v>0.076152512998267</v>
      </c>
      <c r="N33" s="6"/>
      <c r="Q33" s="2"/>
      <c r="U33" s="2"/>
      <c r="V33" s="3"/>
      <c r="AB33" s="4"/>
      <c r="AC33" s="4"/>
    </row>
    <row r="34" s="1" customFormat="1" spans="2:29">
      <c r="B34" s="73"/>
      <c r="C34" s="73"/>
      <c r="D34" s="73"/>
      <c r="E34" s="6"/>
      <c r="F34" s="73"/>
      <c r="G34" s="2" t="s">
        <v>113</v>
      </c>
      <c r="H34" s="1">
        <v>73959</v>
      </c>
      <c r="I34" s="40">
        <f t="shared" si="14"/>
        <v>0.281785095320624</v>
      </c>
      <c r="N34" s="6"/>
      <c r="Q34" s="2"/>
      <c r="U34" s="2"/>
      <c r="V34" s="3"/>
      <c r="AB34" s="4"/>
      <c r="AC34" s="4"/>
    </row>
    <row r="35" s="1" customFormat="1" spans="2:29">
      <c r="G35" s="2" t="s">
        <v>114</v>
      </c>
      <c r="H35" s="1">
        <v>89961</v>
      </c>
      <c r="I35" s="40">
        <f t="shared" si="14"/>
        <v>0.559116117850953</v>
      </c>
      <c r="N35" s="6"/>
      <c r="Q35" s="2"/>
      <c r="U35" s="2"/>
      <c r="V35" s="3"/>
      <c r="AB35" s="4"/>
      <c r="AC35" s="4"/>
    </row>
    <row r="36" s="1" customFormat="1" spans="2:29">
      <c r="G36" s="2" t="s">
        <v>119</v>
      </c>
      <c r="H36" s="1">
        <v>96948</v>
      </c>
      <c r="I36" s="40">
        <f t="shared" si="14"/>
        <v>0.680207972270364</v>
      </c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8"/>
  <sheetViews>
    <sheetView workbookViewId="0">
      <selection activeCell="J26" sqref="J2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9090909090909" style="1" customWidth="1"/>
    <col min="7" max="7" width="14" style="2" customWidth="1"/>
    <col min="8" max="8" width="7.54545454545455" style="1" customWidth="1"/>
    <col min="9" max="9" width="14" style="1" customWidth="1"/>
    <col min="10" max="10" width="8.92727272727273" style="1" customWidth="1"/>
    <col min="11" max="11" width="14" style="1" customWidth="1"/>
    <col min="12" max="12" width="7.54545454545455" style="1" customWidth="1"/>
    <col min="13" max="13" width="9.54545454545454" style="1" customWidth="1"/>
    <col min="14" max="15" width="9.69090909090909" style="1"/>
    <col min="16" max="16" width="16.2727272727273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customHeight="1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customHeigh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2.09582536382536</v>
      </c>
      <c r="U2" s="18">
        <f>SUM($E$3:$E$7)</f>
        <v>1.225</v>
      </c>
      <c r="V2" s="20">
        <f t="shared" ref="V2:V11" si="2">1+$G$8*($I$8-1)</f>
        <v>3.28</v>
      </c>
      <c r="W2" s="21">
        <f t="shared" ref="W2:W10" si="3">K$3+K$5</f>
        <v>0.54</v>
      </c>
      <c r="X2" s="19">
        <f t="shared" ref="X2:X12" si="4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0" si="5">Q2*S2*(1+T2)*(1+U2)*V2*(1+W2)*X2*Y2*(1+Z2)*(1+AA2)*(1+AB2)</f>
        <v>43982.2157468397</v>
      </c>
      <c r="AD2" s="13">
        <v>0</v>
      </c>
      <c r="AE2" s="14">
        <f t="shared" ref="AE2:AE7" si="6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f>30%+24%</f>
        <v>0.54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v>0.54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2.09582536382536</v>
      </c>
      <c r="U3" s="18">
        <f>SUM($E$3:$E$8)</f>
        <v>2.117</v>
      </c>
      <c r="V3" s="20">
        <f t="shared" si="2"/>
        <v>3.28</v>
      </c>
      <c r="W3" s="21">
        <f t="shared" si="3"/>
        <v>0.54</v>
      </c>
      <c r="X3" s="19">
        <f t="shared" si="4"/>
        <v>0.550756565598006</v>
      </c>
      <c r="Y3" s="19">
        <v>0.8</v>
      </c>
      <c r="Z3" s="22">
        <v>0.93</v>
      </c>
      <c r="AA3" s="22">
        <v>0</v>
      </c>
      <c r="AB3" s="22">
        <v>0</v>
      </c>
      <c r="AC3" s="23">
        <f t="shared" si="5"/>
        <v>114924.860659288</v>
      </c>
      <c r="AD3" s="13">
        <v>18</v>
      </c>
      <c r="AE3" s="14">
        <f t="shared" si="6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f>12%+10%+24%</f>
        <v>0.46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2.09582536382536</v>
      </c>
      <c r="U4" s="18">
        <f>SUM($E$3:$E$8)</f>
        <v>2.117</v>
      </c>
      <c r="V4" s="20">
        <f t="shared" si="2"/>
        <v>3.28</v>
      </c>
      <c r="W4" s="21">
        <f t="shared" si="3"/>
        <v>0.54</v>
      </c>
      <c r="X4" s="19">
        <f t="shared" si="4"/>
        <v>0.550756565598006</v>
      </c>
      <c r="Y4" s="19">
        <v>0.8</v>
      </c>
      <c r="Z4" s="22">
        <v>0.93</v>
      </c>
      <c r="AA4" s="22">
        <v>0</v>
      </c>
      <c r="AB4" s="22">
        <v>0</v>
      </c>
      <c r="AC4" s="23">
        <f t="shared" si="5"/>
        <v>224745.848525436</v>
      </c>
      <c r="AD4" s="13">
        <v>14.4</v>
      </c>
      <c r="AE4" s="14">
        <f t="shared" si="6"/>
        <v>0.540104154822277</v>
      </c>
      <c r="AF4" s="24">
        <v>90</v>
      </c>
    </row>
    <row r="5" s="1" customFormat="1" spans="2:32">
      <c r="B5" s="25" t="s">
        <v>37</v>
      </c>
      <c r="C5" s="28">
        <f>18%+18%+M3+30%</f>
        <v>0.832</v>
      </c>
      <c r="D5" s="25" t="s">
        <v>38</v>
      </c>
      <c r="E5" s="27">
        <v>0.225</v>
      </c>
      <c r="F5" s="25" t="s">
        <v>39</v>
      </c>
      <c r="G5" s="27">
        <v>0.125</v>
      </c>
      <c r="H5" s="25" t="s">
        <v>32</v>
      </c>
      <c r="I5" s="27">
        <v>0.72</v>
      </c>
      <c r="J5" s="30" t="s">
        <v>40</v>
      </c>
      <c r="K5" s="27"/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2.09582536382536</v>
      </c>
      <c r="U5" s="18">
        <f>SUM($E$3:$E$8)</f>
        <v>2.117</v>
      </c>
      <c r="V5" s="20">
        <f t="shared" si="2"/>
        <v>3.28</v>
      </c>
      <c r="W5" s="21">
        <f t="shared" si="3"/>
        <v>0.54</v>
      </c>
      <c r="X5" s="19">
        <f t="shared" si="4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69035.746997564</v>
      </c>
      <c r="AD5" s="13">
        <v>21.6</v>
      </c>
      <c r="AE5" s="14">
        <f t="shared" si="6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/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2.09582536382536</v>
      </c>
      <c r="U6" s="18">
        <f>SUM($E$3:$E$8)-48%</f>
        <v>1.637</v>
      </c>
      <c r="V6" s="20">
        <f t="shared" si="2"/>
        <v>3.28</v>
      </c>
      <c r="W6" s="21">
        <f t="shared" si="3"/>
        <v>0.54</v>
      </c>
      <c r="X6" s="19">
        <f t="shared" si="4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87604.3391541882</v>
      </c>
      <c r="AD6" s="13">
        <v>28.8</v>
      </c>
      <c r="AE6" s="14">
        <f t="shared" si="6"/>
        <v>0.585393507677898</v>
      </c>
      <c r="AF6" s="24">
        <v>90</v>
      </c>
    </row>
    <row r="7" s="1" customFormat="1" spans="2:32">
      <c r="B7" s="25" t="s">
        <v>46</v>
      </c>
      <c r="C7" s="31">
        <f>27%+39%</f>
        <v>0.66</v>
      </c>
      <c r="D7" s="25" t="s">
        <v>47</v>
      </c>
      <c r="E7" s="27"/>
      <c r="F7" s="25" t="s">
        <v>48</v>
      </c>
      <c r="G7" s="27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2.09582536382536</v>
      </c>
      <c r="U7" s="18">
        <f>SUM($E$3:$E$8)+18%</f>
        <v>2.297</v>
      </c>
      <c r="V7" s="20">
        <f t="shared" si="2"/>
        <v>3.28</v>
      </c>
      <c r="W7" s="21">
        <f t="shared" si="3"/>
        <v>0.54</v>
      </c>
      <c r="X7" s="19">
        <f t="shared" si="4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5"/>
        <v>158408.917802293</v>
      </c>
      <c r="AD7" s="13">
        <v>36</v>
      </c>
      <c r="AE7" s="14">
        <f t="shared" si="6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1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2.09582536382536</v>
      </c>
      <c r="U8" s="18">
        <f>SUM($E$3:$E$8)+36%</f>
        <v>2.477</v>
      </c>
      <c r="V8" s="20">
        <f t="shared" si="2"/>
        <v>3.28</v>
      </c>
      <c r="W8" s="21">
        <f t="shared" si="3"/>
        <v>0.54</v>
      </c>
      <c r="X8" s="19">
        <f t="shared" si="4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5"/>
        <v>400960.669900801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2.09582536382536</v>
      </c>
      <c r="U9" s="18">
        <f>SUM($E$3:$E$8)+36%</f>
        <v>2.477</v>
      </c>
      <c r="V9" s="20">
        <f t="shared" si="2"/>
        <v>3.28</v>
      </c>
      <c r="W9" s="21">
        <f t="shared" si="3"/>
        <v>0.54</v>
      </c>
      <c r="X9" s="19">
        <f t="shared" si="4"/>
        <v>0.550756565598006</v>
      </c>
      <c r="Y9" s="19">
        <v>0.8</v>
      </c>
      <c r="Z9" s="22">
        <v>1.26</v>
      </c>
      <c r="AA9" s="22">
        <v>0</v>
      </c>
      <c r="AB9" s="22">
        <v>0.8</v>
      </c>
      <c r="AC9" s="23">
        <f t="shared" si="5"/>
        <v>604073.450037281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794.2%+1032.18%</f>
        <v>18.2638</v>
      </c>
      <c r="R10" s="19" t="s">
        <v>59</v>
      </c>
      <c r="S10" s="19">
        <f t="shared" si="0"/>
        <v>962</v>
      </c>
      <c r="T10" s="18">
        <f t="shared" si="1"/>
        <v>2.09582536382536</v>
      </c>
      <c r="U10" s="18">
        <f>SUM($E$3:$E$7)</f>
        <v>1.225</v>
      </c>
      <c r="V10" s="20">
        <f t="shared" si="2"/>
        <v>3.28</v>
      </c>
      <c r="W10" s="21">
        <f t="shared" si="3"/>
        <v>0.54</v>
      </c>
      <c r="X10" s="19">
        <f t="shared" si="4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269349.962095406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1.87082536382536</v>
      </c>
      <c r="U11" s="18">
        <f>SUM($E$3:$E$8)-12%</f>
        <v>1.997</v>
      </c>
      <c r="V11" s="20">
        <f t="shared" si="2"/>
        <v>3.28</v>
      </c>
      <c r="W11" s="21">
        <f>W10</f>
        <v>0.54</v>
      </c>
      <c r="X11" s="19">
        <f t="shared" si="4"/>
        <v>0.550756565598006</v>
      </c>
      <c r="Y11" s="19">
        <v>0.8</v>
      </c>
      <c r="Z11" s="22">
        <v>0.93</v>
      </c>
      <c r="AA11" s="22">
        <v>0</v>
      </c>
      <c r="AB11" s="22">
        <v>0</v>
      </c>
      <c r="AC11" s="23">
        <f t="shared" si="5"/>
        <v>302857.51821484</v>
      </c>
    </row>
    <row r="12" s="1" customFormat="1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2.09582536382536</v>
      </c>
      <c r="U12" s="42">
        <f>SUM($E$3:$E$5)</f>
        <v>1.225</v>
      </c>
      <c r="V12" s="44">
        <f>1+($G$8-0.125)*($I$8-1-0.25)</f>
        <v>2.77625</v>
      </c>
      <c r="W12" s="42">
        <v>0.15</v>
      </c>
      <c r="X12" s="43">
        <f t="shared" si="4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5"/>
        <v>37752.2331650369</v>
      </c>
    </row>
    <row r="13" s="1" customFormat="1" ht="15" spans="2:32">
      <c r="B13" s="47" t="s">
        <v>85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6"/>
      <c r="P13" s="48" t="s">
        <v>86</v>
      </c>
      <c r="Q13" s="49">
        <f>22.48%*10</f>
        <v>2.248</v>
      </c>
      <c r="R13" s="50" t="s">
        <v>22</v>
      </c>
      <c r="S13" s="50">
        <f t="shared" ref="S13:S20" si="7">$C$15</f>
        <v>962</v>
      </c>
      <c r="T13" s="49">
        <f t="shared" ref="T13:T20" si="8">($C$16+$C$17+$C$18+$C$19)+($C$20+$C$11)/S13</f>
        <v>1.52582536382536</v>
      </c>
      <c r="U13" s="49">
        <f t="shared" ref="U13:U15" si="9">SUM($E$15:$E$19)</f>
        <v>1.43</v>
      </c>
      <c r="V13" s="51">
        <f t="shared" ref="V13:V20" si="10">1+$G$20*($I$20-1)</f>
        <v>2.58025</v>
      </c>
      <c r="W13" s="52">
        <f t="shared" ref="W13:W20" si="11">$K$15</f>
        <v>0.4</v>
      </c>
      <c r="X13" s="51">
        <f t="shared" ref="X13:X20" si="12">$AE$2</f>
        <v>0.50131926121372</v>
      </c>
      <c r="Y13" s="50">
        <v>0.8</v>
      </c>
      <c r="Z13" s="53">
        <v>0</v>
      </c>
      <c r="AA13" s="53">
        <v>0</v>
      </c>
      <c r="AB13" s="53">
        <v>0</v>
      </c>
      <c r="AC13" s="54">
        <f t="shared" si="5"/>
        <v>19229.8179580095</v>
      </c>
    </row>
    <row r="14" s="1" customFormat="1" spans="2:32">
      <c r="B14" s="55" t="s">
        <v>17</v>
      </c>
      <c r="C14" s="55"/>
      <c r="D14" s="55" t="s">
        <v>6</v>
      </c>
      <c r="E14" s="55"/>
      <c r="F14" s="55" t="s">
        <v>18</v>
      </c>
      <c r="G14" s="55"/>
      <c r="H14" s="55" t="s">
        <v>19</v>
      </c>
      <c r="I14" s="55"/>
      <c r="J14" s="55" t="s">
        <v>8</v>
      </c>
      <c r="K14" s="55"/>
      <c r="L14" s="55" t="s">
        <v>20</v>
      </c>
      <c r="M14" s="55"/>
      <c r="N14" s="6"/>
      <c r="P14" s="48" t="s">
        <v>87</v>
      </c>
      <c r="Q14" s="49">
        <f>87.48%*10</f>
        <v>8.748</v>
      </c>
      <c r="R14" s="50" t="s">
        <v>88</v>
      </c>
      <c r="S14" s="50">
        <f t="shared" si="7"/>
        <v>962</v>
      </c>
      <c r="T14" s="49">
        <f t="shared" si="8"/>
        <v>1.52582536382536</v>
      </c>
      <c r="U14" s="49">
        <f t="shared" si="9"/>
        <v>1.43</v>
      </c>
      <c r="V14" s="51">
        <f t="shared" si="10"/>
        <v>2.58025</v>
      </c>
      <c r="W14" s="52">
        <f t="shared" si="11"/>
        <v>0.4</v>
      </c>
      <c r="X14" s="51">
        <f t="shared" si="12"/>
        <v>0.50131926121372</v>
      </c>
      <c r="Y14" s="50">
        <v>0.8</v>
      </c>
      <c r="Z14" s="53">
        <v>0</v>
      </c>
      <c r="AA14" s="53">
        <v>0</v>
      </c>
      <c r="AB14" s="53">
        <v>0</v>
      </c>
      <c r="AC14" s="54">
        <f t="shared" si="5"/>
        <v>74832.0495981616</v>
      </c>
    </row>
    <row r="15" s="1" customFormat="1" spans="2:32">
      <c r="B15" s="56" t="s">
        <v>23</v>
      </c>
      <c r="C15" s="57">
        <f>375+587</f>
        <v>962</v>
      </c>
      <c r="D15" s="56" t="s">
        <v>24</v>
      </c>
      <c r="E15" s="58">
        <v>0.6</v>
      </c>
      <c r="F15" s="56" t="s">
        <v>25</v>
      </c>
      <c r="G15" s="59">
        <v>0.13</v>
      </c>
      <c r="H15" s="56" t="s">
        <v>25</v>
      </c>
      <c r="I15" s="58">
        <v>1.5</v>
      </c>
      <c r="J15" s="60" t="s">
        <v>26</v>
      </c>
      <c r="K15" s="58">
        <v>0.4</v>
      </c>
      <c r="L15" s="56" t="s">
        <v>27</v>
      </c>
      <c r="M15" s="59">
        <v>0.172</v>
      </c>
      <c r="N15" s="6"/>
      <c r="P15" s="48" t="s">
        <v>89</v>
      </c>
      <c r="Q15" s="49">
        <f>139.31%+46.44%*3</f>
        <v>2.7863</v>
      </c>
      <c r="R15" s="50" t="s">
        <v>29</v>
      </c>
      <c r="S15" s="50">
        <f t="shared" si="7"/>
        <v>962</v>
      </c>
      <c r="T15" s="49">
        <f t="shared" si="8"/>
        <v>1.52582536382536</v>
      </c>
      <c r="U15" s="49">
        <f t="shared" si="9"/>
        <v>1.43</v>
      </c>
      <c r="V15" s="51">
        <f t="shared" si="10"/>
        <v>2.58025</v>
      </c>
      <c r="W15" s="52">
        <f t="shared" si="11"/>
        <v>0.4</v>
      </c>
      <c r="X15" s="51">
        <f t="shared" si="12"/>
        <v>0.50131926121372</v>
      </c>
      <c r="Y15" s="50">
        <v>0.8</v>
      </c>
      <c r="Z15" s="53">
        <v>0</v>
      </c>
      <c r="AA15" s="53">
        <v>0</v>
      </c>
      <c r="AB15" s="53">
        <v>0</v>
      </c>
      <c r="AC15" s="54">
        <f t="shared" si="5"/>
        <v>23834.5381567624</v>
      </c>
    </row>
    <row r="16" s="1" customFormat="1" spans="2:32">
      <c r="B16" s="56" t="s">
        <v>30</v>
      </c>
      <c r="C16" s="58">
        <f>12%+12%</f>
        <v>0.24</v>
      </c>
      <c r="D16" s="56" t="s">
        <v>67</v>
      </c>
      <c r="E16" s="58"/>
      <c r="F16" s="56" t="s">
        <v>32</v>
      </c>
      <c r="G16" s="59">
        <v>0.243</v>
      </c>
      <c r="H16" s="56" t="s">
        <v>33</v>
      </c>
      <c r="I16" s="59">
        <v>1.25</v>
      </c>
      <c r="J16" s="61" t="s">
        <v>34</v>
      </c>
      <c r="K16" s="59"/>
      <c r="L16" s="56" t="s">
        <v>90</v>
      </c>
      <c r="M16" s="59">
        <v>0.172</v>
      </c>
      <c r="N16" s="6"/>
      <c r="P16" s="48" t="s">
        <v>91</v>
      </c>
      <c r="Q16" s="49">
        <f>277.78%*2</f>
        <v>5.5556</v>
      </c>
      <c r="R16" s="50" t="s">
        <v>64</v>
      </c>
      <c r="S16" s="50">
        <f t="shared" si="7"/>
        <v>962</v>
      </c>
      <c r="T16" s="49">
        <f t="shared" si="8"/>
        <v>1.52582536382536</v>
      </c>
      <c r="U16" s="49">
        <f t="shared" ref="U16:U18" si="13">SUM($E$15:$E$20)</f>
        <v>1.962</v>
      </c>
      <c r="V16" s="51">
        <f t="shared" si="10"/>
        <v>2.58025</v>
      </c>
      <c r="W16" s="52">
        <f t="shared" si="11"/>
        <v>0.4</v>
      </c>
      <c r="X16" s="51">
        <f t="shared" si="12"/>
        <v>0.50131926121372</v>
      </c>
      <c r="Y16" s="50">
        <v>0.8</v>
      </c>
      <c r="Z16" s="53">
        <v>0</v>
      </c>
      <c r="AA16" s="53">
        <v>0</v>
      </c>
      <c r="AB16" s="53">
        <v>0</v>
      </c>
      <c r="AC16" s="54">
        <f t="shared" si="5"/>
        <v>57928.010857378</v>
      </c>
    </row>
    <row r="17" s="1" customFormat="1" spans="2:29">
      <c r="B17" s="56" t="s">
        <v>37</v>
      </c>
      <c r="C17" s="58">
        <v>0.532</v>
      </c>
      <c r="D17" s="56" t="s">
        <v>38</v>
      </c>
      <c r="E17" s="58">
        <v>0.1</v>
      </c>
      <c r="F17" s="56" t="s">
        <v>92</v>
      </c>
      <c r="G17" s="59"/>
      <c r="H17" s="56" t="s">
        <v>39</v>
      </c>
      <c r="I17" s="59"/>
      <c r="J17" s="61" t="s">
        <v>40</v>
      </c>
      <c r="K17" s="59"/>
      <c r="L17" s="56" t="s">
        <v>18</v>
      </c>
      <c r="M17" s="59">
        <v>0.405</v>
      </c>
      <c r="N17" s="6"/>
      <c r="P17" s="48" t="s">
        <v>93</v>
      </c>
      <c r="Q17" s="49">
        <f>33.8%*3+16.9%*6+13.1%*8</f>
        <v>3.076</v>
      </c>
      <c r="R17" s="50" t="s">
        <v>64</v>
      </c>
      <c r="S17" s="50">
        <f t="shared" si="7"/>
        <v>962</v>
      </c>
      <c r="T17" s="49">
        <f t="shared" si="8"/>
        <v>1.52582536382536</v>
      </c>
      <c r="U17" s="49">
        <f t="shared" si="13"/>
        <v>1.962</v>
      </c>
      <c r="V17" s="51">
        <f t="shared" si="10"/>
        <v>2.58025</v>
      </c>
      <c r="W17" s="52">
        <f t="shared" si="11"/>
        <v>0.4</v>
      </c>
      <c r="X17" s="51">
        <f t="shared" si="12"/>
        <v>0.50131926121372</v>
      </c>
      <c r="Y17" s="50">
        <v>0.8</v>
      </c>
      <c r="Z17" s="53">
        <v>1.2</v>
      </c>
      <c r="AA17" s="53">
        <v>0</v>
      </c>
      <c r="AB17" s="53">
        <v>0</v>
      </c>
      <c r="AC17" s="54">
        <f t="shared" si="5"/>
        <v>70561.3138228182</v>
      </c>
    </row>
    <row r="18" s="1" customFormat="1" spans="2:29">
      <c r="B18" s="56" t="s">
        <v>42</v>
      </c>
      <c r="C18" s="62"/>
      <c r="D18" s="56" t="s">
        <v>94</v>
      </c>
      <c r="E18" s="58">
        <v>0.25</v>
      </c>
      <c r="F18" s="56" t="s">
        <v>33</v>
      </c>
      <c r="G18" s="59">
        <v>0.405</v>
      </c>
      <c r="H18" s="56"/>
      <c r="I18" s="59"/>
      <c r="J18" s="61"/>
      <c r="K18" s="59"/>
      <c r="L18" s="56" t="s">
        <v>44</v>
      </c>
      <c r="M18" s="58">
        <v>0.81</v>
      </c>
      <c r="N18" s="6"/>
      <c r="P18" s="48" t="s">
        <v>95</v>
      </c>
      <c r="Q18" s="49">
        <v>12.1672</v>
      </c>
      <c r="R18" s="50" t="s">
        <v>64</v>
      </c>
      <c r="S18" s="50">
        <f t="shared" si="7"/>
        <v>962</v>
      </c>
      <c r="T18" s="49">
        <f t="shared" si="8"/>
        <v>1.52582536382536</v>
      </c>
      <c r="U18" s="49">
        <f t="shared" si="13"/>
        <v>1.962</v>
      </c>
      <c r="V18" s="51">
        <f t="shared" si="10"/>
        <v>2.58025</v>
      </c>
      <c r="W18" s="52">
        <f t="shared" si="11"/>
        <v>0.4</v>
      </c>
      <c r="X18" s="51">
        <f t="shared" si="12"/>
        <v>0.50131926121372</v>
      </c>
      <c r="Y18" s="50">
        <v>0.8</v>
      </c>
      <c r="Z18" s="53">
        <v>0</v>
      </c>
      <c r="AA18" s="53">
        <v>0</v>
      </c>
      <c r="AB18" s="53">
        <v>0</v>
      </c>
      <c r="AC18" s="54">
        <f t="shared" si="5"/>
        <v>126866.889931581</v>
      </c>
    </row>
    <row r="19" s="1" customFormat="1" spans="2:29">
      <c r="B19" s="56" t="s">
        <v>46</v>
      </c>
      <c r="C19" s="62">
        <v>0.39</v>
      </c>
      <c r="D19" s="56" t="s">
        <v>106</v>
      </c>
      <c r="E19" s="58">
        <f>24%+24%</f>
        <v>0.48</v>
      </c>
      <c r="F19" s="56" t="s">
        <v>48</v>
      </c>
      <c r="G19" s="59">
        <v>0.125</v>
      </c>
      <c r="H19" s="56" t="s">
        <v>48</v>
      </c>
      <c r="I19" s="59"/>
      <c r="J19" s="61"/>
      <c r="K19" s="59"/>
      <c r="L19" s="56"/>
      <c r="M19" s="57"/>
      <c r="N19" s="6"/>
      <c r="P19" s="48" t="s">
        <v>96</v>
      </c>
      <c r="Q19" s="49">
        <v>1</v>
      </c>
      <c r="R19" s="50" t="s">
        <v>59</v>
      </c>
      <c r="S19" s="50">
        <f t="shared" si="7"/>
        <v>962</v>
      </c>
      <c r="T19" s="49">
        <f t="shared" si="8"/>
        <v>1.52582536382536</v>
      </c>
      <c r="U19" s="49">
        <f>SUM($E$15:$E$19)</f>
        <v>1.43</v>
      </c>
      <c r="V19" s="51">
        <f t="shared" si="10"/>
        <v>2.58025</v>
      </c>
      <c r="W19" s="52">
        <f t="shared" si="11"/>
        <v>0.4</v>
      </c>
      <c r="X19" s="51">
        <f t="shared" si="12"/>
        <v>0.50131926121372</v>
      </c>
      <c r="Y19" s="50">
        <v>0.8</v>
      </c>
      <c r="Z19" s="53">
        <v>0</v>
      </c>
      <c r="AA19" s="53">
        <v>0</v>
      </c>
      <c r="AB19" s="53">
        <v>0</v>
      </c>
      <c r="AC19" s="54">
        <f t="shared" si="5"/>
        <v>8554.18948310032</v>
      </c>
    </row>
    <row r="20" s="1" customFormat="1" spans="2:29">
      <c r="B20" s="56" t="s">
        <v>50</v>
      </c>
      <c r="C20" s="57">
        <v>350</v>
      </c>
      <c r="D20" s="56" t="s">
        <v>75</v>
      </c>
      <c r="E20" s="58">
        <f>M16+36%</f>
        <v>0.532</v>
      </c>
      <c r="F20" s="63" t="s">
        <v>52</v>
      </c>
      <c r="G20" s="64">
        <f>G15+G16+G17+G18+G19</f>
        <v>0.903</v>
      </c>
      <c r="H20" s="63" t="s">
        <v>53</v>
      </c>
      <c r="I20" s="65">
        <f>I15+I16+I17+I18+I19</f>
        <v>2.75</v>
      </c>
      <c r="J20" s="61"/>
      <c r="K20" s="59"/>
      <c r="L20" s="56"/>
      <c r="M20" s="57"/>
      <c r="N20" s="6"/>
      <c r="P20" s="48" t="s">
        <v>97</v>
      </c>
      <c r="Q20" s="49">
        <f>27.36%*10</f>
        <v>2.736</v>
      </c>
      <c r="R20" s="50" t="s">
        <v>61</v>
      </c>
      <c r="S20" s="50">
        <f t="shared" si="7"/>
        <v>962</v>
      </c>
      <c r="T20" s="49">
        <f t="shared" si="8"/>
        <v>1.52582536382536</v>
      </c>
      <c r="U20" s="49">
        <f>SUM($E$15:$E$19)</f>
        <v>1.43</v>
      </c>
      <c r="V20" s="51">
        <f t="shared" si="10"/>
        <v>2.58025</v>
      </c>
      <c r="W20" s="52">
        <f t="shared" si="11"/>
        <v>0.4</v>
      </c>
      <c r="X20" s="51">
        <f t="shared" si="12"/>
        <v>0.50131926121372</v>
      </c>
      <c r="Y20" s="50">
        <v>0.8</v>
      </c>
      <c r="Z20" s="53">
        <v>0</v>
      </c>
      <c r="AA20" s="53">
        <v>0</v>
      </c>
      <c r="AB20" s="53">
        <v>0</v>
      </c>
      <c r="AC20" s="54">
        <f t="shared" si="5"/>
        <v>23404.2624257625</v>
      </c>
    </row>
    <row r="21" s="1" customFormat="1" spans="2:29">
      <c r="B21" s="66" t="s">
        <v>55</v>
      </c>
      <c r="C21" s="67"/>
      <c r="D21" s="66"/>
      <c r="E21" s="68"/>
      <c r="F21" s="66"/>
      <c r="G21" s="69"/>
      <c r="H21" s="66"/>
      <c r="I21" s="67"/>
      <c r="J21" s="70"/>
      <c r="K21" s="69"/>
      <c r="L21" s="66"/>
      <c r="M21" s="67"/>
      <c r="N21" s="6"/>
      <c r="P21" s="48"/>
      <c r="Q21" s="49"/>
      <c r="R21" s="50"/>
      <c r="S21" s="50"/>
      <c r="T21" s="49"/>
      <c r="U21" s="49"/>
      <c r="V21" s="51"/>
      <c r="W21" s="52"/>
      <c r="X21" s="51"/>
      <c r="Y21" s="50"/>
      <c r="Z21" s="53"/>
      <c r="AA21" s="53"/>
      <c r="AB21" s="53"/>
      <c r="AC21" s="54"/>
    </row>
    <row r="22" s="1" customFormat="1" spans="2:29">
      <c r="B22" s="71"/>
      <c r="C22" s="71" t="s">
        <v>79</v>
      </c>
      <c r="D22" s="71" t="s">
        <v>80</v>
      </c>
      <c r="E22" s="71" t="s">
        <v>81</v>
      </c>
      <c r="F22" s="72"/>
      <c r="G22" s="40"/>
      <c r="H22" s="6"/>
      <c r="I22" s="6"/>
      <c r="J22" s="6"/>
      <c r="K22" s="6"/>
      <c r="L22" s="6"/>
      <c r="M22" s="6"/>
      <c r="N22" s="6"/>
      <c r="P22" s="48" t="s">
        <v>98</v>
      </c>
      <c r="Q22" s="49">
        <v>18.8075</v>
      </c>
      <c r="R22" s="50" t="s">
        <v>99</v>
      </c>
      <c r="S22" s="50">
        <v>10027</v>
      </c>
      <c r="T22" s="49">
        <v>0</v>
      </c>
      <c r="U22" s="49">
        <v>0</v>
      </c>
      <c r="V22" s="51">
        <v>1</v>
      </c>
      <c r="W22" s="52">
        <v>0</v>
      </c>
      <c r="X22" s="51">
        <f>$AE$2</f>
        <v>0.50131926121372</v>
      </c>
      <c r="Y22" s="50">
        <v>0.8</v>
      </c>
      <c r="Z22" s="53">
        <v>0</v>
      </c>
      <c r="AA22" s="53">
        <v>0</v>
      </c>
      <c r="AB22" s="53">
        <v>0.5</v>
      </c>
      <c r="AC22" s="54">
        <f>Q22*S22*(1+T22)*(1+U22)*V22*(1+W22)*X22*Y22*(1+Z22)*(1+AA22)*(1+AB22)</f>
        <v>113448.229472296</v>
      </c>
    </row>
    <row r="23" s="1" customFormat="1" spans="2:29">
      <c r="B23" s="73" t="s">
        <v>82</v>
      </c>
      <c r="C23" s="73">
        <f>SUM(AC2:AC12)</f>
        <v>2313695.76229898</v>
      </c>
      <c r="D23" s="73">
        <f>C23/E23</f>
        <v>92547.830491959</v>
      </c>
      <c r="E23" s="72">
        <v>25</v>
      </c>
      <c r="F23" s="72"/>
      <c r="G23" s="40"/>
      <c r="H23" s="6"/>
      <c r="I23" s="6"/>
      <c r="J23" s="6"/>
      <c r="K23" s="6"/>
      <c r="L23" s="6"/>
      <c r="M23" s="6"/>
      <c r="N23" s="6"/>
      <c r="Q23" s="74"/>
      <c r="U23" s="2"/>
      <c r="V23" s="2"/>
      <c r="AB23" s="4"/>
      <c r="AC23" s="4"/>
    </row>
    <row r="24" s="1" customFormat="1" spans="2:29">
      <c r="B24" s="73" t="s">
        <v>100</v>
      </c>
      <c r="C24" s="73">
        <f>SUM(AC13:AC22)</f>
        <v>518659.301705869</v>
      </c>
      <c r="D24" s="73">
        <f>C24/E23</f>
        <v>20746.3720682348</v>
      </c>
      <c r="E24" s="40"/>
      <c r="F24" s="6"/>
      <c r="G24" s="40"/>
      <c r="H24" s="6"/>
      <c r="I24" s="6"/>
      <c r="J24" s="6"/>
      <c r="K24" s="6"/>
      <c r="L24" s="6"/>
      <c r="M24" s="6"/>
      <c r="N24" s="6"/>
      <c r="Q24" s="2"/>
      <c r="U24" s="2"/>
      <c r="V24" s="3"/>
      <c r="AB24" s="4"/>
      <c r="AC24" s="4"/>
    </row>
    <row r="25" s="1" customFormat="1" spans="2:29">
      <c r="B25" s="73" t="s">
        <v>83</v>
      </c>
      <c r="C25" s="73">
        <v>50000</v>
      </c>
      <c r="D25" s="73">
        <f>C25/E23</f>
        <v>2000</v>
      </c>
      <c r="E25" s="6"/>
      <c r="F25" s="6"/>
      <c r="G25" s="40"/>
      <c r="H25" s="6"/>
      <c r="I25" s="6"/>
      <c r="J25" s="6"/>
      <c r="K25" s="6"/>
      <c r="L25" s="6"/>
      <c r="M25" s="6"/>
      <c r="N25" s="6"/>
      <c r="Q25" s="2"/>
      <c r="U25" s="2"/>
      <c r="V25" s="3"/>
      <c r="AB25" s="4"/>
      <c r="AC25" s="4"/>
    </row>
    <row r="26" s="1" customFormat="1" spans="2:29">
      <c r="B26" s="73" t="s">
        <v>84</v>
      </c>
      <c r="C26" s="73">
        <f>C23+C24+C25</f>
        <v>2882355.06400484</v>
      </c>
      <c r="D26" s="73">
        <f>C26/E23</f>
        <v>115294.202560194</v>
      </c>
      <c r="E26" s="6"/>
      <c r="F26" s="6"/>
      <c r="G26" s="40"/>
      <c r="H26" s="6"/>
      <c r="I26" s="6"/>
      <c r="J26" s="6"/>
      <c r="K26" s="6"/>
      <c r="L26" s="6"/>
      <c r="M26" s="6"/>
      <c r="N26" s="6"/>
      <c r="Q26" s="2"/>
      <c r="U26" s="2"/>
      <c r="V26" s="3"/>
      <c r="AB26" s="4"/>
      <c r="AC26" s="4"/>
    </row>
    <row r="27" s="1" customFormat="1" ht="18" customHeight="1" spans="2:29">
      <c r="B27" s="6"/>
      <c r="C27" s="6" t="s">
        <v>120</v>
      </c>
      <c r="D27" s="6" t="s">
        <v>121</v>
      </c>
      <c r="E27" s="6" t="s">
        <v>122</v>
      </c>
      <c r="F27" s="75"/>
      <c r="G27" s="76" t="s">
        <v>123</v>
      </c>
      <c r="H27" s="75" t="s">
        <v>80</v>
      </c>
      <c r="I27" s="75" t="s">
        <v>124</v>
      </c>
      <c r="J27" s="75" t="s">
        <v>125</v>
      </c>
      <c r="K27" s="77" t="s">
        <v>123</v>
      </c>
      <c r="L27" s="77" t="s">
        <v>80</v>
      </c>
      <c r="M27" s="77" t="s">
        <v>124</v>
      </c>
      <c r="N27" s="6"/>
      <c r="Q27" s="2"/>
      <c r="U27" s="2"/>
      <c r="V27" s="3"/>
      <c r="AB27" s="4"/>
      <c r="AC27" s="4"/>
    </row>
    <row r="28" s="1" customFormat="1" ht="18" customHeight="1" spans="2:29">
      <c r="B28" s="73"/>
      <c r="C28" s="73">
        <f>D28*81+E28*54</f>
        <v>351</v>
      </c>
      <c r="D28" s="73">
        <v>3</v>
      </c>
      <c r="E28" s="6">
        <v>2</v>
      </c>
      <c r="F28" s="73"/>
      <c r="G28" s="40" t="s">
        <v>103</v>
      </c>
      <c r="H28" s="78">
        <v>57700</v>
      </c>
      <c r="I28" s="78"/>
      <c r="J28" s="79">
        <f>H28/C28</f>
        <v>164.387464387464</v>
      </c>
      <c r="K28" s="6" t="s">
        <v>126</v>
      </c>
      <c r="L28" s="6">
        <v>122021</v>
      </c>
      <c r="M28" s="50"/>
      <c r="N28" s="6"/>
      <c r="Q28" s="2"/>
      <c r="U28" s="2"/>
      <c r="V28" s="3"/>
      <c r="AB28" s="4"/>
      <c r="AC28" s="4"/>
    </row>
    <row r="29" s="1" customFormat="1" ht="18" customHeight="1" spans="2:29">
      <c r="B29" s="73"/>
      <c r="C29" s="73">
        <f t="shared" ref="C29:C36" si="14">D29*81+E29*54</f>
        <v>351</v>
      </c>
      <c r="D29" s="73">
        <v>3</v>
      </c>
      <c r="E29" s="6">
        <v>2</v>
      </c>
      <c r="F29" s="80" t="s">
        <v>108</v>
      </c>
      <c r="G29" s="81" t="s">
        <v>104</v>
      </c>
      <c r="H29" s="82">
        <v>62186</v>
      </c>
      <c r="I29" s="83">
        <f t="shared" ref="I29:I36" si="15">H29/H$28-1</f>
        <v>0.0777469670710571</v>
      </c>
      <c r="J29" s="79">
        <f t="shared" ref="J29:J36" si="16">H29/C29</f>
        <v>177.168091168091</v>
      </c>
      <c r="K29" s="6" t="s">
        <v>127</v>
      </c>
      <c r="L29" s="6">
        <v>124392</v>
      </c>
      <c r="M29" s="49">
        <f>L29/L28-1</f>
        <v>0.0194310815351455</v>
      </c>
      <c r="N29" s="6"/>
      <c r="Q29" s="2"/>
      <c r="U29" s="2"/>
      <c r="V29" s="3"/>
      <c r="AB29" s="4"/>
      <c r="AC29" s="4"/>
    </row>
    <row r="30" s="1" customFormat="1" ht="18" customHeight="1" spans="2:29">
      <c r="B30" s="6"/>
      <c r="C30" s="73">
        <f t="shared" si="14"/>
        <v>513</v>
      </c>
      <c r="D30" s="6">
        <v>5</v>
      </c>
      <c r="E30" s="6">
        <v>2</v>
      </c>
      <c r="F30" s="84" t="s">
        <v>109</v>
      </c>
      <c r="G30" s="85" t="s">
        <v>104</v>
      </c>
      <c r="H30" s="86">
        <v>63791</v>
      </c>
      <c r="I30" s="87">
        <f t="shared" si="15"/>
        <v>0.105563258232236</v>
      </c>
      <c r="J30" s="79">
        <f t="shared" si="16"/>
        <v>124.348927875244</v>
      </c>
      <c r="K30" s="6" t="s">
        <v>128</v>
      </c>
      <c r="L30" s="6">
        <v>162637</v>
      </c>
      <c r="M30" s="49">
        <f>L30/L28-1</f>
        <v>0.332860737086239</v>
      </c>
      <c r="N30" s="6"/>
      <c r="Q30" s="2"/>
      <c r="U30" s="2"/>
      <c r="V30" s="3"/>
      <c r="AB30" s="4"/>
      <c r="AC30" s="4"/>
    </row>
    <row r="31" s="1" customFormat="1" ht="18" customHeight="1" spans="2:29">
      <c r="B31" s="73"/>
      <c r="C31" s="73">
        <f t="shared" si="14"/>
        <v>405</v>
      </c>
      <c r="D31" s="73">
        <v>3</v>
      </c>
      <c r="E31" s="6">
        <v>3</v>
      </c>
      <c r="F31" s="80" t="s">
        <v>110</v>
      </c>
      <c r="G31" s="81" t="s">
        <v>105</v>
      </c>
      <c r="H31" s="82">
        <v>66861</v>
      </c>
      <c r="I31" s="83">
        <f t="shared" si="15"/>
        <v>0.158769497400347</v>
      </c>
      <c r="J31" s="79">
        <f t="shared" si="16"/>
        <v>165.088888888889</v>
      </c>
      <c r="N31" s="6"/>
      <c r="Q31" s="2"/>
      <c r="U31" s="2"/>
      <c r="V31" s="3"/>
      <c r="AB31" s="4"/>
      <c r="AC31" s="4"/>
    </row>
    <row r="32" s="1" customFormat="1" ht="18" customHeight="1" spans="2:29">
      <c r="B32" s="73"/>
      <c r="C32" s="73">
        <f t="shared" si="14"/>
        <v>513</v>
      </c>
      <c r="D32" s="73">
        <v>5</v>
      </c>
      <c r="E32" s="6">
        <v>2</v>
      </c>
      <c r="F32" s="73"/>
      <c r="G32" s="40" t="s">
        <v>113</v>
      </c>
      <c r="H32" s="78">
        <v>74959</v>
      </c>
      <c r="I32" s="88">
        <f t="shared" si="15"/>
        <v>0.299116117850953</v>
      </c>
      <c r="J32" s="79">
        <f t="shared" si="16"/>
        <v>146.118908382066</v>
      </c>
      <c r="N32" s="6"/>
      <c r="Q32" s="2"/>
      <c r="U32" s="2"/>
      <c r="V32" s="3"/>
      <c r="AB32" s="4"/>
      <c r="AC32" s="4"/>
    </row>
    <row r="33" s="1" customFormat="1" ht="18" customHeight="1" spans="2:29">
      <c r="B33" s="6"/>
      <c r="C33" s="73">
        <f t="shared" si="14"/>
        <v>567</v>
      </c>
      <c r="D33" s="6">
        <v>5</v>
      </c>
      <c r="E33" s="6">
        <v>3</v>
      </c>
      <c r="F33" s="80"/>
      <c r="G33" s="81" t="s">
        <v>111</v>
      </c>
      <c r="H33" s="82">
        <v>78639</v>
      </c>
      <c r="I33" s="83">
        <f t="shared" si="15"/>
        <v>0.362894280762565</v>
      </c>
      <c r="J33" s="79">
        <f t="shared" si="16"/>
        <v>138.693121693122</v>
      </c>
      <c r="N33" s="6"/>
      <c r="Q33" s="2"/>
      <c r="U33" s="2"/>
      <c r="V33" s="3"/>
      <c r="AB33" s="4"/>
      <c r="AC33" s="4"/>
    </row>
    <row r="34" s="1" customFormat="1" ht="18" customHeight="1" spans="2:29">
      <c r="B34" s="73"/>
      <c r="C34" s="73">
        <f t="shared" si="14"/>
        <v>594</v>
      </c>
      <c r="D34" s="73">
        <v>6</v>
      </c>
      <c r="E34" s="6">
        <v>2</v>
      </c>
      <c r="F34" s="6"/>
      <c r="G34" s="40" t="s">
        <v>114</v>
      </c>
      <c r="H34" s="78">
        <v>90961</v>
      </c>
      <c r="I34" s="88">
        <f t="shared" si="15"/>
        <v>0.576447140381283</v>
      </c>
      <c r="J34" s="79">
        <f t="shared" si="16"/>
        <v>153.132996632997</v>
      </c>
      <c r="N34" s="6"/>
      <c r="Q34" s="2"/>
      <c r="U34" s="2"/>
      <c r="V34" s="3"/>
      <c r="AB34" s="4"/>
      <c r="AC34" s="4"/>
    </row>
    <row r="35" s="1" customFormat="1" ht="18" customHeight="1" spans="2:29">
      <c r="C35" s="73">
        <f t="shared" si="14"/>
        <v>648</v>
      </c>
      <c r="D35" s="6">
        <v>6</v>
      </c>
      <c r="E35" s="6">
        <v>3</v>
      </c>
      <c r="F35" s="6"/>
      <c r="G35" s="40" t="s">
        <v>119</v>
      </c>
      <c r="H35" s="78">
        <v>96948</v>
      </c>
      <c r="I35" s="88">
        <f t="shared" si="15"/>
        <v>0.680207972270364</v>
      </c>
      <c r="J35" s="79">
        <f t="shared" si="16"/>
        <v>149.611111111111</v>
      </c>
      <c r="N35" s="6"/>
      <c r="Q35" s="2"/>
      <c r="U35" s="2"/>
      <c r="V35" s="3"/>
      <c r="AB35" s="4"/>
      <c r="AC35" s="4"/>
    </row>
    <row r="36" s="1" customFormat="1" ht="18" customHeight="1" spans="2:29">
      <c r="C36" s="73">
        <f t="shared" si="14"/>
        <v>810</v>
      </c>
      <c r="D36" s="6">
        <v>8</v>
      </c>
      <c r="E36" s="6">
        <v>3</v>
      </c>
      <c r="F36" s="6"/>
      <c r="G36" s="40" t="s">
        <v>129</v>
      </c>
      <c r="H36" s="78">
        <v>115294</v>
      </c>
      <c r="I36" s="88">
        <f t="shared" si="15"/>
        <v>0.998162911611785</v>
      </c>
      <c r="J36" s="79">
        <f t="shared" si="16"/>
        <v>142.338271604938</v>
      </c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H48" s="1"/>
      <c r="I48" s="1"/>
      <c r="N48" s="6"/>
      <c r="Q48" s="2"/>
      <c r="U48" s="2"/>
      <c r="V48" s="3"/>
      <c r="AB48" s="4"/>
      <c r="AC48" s="4"/>
    </row>
  </sheetData>
  <sortState ref="F28:I37">
    <sortCondition ref="H28"/>
  </sortState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conditionalFormatting sqref="J28:J36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8"/>
  <sheetViews>
    <sheetView workbookViewId="0">
      <selection activeCell="D28" sqref="D2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9090909090909" style="1" customWidth="1"/>
    <col min="7" max="7" width="14" style="2" customWidth="1"/>
    <col min="8" max="8" width="7.54545454545455" style="1" customWidth="1"/>
    <col min="9" max="9" width="14" style="1" customWidth="1"/>
    <col min="10" max="10" width="8.92727272727273" style="1" customWidth="1"/>
    <col min="11" max="11" width="14" style="1" customWidth="1"/>
    <col min="12" max="12" width="7.54545454545455" style="1" customWidth="1"/>
    <col min="13" max="13" width="9.54545454545454" style="1" customWidth="1"/>
    <col min="14" max="15" width="9.69090909090909" style="1"/>
    <col min="16" max="16" width="16.2727272727273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customHeight="1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customHeigh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178.93%+59.65%*2</f>
        <v>2.9823</v>
      </c>
      <c r="R2" s="19" t="s">
        <v>22</v>
      </c>
      <c r="S2" s="19">
        <f t="shared" ref="S2:S12" si="0">$C$3</f>
        <v>962</v>
      </c>
      <c r="T2" s="18">
        <f t="shared" ref="T2:T10" si="1">(C$4+C$5+C$6+C$7)+(C$8+C$9)/S$4</f>
        <v>2.09582536382536</v>
      </c>
      <c r="U2" s="18">
        <f>SUM($E$3:$E$7)</f>
        <v>1.225</v>
      </c>
      <c r="V2" s="20">
        <f t="shared" ref="V2:V11" si="2">1+$G$8*($I$8-1)</f>
        <v>3.28</v>
      </c>
      <c r="W2" s="21">
        <f t="shared" ref="W2:W10" si="3">K$3+K$5</f>
        <v>0.54</v>
      </c>
      <c r="X2" s="19">
        <f t="shared" ref="X2:X12" si="4">AE$3</f>
        <v>0.550756565598006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0" si="5">Q2*S2*(1+T2)*(1+U2)*V2*(1+W2)*X2*Y2*(1+Z2)*(1+AA2)*(1+AB2)</f>
        <v>43982.2157468397</v>
      </c>
      <c r="AD2" s="13">
        <v>0</v>
      </c>
      <c r="AE2" s="14">
        <f t="shared" ref="AE2:AE7" si="6">1520/(1520+(792+8*AF2)*(1-AD2/100))</f>
        <v>0.50131926121372</v>
      </c>
      <c r="AF2" s="24">
        <v>90</v>
      </c>
    </row>
    <row r="3" s="1" customFormat="1" spans="2:32">
      <c r="B3" s="25" t="s">
        <v>23</v>
      </c>
      <c r="C3" s="26">
        <f>462+500</f>
        <v>962</v>
      </c>
      <c r="D3" s="25" t="s">
        <v>24</v>
      </c>
      <c r="E3" s="27">
        <f>30%+24%</f>
        <v>0.54</v>
      </c>
      <c r="F3" s="25" t="s">
        <v>25</v>
      </c>
      <c r="G3" s="27">
        <v>0.13</v>
      </c>
      <c r="H3" s="25" t="s">
        <v>25</v>
      </c>
      <c r="I3" s="28">
        <v>1.5</v>
      </c>
      <c r="J3" s="29" t="s">
        <v>26</v>
      </c>
      <c r="K3" s="28">
        <v>0.54</v>
      </c>
      <c r="L3" s="25" t="s">
        <v>27</v>
      </c>
      <c r="M3" s="27">
        <f>8.6%*2</f>
        <v>0.172</v>
      </c>
      <c r="N3" s="6"/>
      <c r="P3" s="17" t="s">
        <v>28</v>
      </c>
      <c r="Q3" s="18">
        <f>144.11%+144.11%</f>
        <v>2.8822</v>
      </c>
      <c r="R3" s="19" t="s">
        <v>29</v>
      </c>
      <c r="S3" s="19">
        <f t="shared" si="0"/>
        <v>962</v>
      </c>
      <c r="T3" s="18">
        <f t="shared" si="1"/>
        <v>2.09582536382536</v>
      </c>
      <c r="U3" s="18">
        <f>SUM($E$3:$E$8)</f>
        <v>2.117</v>
      </c>
      <c r="V3" s="20">
        <f t="shared" si="2"/>
        <v>3.28</v>
      </c>
      <c r="W3" s="21">
        <f t="shared" si="3"/>
        <v>0.54</v>
      </c>
      <c r="X3" s="19">
        <f t="shared" si="4"/>
        <v>0.550756565598006</v>
      </c>
      <c r="Y3" s="19">
        <v>0.8</v>
      </c>
      <c r="Z3" s="22">
        <v>0.93</v>
      </c>
      <c r="AA3" s="22">
        <v>0</v>
      </c>
      <c r="AB3" s="22">
        <v>0</v>
      </c>
      <c r="AC3" s="23">
        <f t="shared" si="5"/>
        <v>114924.860659288</v>
      </c>
      <c r="AD3" s="13">
        <v>18</v>
      </c>
      <c r="AE3" s="14">
        <f t="shared" si="6"/>
        <v>0.550756565598006</v>
      </c>
      <c r="AF3" s="24">
        <v>90</v>
      </c>
    </row>
    <row r="4" s="1" customFormat="1" spans="2:32">
      <c r="B4" s="25" t="s">
        <v>30</v>
      </c>
      <c r="C4" s="28">
        <f>12%+12%</f>
        <v>0.24</v>
      </c>
      <c r="D4" s="25" t="s">
        <v>31</v>
      </c>
      <c r="E4" s="27">
        <f>12%+10%+24%</f>
        <v>0.46</v>
      </c>
      <c r="F4" s="25" t="s">
        <v>32</v>
      </c>
      <c r="G4" s="27"/>
      <c r="H4" s="25" t="s">
        <v>33</v>
      </c>
      <c r="I4" s="27">
        <f>M6</f>
        <v>0.81</v>
      </c>
      <c r="J4" s="30" t="s">
        <v>34</v>
      </c>
      <c r="K4" s="27"/>
      <c r="L4" s="25" t="s">
        <v>35</v>
      </c>
      <c r="M4" s="27">
        <f>8.6%*2</f>
        <v>0.172</v>
      </c>
      <c r="N4" s="6"/>
      <c r="P4" s="17" t="s">
        <v>36</v>
      </c>
      <c r="Q4" s="18">
        <f>112.73%+112.73%+338.18%</f>
        <v>5.6364</v>
      </c>
      <c r="R4" s="19" t="s">
        <v>29</v>
      </c>
      <c r="S4" s="19">
        <f t="shared" si="0"/>
        <v>962</v>
      </c>
      <c r="T4" s="18">
        <f t="shared" si="1"/>
        <v>2.09582536382536</v>
      </c>
      <c r="U4" s="18">
        <f>SUM($E$3:$E$8)</f>
        <v>2.117</v>
      </c>
      <c r="V4" s="20">
        <f t="shared" si="2"/>
        <v>3.28</v>
      </c>
      <c r="W4" s="21">
        <f t="shared" si="3"/>
        <v>0.54</v>
      </c>
      <c r="X4" s="19">
        <f t="shared" si="4"/>
        <v>0.550756565598006</v>
      </c>
      <c r="Y4" s="19">
        <v>0.8</v>
      </c>
      <c r="Z4" s="22">
        <v>0.93</v>
      </c>
      <c r="AA4" s="22">
        <v>0</v>
      </c>
      <c r="AB4" s="22">
        <v>0</v>
      </c>
      <c r="AC4" s="23">
        <f t="shared" si="5"/>
        <v>224745.848525436</v>
      </c>
      <c r="AD4" s="13">
        <v>14.4</v>
      </c>
      <c r="AE4" s="14">
        <f t="shared" si="6"/>
        <v>0.540104154822277</v>
      </c>
      <c r="AF4" s="24">
        <v>90</v>
      </c>
    </row>
    <row r="5" s="1" customFormat="1" spans="2:32">
      <c r="B5" s="25" t="s">
        <v>37</v>
      </c>
      <c r="C5" s="28">
        <f>18%+18%+M3+30%</f>
        <v>0.832</v>
      </c>
      <c r="D5" s="25" t="s">
        <v>38</v>
      </c>
      <c r="E5" s="27">
        <v>0.225</v>
      </c>
      <c r="F5" s="25" t="s">
        <v>39</v>
      </c>
      <c r="G5" s="27">
        <v>0.125</v>
      </c>
      <c r="H5" s="25" t="s">
        <v>32</v>
      </c>
      <c r="I5" s="27">
        <v>0.72</v>
      </c>
      <c r="J5" s="30" t="s">
        <v>40</v>
      </c>
      <c r="K5" s="27"/>
      <c r="L5" s="25" t="s">
        <v>18</v>
      </c>
      <c r="M5" s="27">
        <f>8.1*5%</f>
        <v>0.405</v>
      </c>
      <c r="N5" s="6"/>
      <c r="P5" s="17" t="s">
        <v>41</v>
      </c>
      <c r="Q5" s="18">
        <f>66.83%*5</f>
        <v>3.3415</v>
      </c>
      <c r="R5" s="19" t="s">
        <v>29</v>
      </c>
      <c r="S5" s="19">
        <f t="shared" si="0"/>
        <v>962</v>
      </c>
      <c r="T5" s="18">
        <f t="shared" si="1"/>
        <v>2.09582536382536</v>
      </c>
      <c r="U5" s="18">
        <f>SUM($E$3:$E$8)</f>
        <v>2.117</v>
      </c>
      <c r="V5" s="20">
        <f t="shared" si="2"/>
        <v>3.28</v>
      </c>
      <c r="W5" s="21">
        <f t="shared" si="3"/>
        <v>0.54</v>
      </c>
      <c r="X5" s="19">
        <f t="shared" si="4"/>
        <v>0.550756565598006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69035.746997564</v>
      </c>
      <c r="AD5" s="13">
        <v>21.6</v>
      </c>
      <c r="AE5" s="14">
        <f t="shared" si="6"/>
        <v>0.561837623012869</v>
      </c>
      <c r="AF5" s="24">
        <v>90</v>
      </c>
    </row>
    <row r="6" s="1" customFormat="1" spans="2:32">
      <c r="B6" s="25" t="s">
        <v>42</v>
      </c>
      <c r="C6" s="31"/>
      <c r="D6" s="25" t="s">
        <v>43</v>
      </c>
      <c r="E6" s="27"/>
      <c r="F6" s="25" t="s">
        <v>33</v>
      </c>
      <c r="G6" s="27">
        <f>M5+22%</f>
        <v>0.625</v>
      </c>
      <c r="H6" s="25"/>
      <c r="I6" s="27"/>
      <c r="J6" s="30"/>
      <c r="K6" s="27"/>
      <c r="L6" s="25" t="s">
        <v>44</v>
      </c>
      <c r="M6" s="28">
        <f>16.2%*5</f>
        <v>0.81</v>
      </c>
      <c r="N6" s="6"/>
      <c r="P6" s="17" t="s">
        <v>45</v>
      </c>
      <c r="Q6" s="18">
        <v>5.0121</v>
      </c>
      <c r="R6" s="19" t="s">
        <v>29</v>
      </c>
      <c r="S6" s="19">
        <f t="shared" si="0"/>
        <v>962</v>
      </c>
      <c r="T6" s="18">
        <f t="shared" si="1"/>
        <v>2.09582536382536</v>
      </c>
      <c r="U6" s="18">
        <f>SUM($E$3:$E$8)-48%</f>
        <v>1.637</v>
      </c>
      <c r="V6" s="20">
        <f t="shared" si="2"/>
        <v>3.28</v>
      </c>
      <c r="W6" s="21">
        <f t="shared" si="3"/>
        <v>0.54</v>
      </c>
      <c r="X6" s="19">
        <f t="shared" si="4"/>
        <v>0.550756565598006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87604.3391541882</v>
      </c>
      <c r="AD6" s="13">
        <v>28.8</v>
      </c>
      <c r="AE6" s="14">
        <f t="shared" si="6"/>
        <v>0.585393507677898</v>
      </c>
      <c r="AF6" s="24">
        <v>90</v>
      </c>
    </row>
    <row r="7" s="1" customFormat="1" spans="2:32">
      <c r="B7" s="25" t="s">
        <v>46</v>
      </c>
      <c r="C7" s="31">
        <f>27%+39%</f>
        <v>0.66</v>
      </c>
      <c r="D7" s="25" t="s">
        <v>47</v>
      </c>
      <c r="E7" s="27"/>
      <c r="F7" s="25" t="s">
        <v>48</v>
      </c>
      <c r="G7" s="27">
        <v>0.125</v>
      </c>
      <c r="H7" s="25" t="s">
        <v>48</v>
      </c>
      <c r="I7" s="27">
        <v>0.25</v>
      </c>
      <c r="J7" s="30"/>
      <c r="K7" s="27"/>
      <c r="L7" s="25"/>
      <c r="M7" s="26"/>
      <c r="N7" s="6"/>
      <c r="P7" s="17" t="s">
        <v>49</v>
      </c>
      <c r="Q7" s="18">
        <f>402.71%</f>
        <v>4.0271</v>
      </c>
      <c r="R7" s="19" t="s">
        <v>29</v>
      </c>
      <c r="S7" s="19">
        <f t="shared" si="0"/>
        <v>962</v>
      </c>
      <c r="T7" s="18">
        <f t="shared" si="1"/>
        <v>2.09582536382536</v>
      </c>
      <c r="U7" s="18">
        <f>SUM($E$3:$E$8)+18%</f>
        <v>2.297</v>
      </c>
      <c r="V7" s="20">
        <f t="shared" si="2"/>
        <v>3.28</v>
      </c>
      <c r="W7" s="21">
        <f t="shared" si="3"/>
        <v>0.54</v>
      </c>
      <c r="X7" s="19">
        <f t="shared" si="4"/>
        <v>0.550756565598006</v>
      </c>
      <c r="Y7" s="19">
        <v>0.8</v>
      </c>
      <c r="Z7" s="22">
        <v>0</v>
      </c>
      <c r="AA7" s="22">
        <v>0</v>
      </c>
      <c r="AB7" s="22">
        <v>0.8</v>
      </c>
      <c r="AC7" s="23">
        <f t="shared" si="5"/>
        <v>158408.917802293</v>
      </c>
      <c r="AD7" s="13">
        <v>36</v>
      </c>
      <c r="AE7" s="14">
        <f t="shared" si="6"/>
        <v>0.611011062516079</v>
      </c>
      <c r="AF7" s="24">
        <v>90</v>
      </c>
    </row>
    <row r="8" s="1" customFormat="1" spans="2:32">
      <c r="B8" s="25" t="s">
        <v>50</v>
      </c>
      <c r="C8" s="26">
        <v>350</v>
      </c>
      <c r="D8" s="25" t="s">
        <v>51</v>
      </c>
      <c r="E8" s="27">
        <f>12%+12%+48%+M4</f>
        <v>0.892</v>
      </c>
      <c r="F8" s="32" t="s">
        <v>52</v>
      </c>
      <c r="G8" s="33">
        <f>MIN(100%,SUM(G3:G7))</f>
        <v>1</v>
      </c>
      <c r="H8" s="32" t="s">
        <v>53</v>
      </c>
      <c r="I8" s="34">
        <f>SUM(I3:I7)</f>
        <v>3.28</v>
      </c>
      <c r="J8" s="30"/>
      <c r="K8" s="27"/>
      <c r="L8" s="25"/>
      <c r="M8" s="26"/>
      <c r="N8" s="6"/>
      <c r="P8" s="17" t="s">
        <v>54</v>
      </c>
      <c r="Q8" s="18">
        <f>(183.64%+14.5%*4)*4</f>
        <v>9.6656</v>
      </c>
      <c r="R8" s="19" t="s">
        <v>29</v>
      </c>
      <c r="S8" s="19">
        <f t="shared" si="0"/>
        <v>962</v>
      </c>
      <c r="T8" s="18">
        <f t="shared" si="1"/>
        <v>2.09582536382536</v>
      </c>
      <c r="U8" s="18">
        <f>SUM($E$3:$E$8)+36%</f>
        <v>2.477</v>
      </c>
      <c r="V8" s="20">
        <f t="shared" si="2"/>
        <v>3.28</v>
      </c>
      <c r="W8" s="21">
        <f t="shared" si="3"/>
        <v>0.54</v>
      </c>
      <c r="X8" s="19">
        <f t="shared" si="4"/>
        <v>0.550756565598006</v>
      </c>
      <c r="Y8" s="19">
        <v>0.8</v>
      </c>
      <c r="Z8" s="22">
        <v>0</v>
      </c>
      <c r="AA8" s="22">
        <v>0</v>
      </c>
      <c r="AB8" s="22">
        <v>0.8</v>
      </c>
      <c r="AC8" s="23">
        <f t="shared" si="5"/>
        <v>400960.669900801</v>
      </c>
    </row>
    <row r="9" s="1" customFormat="1" spans="2:32">
      <c r="B9" s="35" t="s">
        <v>55</v>
      </c>
      <c r="C9" s="36"/>
      <c r="D9" s="35"/>
      <c r="E9" s="37"/>
      <c r="F9" s="35"/>
      <c r="G9" s="38"/>
      <c r="H9" s="35"/>
      <c r="I9" s="36"/>
      <c r="J9" s="39"/>
      <c r="K9" s="38"/>
      <c r="L9" s="35"/>
      <c r="M9" s="36"/>
      <c r="N9" s="6"/>
      <c r="P9" s="17" t="s">
        <v>56</v>
      </c>
      <c r="Q9" s="18">
        <v>6.4433</v>
      </c>
      <c r="R9" s="19" t="s">
        <v>29</v>
      </c>
      <c r="S9" s="19">
        <f t="shared" si="0"/>
        <v>962</v>
      </c>
      <c r="T9" s="18">
        <f t="shared" si="1"/>
        <v>2.09582536382536</v>
      </c>
      <c r="U9" s="18">
        <f>SUM($E$3:$E$8)+36%</f>
        <v>2.477</v>
      </c>
      <c r="V9" s="20">
        <f t="shared" si="2"/>
        <v>3.28</v>
      </c>
      <c r="W9" s="21">
        <f t="shared" si="3"/>
        <v>0.54</v>
      </c>
      <c r="X9" s="19">
        <f t="shared" si="4"/>
        <v>0.550756565598006</v>
      </c>
      <c r="Y9" s="19">
        <v>0.8</v>
      </c>
      <c r="Z9" s="22">
        <v>1.26</v>
      </c>
      <c r="AA9" s="22">
        <v>0</v>
      </c>
      <c r="AB9" s="22">
        <v>0.8</v>
      </c>
      <c r="AC9" s="23">
        <f t="shared" si="5"/>
        <v>604073.450037281</v>
      </c>
    </row>
    <row r="10" s="1" customFormat="1" spans="2:32">
      <c r="B10" s="6"/>
      <c r="C10" s="6"/>
      <c r="D10" s="6"/>
      <c r="E10" s="6"/>
      <c r="F10" s="6" t="s">
        <v>57</v>
      </c>
      <c r="G10" s="40"/>
      <c r="H10" s="6"/>
      <c r="I10" s="6"/>
      <c r="J10" s="6"/>
      <c r="K10" s="6"/>
      <c r="L10" s="6"/>
      <c r="M10" s="6"/>
      <c r="N10" s="6"/>
      <c r="P10" s="17" t="s">
        <v>58</v>
      </c>
      <c r="Q10" s="18">
        <f>794.2%+1032.18%</f>
        <v>18.2638</v>
      </c>
      <c r="R10" s="19" t="s">
        <v>59</v>
      </c>
      <c r="S10" s="19">
        <f t="shared" si="0"/>
        <v>962</v>
      </c>
      <c r="T10" s="18">
        <f t="shared" si="1"/>
        <v>2.09582536382536</v>
      </c>
      <c r="U10" s="18">
        <f>SUM($E$3:$E$7)</f>
        <v>1.225</v>
      </c>
      <c r="V10" s="20">
        <f t="shared" si="2"/>
        <v>3.28</v>
      </c>
      <c r="W10" s="21">
        <f t="shared" si="3"/>
        <v>0.54</v>
      </c>
      <c r="X10" s="19">
        <f t="shared" si="4"/>
        <v>0.550756565598006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269349.962095406</v>
      </c>
    </row>
    <row r="11" s="1" customFormat="1" spans="2:32">
      <c r="B11" s="6"/>
      <c r="C11" s="6"/>
      <c r="D11" s="6"/>
      <c r="E11" s="6"/>
      <c r="F11" s="6"/>
      <c r="G11" s="40"/>
      <c r="H11" s="6"/>
      <c r="I11" s="6"/>
      <c r="J11" s="6"/>
      <c r="K11" s="6"/>
      <c r="L11" s="6"/>
      <c r="M11" s="6"/>
      <c r="N11" s="6"/>
      <c r="P11" s="17" t="s">
        <v>60</v>
      </c>
      <c r="Q11" s="18">
        <f>Q3+Q4</f>
        <v>8.5186</v>
      </c>
      <c r="R11" s="19" t="s">
        <v>29</v>
      </c>
      <c r="S11" s="19">
        <f t="shared" si="0"/>
        <v>962</v>
      </c>
      <c r="T11" s="18">
        <f>(C$4+C$5+C$6+C$7)+(C$8+C$9)/S$4-22.5%</f>
        <v>1.87082536382536</v>
      </c>
      <c r="U11" s="18">
        <f>SUM($E$3:$E$8)-12%</f>
        <v>1.997</v>
      </c>
      <c r="V11" s="20">
        <f t="shared" si="2"/>
        <v>3.28</v>
      </c>
      <c r="W11" s="21">
        <f>W10</f>
        <v>0.54</v>
      </c>
      <c r="X11" s="19">
        <f t="shared" si="4"/>
        <v>0.550756565598006</v>
      </c>
      <c r="Y11" s="19">
        <v>0.8</v>
      </c>
      <c r="Z11" s="22">
        <v>0.93</v>
      </c>
      <c r="AA11" s="22">
        <v>0</v>
      </c>
      <c r="AB11" s="22">
        <v>0</v>
      </c>
      <c r="AC11" s="23">
        <f t="shared" si="5"/>
        <v>302857.51821484</v>
      </c>
    </row>
    <row r="12" s="1" customFormat="1" spans="2:32">
      <c r="B12" s="6"/>
      <c r="C12" s="6"/>
      <c r="D12" s="6"/>
      <c r="E12" s="6"/>
      <c r="F12" s="6"/>
      <c r="G12" s="40"/>
      <c r="H12" s="6"/>
      <c r="I12" s="6"/>
      <c r="J12" s="6"/>
      <c r="K12" s="6"/>
      <c r="L12" s="6"/>
      <c r="M12" s="6"/>
      <c r="N12" s="6"/>
      <c r="P12" s="41" t="s">
        <v>61</v>
      </c>
      <c r="Q12" s="42">
        <f>405%</f>
        <v>4.05</v>
      </c>
      <c r="R12" s="43" t="s">
        <v>61</v>
      </c>
      <c r="S12" s="43">
        <f t="shared" si="0"/>
        <v>962</v>
      </c>
      <c r="T12" s="42">
        <f>(C$4+C$5+C$6+C$7)+(C$8+C$9)/S$4</f>
        <v>2.09582536382536</v>
      </c>
      <c r="U12" s="42">
        <f>SUM($E$3:$E$5)</f>
        <v>1.225</v>
      </c>
      <c r="V12" s="44">
        <f>1+($G$8-0.125)*($I$8-1-0.25)</f>
        <v>2.77625</v>
      </c>
      <c r="W12" s="42">
        <v>0.15</v>
      </c>
      <c r="X12" s="43">
        <f t="shared" si="4"/>
        <v>0.550756565598006</v>
      </c>
      <c r="Y12" s="43">
        <v>0.8</v>
      </c>
      <c r="Z12" s="45">
        <v>0</v>
      </c>
      <c r="AA12" s="45">
        <v>0</v>
      </c>
      <c r="AB12" s="45">
        <v>0</v>
      </c>
      <c r="AC12" s="46">
        <f t="shared" si="5"/>
        <v>37752.2331650369</v>
      </c>
    </row>
    <row r="13" s="1" customFormat="1" ht="15" spans="2:32">
      <c r="B13" s="47" t="s">
        <v>85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6"/>
      <c r="P13" s="48" t="s">
        <v>86</v>
      </c>
      <c r="Q13" s="49">
        <f>22.48%*10</f>
        <v>2.248</v>
      </c>
      <c r="R13" s="50" t="s">
        <v>22</v>
      </c>
      <c r="S13" s="50">
        <f t="shared" ref="S13:S20" si="7">$C$15</f>
        <v>962</v>
      </c>
      <c r="T13" s="49">
        <f t="shared" ref="T13:T20" si="8">($C$16+$C$17+$C$18+$C$19)+($C$20+$C$11)/S13</f>
        <v>1.52582536382536</v>
      </c>
      <c r="U13" s="49">
        <f t="shared" ref="U13:U15" si="9">SUM($E$15:$E$19)</f>
        <v>1.43</v>
      </c>
      <c r="V13" s="51">
        <f t="shared" ref="V13:V20" si="10">1+$G$20*($I$20-1)</f>
        <v>2.58025</v>
      </c>
      <c r="W13" s="52">
        <f t="shared" ref="W13:W20" si="11">$K$15</f>
        <v>0.4</v>
      </c>
      <c r="X13" s="51">
        <f t="shared" ref="X13:X20" si="12">$AE$2</f>
        <v>0.50131926121372</v>
      </c>
      <c r="Y13" s="50">
        <v>0.8</v>
      </c>
      <c r="Z13" s="53">
        <v>0</v>
      </c>
      <c r="AA13" s="53">
        <v>0</v>
      </c>
      <c r="AB13" s="53">
        <v>0</v>
      </c>
      <c r="AC13" s="54">
        <f t="shared" si="5"/>
        <v>19229.8179580095</v>
      </c>
    </row>
    <row r="14" s="1" customFormat="1" spans="2:32">
      <c r="B14" s="55" t="s">
        <v>17</v>
      </c>
      <c r="C14" s="55"/>
      <c r="D14" s="55" t="s">
        <v>6</v>
      </c>
      <c r="E14" s="55"/>
      <c r="F14" s="55" t="s">
        <v>18</v>
      </c>
      <c r="G14" s="55"/>
      <c r="H14" s="55" t="s">
        <v>19</v>
      </c>
      <c r="I14" s="55"/>
      <c r="J14" s="55" t="s">
        <v>8</v>
      </c>
      <c r="K14" s="55"/>
      <c r="L14" s="55" t="s">
        <v>20</v>
      </c>
      <c r="M14" s="55"/>
      <c r="N14" s="6"/>
      <c r="P14" s="48" t="s">
        <v>87</v>
      </c>
      <c r="Q14" s="49">
        <f>87.48%*10</f>
        <v>8.748</v>
      </c>
      <c r="R14" s="50" t="s">
        <v>88</v>
      </c>
      <c r="S14" s="50">
        <f t="shared" si="7"/>
        <v>962</v>
      </c>
      <c r="T14" s="49">
        <f t="shared" si="8"/>
        <v>1.52582536382536</v>
      </c>
      <c r="U14" s="49">
        <f t="shared" si="9"/>
        <v>1.43</v>
      </c>
      <c r="V14" s="51">
        <f t="shared" si="10"/>
        <v>2.58025</v>
      </c>
      <c r="W14" s="52">
        <f t="shared" si="11"/>
        <v>0.4</v>
      </c>
      <c r="X14" s="51">
        <f t="shared" si="12"/>
        <v>0.50131926121372</v>
      </c>
      <c r="Y14" s="50">
        <v>0.8</v>
      </c>
      <c r="Z14" s="53">
        <v>0</v>
      </c>
      <c r="AA14" s="53">
        <v>0</v>
      </c>
      <c r="AB14" s="53">
        <v>0</v>
      </c>
      <c r="AC14" s="54">
        <f t="shared" si="5"/>
        <v>74832.0495981616</v>
      </c>
    </row>
    <row r="15" s="1" customFormat="1" spans="2:32">
      <c r="B15" s="56" t="s">
        <v>23</v>
      </c>
      <c r="C15" s="57">
        <f>375+587</f>
        <v>962</v>
      </c>
      <c r="D15" s="56" t="s">
        <v>24</v>
      </c>
      <c r="E15" s="58">
        <v>0.6</v>
      </c>
      <c r="F15" s="56" t="s">
        <v>25</v>
      </c>
      <c r="G15" s="59">
        <v>0.13</v>
      </c>
      <c r="H15" s="56" t="s">
        <v>25</v>
      </c>
      <c r="I15" s="58">
        <v>1.5</v>
      </c>
      <c r="J15" s="60" t="s">
        <v>26</v>
      </c>
      <c r="K15" s="58">
        <v>0.4</v>
      </c>
      <c r="L15" s="56" t="s">
        <v>27</v>
      </c>
      <c r="M15" s="59">
        <v>0.172</v>
      </c>
      <c r="N15" s="6"/>
      <c r="P15" s="48" t="s">
        <v>89</v>
      </c>
      <c r="Q15" s="49">
        <f>139.31%+46.44%*3</f>
        <v>2.7863</v>
      </c>
      <c r="R15" s="50" t="s">
        <v>29</v>
      </c>
      <c r="S15" s="50">
        <f t="shared" si="7"/>
        <v>962</v>
      </c>
      <c r="T15" s="49">
        <f t="shared" si="8"/>
        <v>1.52582536382536</v>
      </c>
      <c r="U15" s="49">
        <f t="shared" si="9"/>
        <v>1.43</v>
      </c>
      <c r="V15" s="51">
        <f t="shared" si="10"/>
        <v>2.58025</v>
      </c>
      <c r="W15" s="52">
        <f t="shared" si="11"/>
        <v>0.4</v>
      </c>
      <c r="X15" s="51">
        <f t="shared" si="12"/>
        <v>0.50131926121372</v>
      </c>
      <c r="Y15" s="50">
        <v>0.8</v>
      </c>
      <c r="Z15" s="53">
        <v>0</v>
      </c>
      <c r="AA15" s="53">
        <v>0</v>
      </c>
      <c r="AB15" s="53">
        <v>0</v>
      </c>
      <c r="AC15" s="54">
        <f t="shared" si="5"/>
        <v>23834.5381567624</v>
      </c>
    </row>
    <row r="16" s="1" customFormat="1" spans="2:32">
      <c r="B16" s="56" t="s">
        <v>30</v>
      </c>
      <c r="C16" s="58">
        <f>12%+12%</f>
        <v>0.24</v>
      </c>
      <c r="D16" s="56" t="s">
        <v>67</v>
      </c>
      <c r="E16" s="58"/>
      <c r="F16" s="56" t="s">
        <v>32</v>
      </c>
      <c r="G16" s="59">
        <v>0.243</v>
      </c>
      <c r="H16" s="56" t="s">
        <v>33</v>
      </c>
      <c r="I16" s="59">
        <v>1.25</v>
      </c>
      <c r="J16" s="61" t="s">
        <v>34</v>
      </c>
      <c r="K16" s="59"/>
      <c r="L16" s="56" t="s">
        <v>90</v>
      </c>
      <c r="M16" s="59">
        <v>0.172</v>
      </c>
      <c r="N16" s="6"/>
      <c r="P16" s="48" t="s">
        <v>91</v>
      </c>
      <c r="Q16" s="49">
        <f>277.78%*2</f>
        <v>5.5556</v>
      </c>
      <c r="R16" s="50" t="s">
        <v>64</v>
      </c>
      <c r="S16" s="50">
        <f t="shared" si="7"/>
        <v>962</v>
      </c>
      <c r="T16" s="49">
        <f t="shared" si="8"/>
        <v>1.52582536382536</v>
      </c>
      <c r="U16" s="49">
        <f t="shared" ref="U16:U18" si="13">SUM($E$15:$E$20)</f>
        <v>1.962</v>
      </c>
      <c r="V16" s="51">
        <f t="shared" si="10"/>
        <v>2.58025</v>
      </c>
      <c r="W16" s="52">
        <f t="shared" si="11"/>
        <v>0.4</v>
      </c>
      <c r="X16" s="51">
        <f t="shared" si="12"/>
        <v>0.50131926121372</v>
      </c>
      <c r="Y16" s="50">
        <v>0.8</v>
      </c>
      <c r="Z16" s="53">
        <v>0</v>
      </c>
      <c r="AA16" s="53">
        <v>0</v>
      </c>
      <c r="AB16" s="53">
        <v>0</v>
      </c>
      <c r="AC16" s="54">
        <f t="shared" si="5"/>
        <v>57928.010857378</v>
      </c>
    </row>
    <row r="17" s="1" customFormat="1" spans="2:29">
      <c r="B17" s="56" t="s">
        <v>37</v>
      </c>
      <c r="C17" s="58">
        <v>0.532</v>
      </c>
      <c r="D17" s="56" t="s">
        <v>38</v>
      </c>
      <c r="E17" s="58">
        <v>0.1</v>
      </c>
      <c r="F17" s="56" t="s">
        <v>92</v>
      </c>
      <c r="G17" s="59"/>
      <c r="H17" s="56" t="s">
        <v>39</v>
      </c>
      <c r="I17" s="59"/>
      <c r="J17" s="61" t="s">
        <v>40</v>
      </c>
      <c r="K17" s="59"/>
      <c r="L17" s="56" t="s">
        <v>18</v>
      </c>
      <c r="M17" s="59">
        <v>0.405</v>
      </c>
      <c r="N17" s="6"/>
      <c r="P17" s="48" t="s">
        <v>93</v>
      </c>
      <c r="Q17" s="49">
        <f>33.8%*3+16.9%*6+13.1%*8</f>
        <v>3.076</v>
      </c>
      <c r="R17" s="50" t="s">
        <v>64</v>
      </c>
      <c r="S17" s="50">
        <f t="shared" si="7"/>
        <v>962</v>
      </c>
      <c r="T17" s="49">
        <f t="shared" si="8"/>
        <v>1.52582536382536</v>
      </c>
      <c r="U17" s="49">
        <f t="shared" si="13"/>
        <v>1.962</v>
      </c>
      <c r="V17" s="51">
        <f t="shared" si="10"/>
        <v>2.58025</v>
      </c>
      <c r="W17" s="52">
        <f t="shared" si="11"/>
        <v>0.4</v>
      </c>
      <c r="X17" s="51">
        <f t="shared" si="12"/>
        <v>0.50131926121372</v>
      </c>
      <c r="Y17" s="50">
        <v>0.8</v>
      </c>
      <c r="Z17" s="53">
        <v>1.2</v>
      </c>
      <c r="AA17" s="53">
        <v>0</v>
      </c>
      <c r="AB17" s="53">
        <v>0</v>
      </c>
      <c r="AC17" s="54">
        <f t="shared" si="5"/>
        <v>70561.3138228182</v>
      </c>
    </row>
    <row r="18" s="1" customFormat="1" spans="2:29">
      <c r="B18" s="56" t="s">
        <v>42</v>
      </c>
      <c r="C18" s="62"/>
      <c r="D18" s="56" t="s">
        <v>94</v>
      </c>
      <c r="E18" s="58">
        <v>0.25</v>
      </c>
      <c r="F18" s="56" t="s">
        <v>33</v>
      </c>
      <c r="G18" s="59">
        <v>0.405</v>
      </c>
      <c r="H18" s="56"/>
      <c r="I18" s="59"/>
      <c r="J18" s="61"/>
      <c r="K18" s="59"/>
      <c r="L18" s="56" t="s">
        <v>44</v>
      </c>
      <c r="M18" s="58">
        <v>0.81</v>
      </c>
      <c r="N18" s="6"/>
      <c r="P18" s="48" t="s">
        <v>95</v>
      </c>
      <c r="Q18" s="49">
        <v>12.1672</v>
      </c>
      <c r="R18" s="50" t="s">
        <v>64</v>
      </c>
      <c r="S18" s="50">
        <f t="shared" si="7"/>
        <v>962</v>
      </c>
      <c r="T18" s="49">
        <f t="shared" si="8"/>
        <v>1.52582536382536</v>
      </c>
      <c r="U18" s="49">
        <f t="shared" si="13"/>
        <v>1.962</v>
      </c>
      <c r="V18" s="51">
        <f t="shared" si="10"/>
        <v>2.58025</v>
      </c>
      <c r="W18" s="52">
        <f t="shared" si="11"/>
        <v>0.4</v>
      </c>
      <c r="X18" s="51">
        <f t="shared" si="12"/>
        <v>0.50131926121372</v>
      </c>
      <c r="Y18" s="50">
        <v>0.8</v>
      </c>
      <c r="Z18" s="53">
        <v>0</v>
      </c>
      <c r="AA18" s="53">
        <v>0</v>
      </c>
      <c r="AB18" s="53">
        <v>0</v>
      </c>
      <c r="AC18" s="54">
        <f t="shared" si="5"/>
        <v>126866.889931581</v>
      </c>
    </row>
    <row r="19" s="1" customFormat="1" spans="2:29">
      <c r="B19" s="56" t="s">
        <v>46</v>
      </c>
      <c r="C19" s="62">
        <v>0.39</v>
      </c>
      <c r="D19" s="56" t="s">
        <v>106</v>
      </c>
      <c r="E19" s="58">
        <f>24%+24%</f>
        <v>0.48</v>
      </c>
      <c r="F19" s="56" t="s">
        <v>48</v>
      </c>
      <c r="G19" s="59">
        <v>0.125</v>
      </c>
      <c r="H19" s="56" t="s">
        <v>48</v>
      </c>
      <c r="I19" s="59"/>
      <c r="J19" s="61"/>
      <c r="K19" s="59"/>
      <c r="L19" s="56"/>
      <c r="M19" s="57"/>
      <c r="N19" s="6"/>
      <c r="P19" s="48" t="s">
        <v>96</v>
      </c>
      <c r="Q19" s="49">
        <v>1</v>
      </c>
      <c r="R19" s="50" t="s">
        <v>59</v>
      </c>
      <c r="S19" s="50">
        <f t="shared" si="7"/>
        <v>962</v>
      </c>
      <c r="T19" s="49">
        <f t="shared" si="8"/>
        <v>1.52582536382536</v>
      </c>
      <c r="U19" s="49">
        <f>SUM($E$15:$E$19)</f>
        <v>1.43</v>
      </c>
      <c r="V19" s="51">
        <f t="shared" si="10"/>
        <v>2.58025</v>
      </c>
      <c r="W19" s="52">
        <f t="shared" si="11"/>
        <v>0.4</v>
      </c>
      <c r="X19" s="51">
        <f t="shared" si="12"/>
        <v>0.50131926121372</v>
      </c>
      <c r="Y19" s="50">
        <v>0.8</v>
      </c>
      <c r="Z19" s="53">
        <v>0</v>
      </c>
      <c r="AA19" s="53">
        <v>0</v>
      </c>
      <c r="AB19" s="53">
        <v>0</v>
      </c>
      <c r="AC19" s="54">
        <f t="shared" si="5"/>
        <v>8554.18948310032</v>
      </c>
    </row>
    <row r="20" s="1" customFormat="1" spans="2:29">
      <c r="B20" s="56" t="s">
        <v>50</v>
      </c>
      <c r="C20" s="57">
        <v>350</v>
      </c>
      <c r="D20" s="56" t="s">
        <v>75</v>
      </c>
      <c r="E20" s="58">
        <f>M16+36%</f>
        <v>0.532</v>
      </c>
      <c r="F20" s="63" t="s">
        <v>52</v>
      </c>
      <c r="G20" s="64">
        <f>G15+G16+G17+G18+G19</f>
        <v>0.903</v>
      </c>
      <c r="H20" s="63" t="s">
        <v>53</v>
      </c>
      <c r="I20" s="65">
        <f>I15+I16+I17+I18+I19</f>
        <v>2.75</v>
      </c>
      <c r="J20" s="61"/>
      <c r="K20" s="59"/>
      <c r="L20" s="56"/>
      <c r="M20" s="57"/>
      <c r="N20" s="6"/>
      <c r="P20" s="48" t="s">
        <v>97</v>
      </c>
      <c r="Q20" s="49">
        <f>27.36%*10</f>
        <v>2.736</v>
      </c>
      <c r="R20" s="50" t="s">
        <v>61</v>
      </c>
      <c r="S20" s="50">
        <f t="shared" si="7"/>
        <v>962</v>
      </c>
      <c r="T20" s="49">
        <f t="shared" si="8"/>
        <v>1.52582536382536</v>
      </c>
      <c r="U20" s="49">
        <f>SUM($E$15:$E$19)</f>
        <v>1.43</v>
      </c>
      <c r="V20" s="51">
        <f t="shared" si="10"/>
        <v>2.58025</v>
      </c>
      <c r="W20" s="52">
        <f t="shared" si="11"/>
        <v>0.4</v>
      </c>
      <c r="X20" s="51">
        <f t="shared" si="12"/>
        <v>0.50131926121372</v>
      </c>
      <c r="Y20" s="50">
        <v>0.8</v>
      </c>
      <c r="Z20" s="53">
        <v>0</v>
      </c>
      <c r="AA20" s="53">
        <v>0</v>
      </c>
      <c r="AB20" s="53">
        <v>0</v>
      </c>
      <c r="AC20" s="54">
        <f t="shared" si="5"/>
        <v>23404.2624257625</v>
      </c>
    </row>
    <row r="21" s="1" customFormat="1" spans="2:29">
      <c r="B21" s="66" t="s">
        <v>55</v>
      </c>
      <c r="C21" s="67"/>
      <c r="D21" s="66"/>
      <c r="E21" s="68"/>
      <c r="F21" s="66"/>
      <c r="G21" s="69"/>
      <c r="H21" s="66"/>
      <c r="I21" s="67"/>
      <c r="J21" s="70"/>
      <c r="K21" s="69"/>
      <c r="L21" s="66"/>
      <c r="M21" s="67"/>
      <c r="N21" s="6"/>
      <c r="P21" s="48"/>
      <c r="Q21" s="49"/>
      <c r="R21" s="50"/>
      <c r="S21" s="50"/>
      <c r="T21" s="49"/>
      <c r="U21" s="49"/>
      <c r="V21" s="51"/>
      <c r="W21" s="52"/>
      <c r="X21" s="51"/>
      <c r="Y21" s="50"/>
      <c r="Z21" s="53"/>
      <c r="AA21" s="53"/>
      <c r="AB21" s="53"/>
      <c r="AC21" s="54"/>
    </row>
    <row r="22" s="1" customFormat="1" spans="2:29">
      <c r="B22" s="71"/>
      <c r="C22" s="71" t="s">
        <v>79</v>
      </c>
      <c r="D22" s="71" t="s">
        <v>80</v>
      </c>
      <c r="E22" s="71" t="s">
        <v>81</v>
      </c>
      <c r="F22" s="72"/>
      <c r="G22" s="40"/>
      <c r="H22" s="6"/>
      <c r="I22" s="6"/>
      <c r="J22" s="6"/>
      <c r="K22" s="6"/>
      <c r="L22" s="6"/>
      <c r="M22" s="6"/>
      <c r="N22" s="6"/>
      <c r="P22" s="48" t="s">
        <v>98</v>
      </c>
      <c r="Q22" s="49">
        <v>18.8075</v>
      </c>
      <c r="R22" s="50" t="s">
        <v>99</v>
      </c>
      <c r="S22" s="50">
        <v>10027</v>
      </c>
      <c r="T22" s="49">
        <v>0</v>
      </c>
      <c r="U22" s="49">
        <v>0</v>
      </c>
      <c r="V22" s="51">
        <v>1</v>
      </c>
      <c r="W22" s="52">
        <v>0</v>
      </c>
      <c r="X22" s="51">
        <f>$AE$2</f>
        <v>0.50131926121372</v>
      </c>
      <c r="Y22" s="50">
        <v>0.8</v>
      </c>
      <c r="Z22" s="53">
        <v>0</v>
      </c>
      <c r="AA22" s="53">
        <v>0</v>
      </c>
      <c r="AB22" s="53">
        <v>0.5</v>
      </c>
      <c r="AC22" s="54">
        <f>Q22*S22*(1+T22)*(1+U22)*V22*(1+W22)*X22*Y22*(1+Z22)*(1+AA22)*(1+AB22)</f>
        <v>113448.229472296</v>
      </c>
    </row>
    <row r="23" s="1" customFormat="1" spans="2:29">
      <c r="B23" s="73" t="s">
        <v>82</v>
      </c>
      <c r="C23" s="73">
        <f>SUM(AC2:AC12)</f>
        <v>2313695.76229898</v>
      </c>
      <c r="D23" s="73">
        <f>C23/E23</f>
        <v>92547.830491959</v>
      </c>
      <c r="E23" s="72">
        <v>25</v>
      </c>
      <c r="F23" s="72"/>
      <c r="G23" s="40"/>
      <c r="H23" s="6"/>
      <c r="I23" s="6"/>
      <c r="J23" s="6"/>
      <c r="K23" s="6"/>
      <c r="L23" s="6"/>
      <c r="M23" s="6"/>
      <c r="N23" s="6"/>
      <c r="Q23" s="74"/>
      <c r="U23" s="2"/>
      <c r="V23" s="2"/>
      <c r="AB23" s="4"/>
      <c r="AC23" s="4"/>
    </row>
    <row r="24" s="1" customFormat="1" spans="2:29">
      <c r="B24" s="73" t="s">
        <v>100</v>
      </c>
      <c r="C24" s="73">
        <f>SUM(AC13:AC22)</f>
        <v>518659.301705869</v>
      </c>
      <c r="D24" s="73">
        <f>C24/E23</f>
        <v>20746.3720682348</v>
      </c>
      <c r="E24" s="40"/>
      <c r="F24" s="6"/>
      <c r="G24" s="40"/>
      <c r="H24" s="6"/>
      <c r="I24" s="6"/>
      <c r="J24" s="6"/>
      <c r="K24" s="6"/>
      <c r="L24" s="6"/>
      <c r="M24" s="6"/>
      <c r="N24" s="6"/>
      <c r="Q24" s="2"/>
      <c r="U24" s="2"/>
      <c r="V24" s="3"/>
      <c r="AB24" s="4"/>
      <c r="AC24" s="4"/>
    </row>
    <row r="25" s="1" customFormat="1" spans="2:29">
      <c r="B25" s="73" t="s">
        <v>83</v>
      </c>
      <c r="C25" s="73">
        <v>50000</v>
      </c>
      <c r="D25" s="73">
        <f>C25/E23</f>
        <v>2000</v>
      </c>
      <c r="E25" s="6"/>
      <c r="F25" s="6"/>
      <c r="G25" s="40"/>
      <c r="H25" s="6"/>
      <c r="I25" s="6"/>
      <c r="J25" s="6"/>
      <c r="K25" s="6"/>
      <c r="L25" s="6"/>
      <c r="M25" s="6"/>
      <c r="N25" s="6"/>
      <c r="Q25" s="2"/>
      <c r="U25" s="2"/>
      <c r="V25" s="3"/>
      <c r="AB25" s="4"/>
      <c r="AC25" s="4"/>
    </row>
    <row r="26" s="1" customFormat="1" spans="2:29">
      <c r="B26" s="73" t="s">
        <v>84</v>
      </c>
      <c r="C26" s="73">
        <f>C23+C24+C25</f>
        <v>2882355.06400484</v>
      </c>
      <c r="D26" s="73">
        <f>C26/E23</f>
        <v>115294.202560194</v>
      </c>
      <c r="E26" s="6"/>
      <c r="F26" s="6"/>
      <c r="G26" s="40"/>
      <c r="H26" s="6"/>
      <c r="I26" s="6"/>
      <c r="J26" s="6"/>
      <c r="K26" s="6"/>
      <c r="L26" s="6"/>
      <c r="M26" s="6"/>
      <c r="N26" s="6"/>
      <c r="Q26" s="2"/>
      <c r="U26" s="2"/>
      <c r="V26" s="3"/>
      <c r="AB26" s="4"/>
      <c r="AC26" s="4"/>
    </row>
    <row r="27" s="1" customFormat="1" ht="18" customHeight="1" spans="2:29">
      <c r="B27" s="6"/>
      <c r="C27" s="6" t="s">
        <v>120</v>
      </c>
      <c r="D27" s="6" t="s">
        <v>121</v>
      </c>
      <c r="E27" s="6" t="s">
        <v>122</v>
      </c>
      <c r="F27" s="75"/>
      <c r="G27" s="76" t="s">
        <v>123</v>
      </c>
      <c r="H27" s="75" t="s">
        <v>80</v>
      </c>
      <c r="I27" s="75" t="s">
        <v>124</v>
      </c>
      <c r="J27" s="75" t="s">
        <v>125</v>
      </c>
      <c r="K27" s="77" t="s">
        <v>123</v>
      </c>
      <c r="L27" s="77" t="s">
        <v>80</v>
      </c>
      <c r="M27" s="77" t="s">
        <v>124</v>
      </c>
      <c r="N27" s="6"/>
      <c r="Q27" s="2"/>
      <c r="U27" s="2"/>
      <c r="V27" s="3"/>
      <c r="AB27" s="4"/>
      <c r="AC27" s="4"/>
    </row>
    <row r="28" s="1" customFormat="1" ht="18" customHeight="1" spans="2:29">
      <c r="B28" s="73"/>
      <c r="C28" s="73">
        <f t="shared" ref="C28:C36" si="14">D28*81+E28*54</f>
        <v>351</v>
      </c>
      <c r="D28" s="73">
        <v>3</v>
      </c>
      <c r="E28" s="6">
        <v>2</v>
      </c>
      <c r="F28" s="73"/>
      <c r="G28" s="40" t="s">
        <v>103</v>
      </c>
      <c r="H28" s="78">
        <v>57700</v>
      </c>
      <c r="I28" s="78"/>
      <c r="J28" s="79">
        <f t="shared" ref="J28:J36" si="15">H28/C28</f>
        <v>164.387464387464</v>
      </c>
      <c r="K28" s="6" t="s">
        <v>126</v>
      </c>
      <c r="L28" s="6">
        <v>122021</v>
      </c>
      <c r="M28" s="50"/>
      <c r="N28" s="6"/>
      <c r="Q28" s="2"/>
      <c r="U28" s="2"/>
      <c r="V28" s="3"/>
      <c r="AB28" s="4"/>
      <c r="AC28" s="4"/>
    </row>
    <row r="29" s="1" customFormat="1" ht="18" customHeight="1" spans="2:29">
      <c r="B29" s="73"/>
      <c r="C29" s="73">
        <f t="shared" si="14"/>
        <v>351</v>
      </c>
      <c r="D29" s="73">
        <v>3</v>
      </c>
      <c r="E29" s="6">
        <v>2</v>
      </c>
      <c r="F29" s="80" t="s">
        <v>108</v>
      </c>
      <c r="G29" s="81" t="s">
        <v>104</v>
      </c>
      <c r="H29" s="82">
        <v>62186</v>
      </c>
      <c r="I29" s="83">
        <f t="shared" ref="I29:I36" si="16">H29/H$28-1</f>
        <v>0.0777469670710571</v>
      </c>
      <c r="J29" s="79">
        <f t="shared" si="15"/>
        <v>177.168091168091</v>
      </c>
      <c r="K29" s="6" t="s">
        <v>127</v>
      </c>
      <c r="L29" s="6">
        <v>124392</v>
      </c>
      <c r="M29" s="49">
        <f>L29/L28-1</f>
        <v>0.0194310815351455</v>
      </c>
      <c r="N29" s="6"/>
      <c r="Q29" s="2"/>
      <c r="U29" s="2"/>
      <c r="V29" s="3"/>
      <c r="AB29" s="4"/>
      <c r="AC29" s="4"/>
    </row>
    <row r="30" s="1" customFormat="1" ht="18" customHeight="1" spans="2:29">
      <c r="B30" s="6"/>
      <c r="C30" s="73">
        <f t="shared" si="14"/>
        <v>513</v>
      </c>
      <c r="D30" s="6">
        <v>5</v>
      </c>
      <c r="E30" s="6">
        <v>2</v>
      </c>
      <c r="F30" s="84" t="s">
        <v>109</v>
      </c>
      <c r="G30" s="85" t="s">
        <v>104</v>
      </c>
      <c r="H30" s="86">
        <v>63791</v>
      </c>
      <c r="I30" s="87">
        <f t="shared" si="16"/>
        <v>0.105563258232236</v>
      </c>
      <c r="J30" s="79">
        <f t="shared" si="15"/>
        <v>124.348927875244</v>
      </c>
      <c r="K30" s="6" t="s">
        <v>128</v>
      </c>
      <c r="L30" s="6">
        <v>162637</v>
      </c>
      <c r="M30" s="49">
        <f>L30/L28-1</f>
        <v>0.332860737086239</v>
      </c>
      <c r="N30" s="6"/>
      <c r="Q30" s="2"/>
      <c r="U30" s="2"/>
      <c r="V30" s="3"/>
      <c r="AB30" s="4"/>
      <c r="AC30" s="4"/>
    </row>
    <row r="31" s="1" customFormat="1" ht="18" customHeight="1" spans="2:29">
      <c r="B31" s="73"/>
      <c r="C31" s="73">
        <f t="shared" si="14"/>
        <v>405</v>
      </c>
      <c r="D31" s="73">
        <v>3</v>
      </c>
      <c r="E31" s="6">
        <v>3</v>
      </c>
      <c r="F31" s="80" t="s">
        <v>110</v>
      </c>
      <c r="G31" s="81" t="s">
        <v>105</v>
      </c>
      <c r="H31" s="82">
        <v>66861</v>
      </c>
      <c r="I31" s="83">
        <f t="shared" si="16"/>
        <v>0.158769497400347</v>
      </c>
      <c r="J31" s="79">
        <f t="shared" si="15"/>
        <v>165.088888888889</v>
      </c>
      <c r="N31" s="6"/>
      <c r="Q31" s="2"/>
      <c r="U31" s="2"/>
      <c r="V31" s="3"/>
      <c r="AB31" s="4"/>
      <c r="AC31" s="4"/>
    </row>
    <row r="32" s="1" customFormat="1" ht="18" customHeight="1" spans="2:29">
      <c r="B32" s="73"/>
      <c r="C32" s="73">
        <f t="shared" si="14"/>
        <v>513</v>
      </c>
      <c r="D32" s="73">
        <v>5</v>
      </c>
      <c r="E32" s="6">
        <v>2</v>
      </c>
      <c r="F32" s="73"/>
      <c r="G32" s="40" t="s">
        <v>113</v>
      </c>
      <c r="H32" s="78">
        <v>74959</v>
      </c>
      <c r="I32" s="88">
        <f t="shared" si="16"/>
        <v>0.299116117850953</v>
      </c>
      <c r="J32" s="79">
        <f t="shared" si="15"/>
        <v>146.118908382066</v>
      </c>
      <c r="N32" s="6"/>
      <c r="Q32" s="2"/>
      <c r="U32" s="2"/>
      <c r="V32" s="3"/>
      <c r="AB32" s="4"/>
      <c r="AC32" s="4"/>
    </row>
    <row r="33" s="1" customFormat="1" ht="18" customHeight="1" spans="2:29">
      <c r="B33" s="6"/>
      <c r="C33" s="73">
        <f t="shared" si="14"/>
        <v>567</v>
      </c>
      <c r="D33" s="6">
        <v>5</v>
      </c>
      <c r="E33" s="6">
        <v>3</v>
      </c>
      <c r="F33" s="80"/>
      <c r="G33" s="81" t="s">
        <v>111</v>
      </c>
      <c r="H33" s="82">
        <v>78639</v>
      </c>
      <c r="I33" s="83">
        <f t="shared" si="16"/>
        <v>0.362894280762565</v>
      </c>
      <c r="J33" s="79">
        <f t="shared" si="15"/>
        <v>138.693121693122</v>
      </c>
      <c r="N33" s="6"/>
      <c r="Q33" s="2"/>
      <c r="U33" s="2"/>
      <c r="V33" s="3"/>
      <c r="AB33" s="4"/>
      <c r="AC33" s="4"/>
    </row>
    <row r="34" s="1" customFormat="1" ht="18" customHeight="1" spans="2:29">
      <c r="B34" s="73"/>
      <c r="C34" s="73">
        <f t="shared" si="14"/>
        <v>594</v>
      </c>
      <c r="D34" s="73">
        <v>6</v>
      </c>
      <c r="E34" s="6">
        <v>2</v>
      </c>
      <c r="F34" s="6"/>
      <c r="G34" s="40" t="s">
        <v>114</v>
      </c>
      <c r="H34" s="78">
        <v>90961</v>
      </c>
      <c r="I34" s="88">
        <f t="shared" si="16"/>
        <v>0.576447140381283</v>
      </c>
      <c r="J34" s="79">
        <f t="shared" si="15"/>
        <v>153.132996632997</v>
      </c>
      <c r="N34" s="6"/>
      <c r="Q34" s="2"/>
      <c r="U34" s="2"/>
      <c r="V34" s="3"/>
      <c r="AB34" s="4"/>
      <c r="AC34" s="4"/>
    </row>
    <row r="35" s="1" customFormat="1" ht="18" customHeight="1" spans="2:29">
      <c r="C35" s="73">
        <f t="shared" si="14"/>
        <v>648</v>
      </c>
      <c r="D35" s="6">
        <v>6</v>
      </c>
      <c r="E35" s="6">
        <v>3</v>
      </c>
      <c r="F35" s="6"/>
      <c r="G35" s="40" t="s">
        <v>119</v>
      </c>
      <c r="H35" s="78">
        <v>96948</v>
      </c>
      <c r="I35" s="88">
        <f t="shared" si="16"/>
        <v>0.680207972270364</v>
      </c>
      <c r="J35" s="79">
        <f t="shared" si="15"/>
        <v>149.611111111111</v>
      </c>
      <c r="N35" s="6"/>
      <c r="Q35" s="2"/>
      <c r="U35" s="2"/>
      <c r="V35" s="3"/>
      <c r="AB35" s="4"/>
      <c r="AC35" s="4"/>
    </row>
    <row r="36" s="1" customFormat="1" ht="18" customHeight="1" spans="2:29">
      <c r="C36" s="73">
        <f t="shared" si="14"/>
        <v>810</v>
      </c>
      <c r="D36" s="6">
        <v>8</v>
      </c>
      <c r="E36" s="6">
        <v>3</v>
      </c>
      <c r="F36" s="6"/>
      <c r="G36" s="40" t="s">
        <v>129</v>
      </c>
      <c r="H36" s="78">
        <v>115294</v>
      </c>
      <c r="I36" s="88">
        <f t="shared" si="16"/>
        <v>0.998162911611785</v>
      </c>
      <c r="J36" s="79">
        <f t="shared" si="15"/>
        <v>142.338271604938</v>
      </c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conditionalFormatting sqref="J28:J36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珂折守</vt:lpstr>
      <vt:lpstr>00琳奈</vt:lpstr>
      <vt:lpstr>0珂2琳</vt:lpstr>
      <vt:lpstr>21珂折守</vt:lpstr>
      <vt:lpstr>31珂折守</vt:lpstr>
      <vt:lpstr>3珂0琳</vt:lpstr>
      <vt:lpstr>31珂21琳01守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2025-12-23T08:27:00Z</dcterms:created>
  <dcterms:modified xsi:type="dcterms:W3CDTF">2025-12-23T11:52:16Z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4D5714D861D54D548665FF05BBC428F0_11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