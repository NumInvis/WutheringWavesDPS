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10790"/>
  </bookViews>
  <sheets>
    <sheet name="01爱01琳00莫" sheetId="2" r:id="rId1"/>
    <sheet name="01爱01琳10莫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<sst xmlns="http://schemas.openxmlformats.org/spreadsheetml/2006/main" count="462" uniqueCount="131">
  <si>
    <t>角色主类型</t>
  </si>
  <si>
    <t>r</t>
  </si>
  <si>
    <t>3C属伤数</t>
  </si>
  <si>
    <t>爱弥斯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</si>
  <si>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</si>
  <si>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</si>
  <si>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</si>
  <si>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</si>
  <si>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</si>
  <si>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</si>
  <si>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</si>
  <si>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</si>
  <si>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</si>
  <si>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</si>
  <si>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</si>
  <si>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</si>
  <si>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</si>
  <si>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</si>
  <si>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</si>
  <si>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</si>
  <si>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</si>
  <si>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</si>
  <si>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</si>
  <si>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</si>
  <si>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</si>
  <si>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</si>
  <si>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q</t>
  </si>
  <si>
    <t>白值</t>
  </si>
  <si>
    <t>3C声骸</t>
  </si>
  <si>
    <t>基础与固有</t>
  </si>
  <si>
    <t>全加深</t>
  </si>
  <si>
    <t>大攻击</t>
  </si>
  <si>
    <t>以旋律穿越长空</t>
  </si>
  <si>
    <t>bz</t>
  </si>
  <si>
    <t>固有武器</t>
  </si>
  <si>
    <t>套装首位</t>
  </si>
  <si>
    <t>武器</t>
  </si>
  <si>
    <t>r加深</t>
  </si>
  <si>
    <t>r伤害</t>
  </si>
  <si>
    <t>星辉破界而来·过载</t>
  </si>
  <si>
    <t>主副词条</t>
  </si>
  <si>
    <t>自拐属伤</t>
  </si>
  <si>
    <t>套装</t>
  </si>
  <si>
    <t>机兵a234</t>
  </si>
  <si>
    <t>a</t>
  </si>
  <si>
    <t xml:space="preserve">自拐攻击 </t>
  </si>
  <si>
    <t>被拐属伤</t>
  </si>
  <si>
    <t>爆伤</t>
  </si>
  <si>
    <t>光翼共奏·登台</t>
  </si>
  <si>
    <t>被拐攻击</t>
  </si>
  <si>
    <t>其他属伤</t>
  </si>
  <si>
    <t>共鸣链</t>
  </si>
  <si>
    <t>固有</t>
  </si>
  <si>
    <t>爱弥斯a234</t>
  </si>
  <si>
    <t>声骸固定攻击</t>
  </si>
  <si>
    <t>r加成</t>
  </si>
  <si>
    <t>队友</t>
  </si>
  <si>
    <t>光翼共奏·降临</t>
  </si>
  <si>
    <t>额外固定攻击</t>
  </si>
  <si>
    <t>面板暴击率</t>
  </si>
  <si>
    <t>面板暴击伤害</t>
  </si>
  <si>
    <t>重击机兵</t>
  </si>
  <si>
    <t>溢出暴击</t>
  </si>
  <si>
    <t>星辉破界而来·终结</t>
  </si>
  <si>
    <t>变奏</t>
  </si>
  <si>
    <t>爆炸喷涂</t>
  </si>
  <si>
    <t>物理</t>
  </si>
  <si>
    <t>琳奈</t>
  </si>
  <si>
    <t>琳奈式创想</t>
  </si>
  <si>
    <t>e</t>
  </si>
  <si>
    <t>热熔</t>
  </si>
  <si>
    <t>灵感碰撞</t>
  </si>
  <si>
    <t>衍射</t>
  </si>
  <si>
    <t>幻光折跃*3</t>
  </si>
  <si>
    <t>主类型加深</t>
  </si>
  <si>
    <t>普攻伤害</t>
  </si>
  <si>
    <t>视觉冲击</t>
  </si>
  <si>
    <t>加色混合</t>
  </si>
  <si>
    <t>有空一起兜风！</t>
  </si>
  <si>
    <t>yz</t>
  </si>
  <si>
    <t>海维夏</t>
  </si>
  <si>
    <t>a加成</t>
  </si>
  <si>
    <t>光翼共奏</t>
  </si>
  <si>
    <t>震谐</t>
  </si>
  <si>
    <t>爱弥斯震谐</t>
  </si>
  <si>
    <t>琳奈震谐</t>
  </si>
  <si>
    <t>00莫宁</t>
  </si>
  <si>
    <t>莫宁震谐</t>
  </si>
  <si>
    <t>防御</t>
  </si>
  <si>
    <t>3防2暴3爆伤2共解</t>
  </si>
  <si>
    <t>谐度破坏</t>
  </si>
  <si>
    <t>谐破</t>
  </si>
  <si>
    <t>基础</t>
  </si>
  <si>
    <t>固有和武器</t>
  </si>
  <si>
    <t>首位加成</t>
  </si>
  <si>
    <t>声骸</t>
  </si>
  <si>
    <t>声骸加深</t>
  </si>
  <si>
    <t>归敛</t>
  </si>
  <si>
    <t>声骸和词条</t>
  </si>
  <si>
    <t>套装效果</t>
  </si>
  <si>
    <t>仇远</t>
  </si>
  <si>
    <t>共技加深</t>
  </si>
  <si>
    <t>aaa</t>
  </si>
  <si>
    <t>其他buff</t>
  </si>
  <si>
    <t>共解</t>
  </si>
  <si>
    <t>分布式阵列</t>
  </si>
  <si>
    <t>队友buff</t>
  </si>
  <si>
    <t>武器效果</t>
  </si>
  <si>
    <t>守岸人</t>
  </si>
  <si>
    <t>声骸技</t>
  </si>
  <si>
    <t>e加成</t>
  </si>
  <si>
    <t>临界协议</t>
  </si>
  <si>
    <t>q加成</t>
  </si>
  <si>
    <t>回路1</t>
  </si>
  <si>
    <t xml:space="preserve">                                                                             </t>
  </si>
  <si>
    <t>20抗100级怪</t>
  </si>
  <si>
    <t>一轮一破</t>
  </si>
  <si>
    <t>总伤</t>
  </si>
  <si>
    <t>dps</t>
  </si>
  <si>
    <t>秒数</t>
  </si>
  <si>
    <t>占比</t>
  </si>
  <si>
    <t>合计</t>
  </si>
  <si>
    <t>掉buff统计</t>
  </si>
  <si>
    <t>莫宁40%加成</t>
  </si>
  <si>
    <t>（r1，r2】</t>
  </si>
  <si>
    <t>词条奖惩</t>
  </si>
  <si>
    <t>14词</t>
  </si>
  <si>
    <t>13词</t>
  </si>
  <si>
    <t>莫宁</t>
  </si>
  <si>
    <t>10词</t>
  </si>
  <si>
    <t>10莫宁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</si>
</sst>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9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19" applyNumberFormat="0" applyAlignment="0" applyProtection="0">
      <alignment vertical="center"/>
    </xf>
    <xf numFmtId="0" fontId="19" fillId="15" borderId="20" applyNumberFormat="0" applyAlignment="0" applyProtection="0">
      <alignment vertical="center"/>
    </xf>
    <xf numFmtId="0" fontId="20" fillId="15" borderId="19" applyNumberFormat="0" applyAlignment="0" applyProtection="0">
      <alignment vertical="center"/>
    </xf>
    <xf numFmtId="0" fontId="21" fillId="16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8" xfId="0" applyNumberFormat="1" applyFon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77" fontId="3" fillId="0" borderId="11" xfId="0" applyNumberFormat="1" applyFont="1" applyFill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/>
    </xf>
    <xf numFmtId="10" fontId="3" fillId="2" borderId="11" xfId="0" applyNumberFormat="1" applyFont="1" applyFill="1" applyBorder="1" applyAlignment="1">
      <alignment horizontal="center" vertical="center"/>
    </xf>
    <xf numFmtId="178" fontId="3" fillId="0" borderId="12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9" fontId="3" fillId="0" borderId="10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177" fontId="2" fillId="8" borderId="6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8" borderId="4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0" fontId="0" fillId="0" borderId="11" xfId="0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0" fontId="6" fillId="1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0" fontId="5" fillId="0" borderId="8" xfId="0" applyNumberFormat="1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7" xfId="0" applyNumberFormat="1" applyFont="1" applyFill="1" applyBorder="1" applyAlignment="1">
      <alignment horizontal="center" vertical="center"/>
    </xf>
    <xf numFmtId="177" fontId="2" fillId="6" borderId="4" xfId="0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79" fontId="5" fillId="0" borderId="8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0" borderId="8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0" fontId="5" fillId="7" borderId="8" xfId="0" applyNumberFormat="1" applyFont="1" applyFill="1" applyBorder="1" applyAlignment="1">
      <alignment horizontal="center" vertical="center"/>
    </xf>
    <xf numFmtId="9" fontId="5" fillId="7" borderId="8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5" fillId="0" borderId="10" xfId="0" applyNumberFormat="1" applyFont="1" applyFill="1" applyBorder="1" applyAlignment="1">
      <alignment horizontal="center" vertical="center"/>
    </xf>
    <xf numFmtId="10" fontId="5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vertical="center" wrapText="1"/>
    </xf>
    <xf numFmtId="177" fontId="7" fillId="8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8" borderId="9" xfId="0" applyNumberFormat="1" applyFont="1" applyFill="1" applyBorder="1" applyAlignment="1">
      <alignment horizontal="center" vertical="center"/>
    </xf>
    <xf numFmtId="177" fontId="7" fillId="0" borderId="11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12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1"/>
  <sheetViews>
    <sheetView tabSelected="1" workbookViewId="0">
      <selection activeCell="H43" sqref="H43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250" width="9.69090909090909" style="1"/>
    <col min="16251" max="16384" width="9.69090909090909" style="5"/>
  </cols>
  <sheetData>
    <row r="1" s="1" customFormat="1" spans="2:33">
      <c r="B1" s="6" t="s">
        <v>0</v>
      </c>
      <c r="C1" s="6" t="s">
        <v>1</v>
      </c>
      <c r="D1" s="7" t="s">
        <v>2</v>
      </c>
      <c r="E1" s="7">
        <v>1</v>
      </c>
      <c r="Q1" s="2"/>
      <c r="U1" s="2"/>
      <c r="V1" s="3"/>
      <c r="AB1" s="4"/>
      <c r="AC1" s="4"/>
    </row>
    <row r="2" s="1" customFormat="1" ht="15" spans="2:33">
      <c r="B2" s="8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10"/>
      <c r="O2" s="11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1" t="s">
        <v>9</v>
      </c>
      <c r="U2" s="12" t="s">
        <v>10</v>
      </c>
      <c r="V2" s="13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4" t="s">
        <v>17</v>
      </c>
      <c r="AC2" s="14" t="s">
        <v>18</v>
      </c>
      <c r="AD2" s="15" t="s">
        <v>19</v>
      </c>
      <c r="AE2" s="15" t="s">
        <v>20</v>
      </c>
      <c r="AF2" s="16" t="s">
        <v>13</v>
      </c>
      <c r="AG2" s="16" t="s">
        <v>21</v>
      </c>
    </row>
    <row r="3" s="1" customFormat="1" ht="15" spans="2:33">
      <c r="B3" s="17" t="s">
        <v>22</v>
      </c>
      <c r="C3" s="18"/>
      <c r="D3" s="17" t="s">
        <v>10</v>
      </c>
      <c r="E3" s="18"/>
      <c r="F3" s="17" t="s">
        <v>23</v>
      </c>
      <c r="G3" s="18"/>
      <c r="H3" s="17" t="s">
        <v>24</v>
      </c>
      <c r="I3" s="18"/>
      <c r="J3" s="17" t="s">
        <v>12</v>
      </c>
      <c r="K3" s="18"/>
      <c r="L3" s="17" t="s">
        <v>25</v>
      </c>
      <c r="M3" s="18"/>
      <c r="O3" s="19">
        <v>1</v>
      </c>
      <c r="P3" s="20" t="s">
        <v>26</v>
      </c>
      <c r="Q3" s="21">
        <v>2.736</v>
      </c>
      <c r="R3" s="22" t="s">
        <v>26</v>
      </c>
      <c r="S3" s="23">
        <f t="shared" ref="S3:S11" si="0">$C$4*(1+C$5+C$6+C$7+C$8)+C$9</f>
        <v>2882.024</v>
      </c>
      <c r="T3" s="24">
        <f t="shared" ref="T3:T11" si="1">S3/$C$4-1</f>
        <v>1.84784980237154</v>
      </c>
      <c r="U3" s="24">
        <f>IF(R3=$C$1,SUM($E$4:$E$9),SUM($E$4:$E$8))-40%</f>
        <v>1.3</v>
      </c>
      <c r="V3" s="25">
        <f t="shared" ref="V3:V11" si="2">1+$G$10*($I$10-1)</f>
        <v>3.2983</v>
      </c>
      <c r="W3" s="26">
        <f t="shared" ref="W3:W9" si="3">IF(R3=$C$1,$K$4+$K$5,$K$4)</f>
        <v>0.4</v>
      </c>
      <c r="X3" s="25">
        <f t="shared" ref="X3:X6" si="4">$AF$3</f>
        <v>0.488431876606684</v>
      </c>
      <c r="Y3" s="22">
        <f t="shared" ref="Y3:Y6" si="5">$AF$14</f>
        <v>0.8</v>
      </c>
      <c r="Z3" s="27">
        <v>0</v>
      </c>
      <c r="AA3" s="27">
        <v>0</v>
      </c>
      <c r="AB3" s="28">
        <v>0</v>
      </c>
      <c r="AC3" s="20">
        <f t="shared" ref="AC3:AC11" si="6">Q3*$C$4*(1+T3)*(1+U3)*V3*(1+W3)*X3*Y3*(1+Z3)*(1+AA3)*(1+AB3)*O3</f>
        <v>32723.044218144</v>
      </c>
      <c r="AD3" s="15">
        <v>0</v>
      </c>
      <c r="AE3" s="15">
        <v>0</v>
      </c>
      <c r="AF3" s="16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425+587</f>
        <v>1012</v>
      </c>
      <c r="D4" s="30" t="s">
        <v>28</v>
      </c>
      <c r="E4" s="32">
        <f>E1*30%</f>
        <v>0.3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</f>
        <v>0.4</v>
      </c>
      <c r="L4" s="30" t="s">
        <v>31</v>
      </c>
      <c r="M4" s="33">
        <f>8.6%*2</f>
        <v>0.172</v>
      </c>
      <c r="O4" s="36">
        <v>1</v>
      </c>
      <c r="P4" s="20" t="s">
        <v>32</v>
      </c>
      <c r="Q4" s="37">
        <v>1.3458</v>
      </c>
      <c r="R4" s="38" t="s">
        <v>33</v>
      </c>
      <c r="S4" s="39">
        <f t="shared" si="0"/>
        <v>2882.024</v>
      </c>
      <c r="T4" s="40">
        <f t="shared" si="1"/>
        <v>1.84784980237154</v>
      </c>
      <c r="U4" s="40">
        <f>IF(R4=$C$1,SUM($E$4:$E$9),SUM($E$4:$E$8))-40%</f>
        <v>1.3</v>
      </c>
      <c r="V4" s="25">
        <f t="shared" si="2"/>
        <v>3.2983</v>
      </c>
      <c r="W4" s="41">
        <f t="shared" si="3"/>
        <v>0.4</v>
      </c>
      <c r="X4" s="25">
        <f t="shared" si="4"/>
        <v>0.488431876606684</v>
      </c>
      <c r="Y4" s="38">
        <f t="shared" si="5"/>
        <v>0.8</v>
      </c>
      <c r="Z4" s="42">
        <v>0</v>
      </c>
      <c r="AA4" s="42">
        <v>0</v>
      </c>
      <c r="AB4" s="43">
        <v>0</v>
      </c>
      <c r="AC4" s="20">
        <f t="shared" si="6"/>
        <v>16096.006180109</v>
      </c>
      <c r="AD4" s="15">
        <v>32</v>
      </c>
      <c r="AE4" s="15">
        <v>0</v>
      </c>
      <c r="AF4" s="16">
        <f>1520/(1520+(792+8*AG4)*(1-AE4/100)*(1-AD4/100))</f>
        <v>0.584040329521702</v>
      </c>
      <c r="AG4" s="29">
        <v>100</v>
      </c>
    </row>
    <row r="5" s="1" customFormat="1" ht="15" spans="2:33">
      <c r="B5" s="30" t="s">
        <v>34</v>
      </c>
      <c r="C5" s="32">
        <v>0.12</v>
      </c>
      <c r="D5" s="30" t="s">
        <v>35</v>
      </c>
      <c r="E5" s="32">
        <v>0.3</v>
      </c>
      <c r="F5" s="30" t="s">
        <v>36</v>
      </c>
      <c r="G5" s="33">
        <v>0.243</v>
      </c>
      <c r="H5" s="30" t="s">
        <v>36</v>
      </c>
      <c r="I5" s="33">
        <v>0</v>
      </c>
      <c r="J5" s="44" t="s">
        <v>37</v>
      </c>
      <c r="K5" s="35">
        <v>0.25</v>
      </c>
      <c r="L5" s="30" t="s">
        <v>38</v>
      </c>
      <c r="M5" s="33">
        <f>8.6%*2</f>
        <v>0.172</v>
      </c>
      <c r="O5" s="36">
        <v>1</v>
      </c>
      <c r="P5" s="20" t="s">
        <v>39</v>
      </c>
      <c r="Q5" s="37">
        <v>10.0402</v>
      </c>
      <c r="R5" s="38" t="s">
        <v>1</v>
      </c>
      <c r="S5" s="39">
        <f t="shared" si="0"/>
        <v>2882.024</v>
      </c>
      <c r="T5" s="40">
        <f t="shared" si="1"/>
        <v>1.84784980237154</v>
      </c>
      <c r="U5" s="40">
        <f>IF(R5=$C$1,SUM($E$4:$E$9),SUM($E$4:$E$8))-40%</f>
        <v>1.722</v>
      </c>
      <c r="V5" s="25">
        <f t="shared" si="2"/>
        <v>3.2983</v>
      </c>
      <c r="W5" s="41">
        <f t="shared" si="3"/>
        <v>0.65</v>
      </c>
      <c r="X5" s="45">
        <f t="shared" ref="X5:X11" si="8">$AF$4</f>
        <v>0.584040329521702</v>
      </c>
      <c r="Y5" s="38">
        <f t="shared" ref="Y5:Y11" si="9">$AF$12</f>
        <v>0.9</v>
      </c>
      <c r="Z5" s="42">
        <v>0</v>
      </c>
      <c r="AA5" s="42">
        <v>0</v>
      </c>
      <c r="AB5" s="43">
        <v>0</v>
      </c>
      <c r="AC5" s="20">
        <f t="shared" si="6"/>
        <v>225313.66071489</v>
      </c>
      <c r="AD5" s="15">
        <v>0</v>
      </c>
      <c r="AE5" s="15">
        <v>30</v>
      </c>
      <c r="AF5" s="16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0.832</v>
      </c>
      <c r="D6" s="30" t="s">
        <v>41</v>
      </c>
      <c r="E6" s="32">
        <v>0.12</v>
      </c>
      <c r="F6" s="30" t="s">
        <v>42</v>
      </c>
      <c r="G6" s="33">
        <v>0.2</v>
      </c>
      <c r="H6" s="30" t="s">
        <v>42</v>
      </c>
      <c r="I6" s="33">
        <v>0</v>
      </c>
      <c r="J6" s="44"/>
      <c r="K6" s="32"/>
      <c r="L6" s="30" t="s">
        <v>23</v>
      </c>
      <c r="M6" s="33">
        <f>8.1*5%</f>
        <v>0.405</v>
      </c>
      <c r="O6" s="36">
        <v>1</v>
      </c>
      <c r="P6" s="20" t="s">
        <v>43</v>
      </c>
      <c r="Q6" s="37">
        <v>3.4395</v>
      </c>
      <c r="R6" s="38" t="s">
        <v>44</v>
      </c>
      <c r="S6" s="39">
        <f t="shared" si="0"/>
        <v>2882.024</v>
      </c>
      <c r="T6" s="40">
        <f t="shared" si="1"/>
        <v>1.84784980237154</v>
      </c>
      <c r="U6" s="46">
        <f t="shared" ref="U6:U10" si="10">IF(R6=$C$1,SUM($E$4:$E$9),SUM($E$4:$E$8))</f>
        <v>1.7</v>
      </c>
      <c r="V6" s="25">
        <f t="shared" si="2"/>
        <v>3.2983</v>
      </c>
      <c r="W6" s="41">
        <f t="shared" si="3"/>
        <v>0.4</v>
      </c>
      <c r="X6" s="25">
        <f t="shared" si="4"/>
        <v>0.488431876606684</v>
      </c>
      <c r="Y6" s="38">
        <f t="shared" si="5"/>
        <v>0.8</v>
      </c>
      <c r="Z6" s="42">
        <v>0</v>
      </c>
      <c r="AA6" s="42">
        <v>0</v>
      </c>
      <c r="AB6" s="43">
        <v>0</v>
      </c>
      <c r="AC6" s="20">
        <f t="shared" si="6"/>
        <v>48291.2945888043</v>
      </c>
      <c r="AD6" s="15">
        <v>0</v>
      </c>
      <c r="AE6" s="15">
        <v>21.6</v>
      </c>
      <c r="AF6" s="16">
        <f t="shared" si="7"/>
        <v>0.549107555719967</v>
      </c>
      <c r="AG6" s="29">
        <v>100</v>
      </c>
    </row>
    <row r="7" s="1" customFormat="1" ht="15" spans="2:33">
      <c r="B7" s="30" t="s">
        <v>45</v>
      </c>
      <c r="C7" s="33"/>
      <c r="D7" s="30" t="s">
        <v>46</v>
      </c>
      <c r="E7" s="32">
        <f>58%+40%</f>
        <v>0.98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4"/>
      <c r="K7" s="32"/>
      <c r="L7" s="30" t="s">
        <v>47</v>
      </c>
      <c r="M7" s="32">
        <f>16.2%*5</f>
        <v>0.81</v>
      </c>
      <c r="O7" s="36">
        <v>1</v>
      </c>
      <c r="P7" s="20" t="s">
        <v>48</v>
      </c>
      <c r="Q7" s="37">
        <v>3.579</v>
      </c>
      <c r="R7" s="38" t="s">
        <v>1</v>
      </c>
      <c r="S7" s="39">
        <f t="shared" si="0"/>
        <v>2882.024</v>
      </c>
      <c r="T7" s="40">
        <f t="shared" si="1"/>
        <v>1.84784980237154</v>
      </c>
      <c r="U7" s="46">
        <f t="shared" si="10"/>
        <v>2.122</v>
      </c>
      <c r="V7" s="25">
        <f t="shared" si="2"/>
        <v>3.2983</v>
      </c>
      <c r="W7" s="41">
        <f t="shared" si="3"/>
        <v>0.65</v>
      </c>
      <c r="X7" s="45">
        <f t="shared" si="8"/>
        <v>0.584040329521702</v>
      </c>
      <c r="Y7" s="38">
        <f t="shared" si="9"/>
        <v>0.9</v>
      </c>
      <c r="Z7" s="42">
        <v>0</v>
      </c>
      <c r="AA7" s="42">
        <v>0</v>
      </c>
      <c r="AB7" s="43">
        <v>0</v>
      </c>
      <c r="AC7" s="20">
        <f t="shared" si="6"/>
        <v>92119.5135482984</v>
      </c>
      <c r="AD7" s="15">
        <v>0</v>
      </c>
      <c r="AE7" s="15">
        <v>28.8</v>
      </c>
      <c r="AF7" s="16">
        <f t="shared" si="7"/>
        <v>0.572827476423627</v>
      </c>
      <c r="AG7" s="29">
        <v>100</v>
      </c>
    </row>
    <row r="8" s="1" customFormat="1" ht="15" spans="2:33">
      <c r="B8" s="30" t="s">
        <v>49</v>
      </c>
      <c r="C8" s="47">
        <f>25%+30%</f>
        <v>0.55</v>
      </c>
      <c r="D8" s="30" t="s">
        <v>50</v>
      </c>
      <c r="E8" s="48"/>
      <c r="F8" s="30" t="s">
        <v>51</v>
      </c>
      <c r="G8" s="33">
        <v>0</v>
      </c>
      <c r="H8" s="30" t="s">
        <v>52</v>
      </c>
      <c r="I8" s="33">
        <v>0.6</v>
      </c>
      <c r="J8" s="44"/>
      <c r="K8" s="32"/>
      <c r="L8" s="30"/>
      <c r="M8" s="31"/>
      <c r="O8" s="36">
        <v>1</v>
      </c>
      <c r="P8" s="20" t="s">
        <v>53</v>
      </c>
      <c r="Q8" s="37">
        <v>3.4395</v>
      </c>
      <c r="R8" s="38" t="s">
        <v>44</v>
      </c>
      <c r="S8" s="39">
        <f t="shared" si="0"/>
        <v>2882.024</v>
      </c>
      <c r="T8" s="40">
        <f t="shared" si="1"/>
        <v>1.84784980237154</v>
      </c>
      <c r="U8" s="46">
        <f t="shared" si="10"/>
        <v>1.7</v>
      </c>
      <c r="V8" s="25">
        <f t="shared" si="2"/>
        <v>3.2983</v>
      </c>
      <c r="W8" s="41">
        <f t="shared" si="3"/>
        <v>0.4</v>
      </c>
      <c r="X8" s="25">
        <f t="shared" ref="X8:X20" si="11">$AF$3</f>
        <v>0.488431876606684</v>
      </c>
      <c r="Y8" s="38">
        <f>$AF$14</f>
        <v>0.8</v>
      </c>
      <c r="Z8" s="42">
        <v>0</v>
      </c>
      <c r="AA8" s="42">
        <v>0</v>
      </c>
      <c r="AB8" s="43">
        <v>0</v>
      </c>
      <c r="AC8" s="20">
        <f t="shared" si="6"/>
        <v>48291.2945888043</v>
      </c>
      <c r="AD8" s="15">
        <v>0</v>
      </c>
      <c r="AE8" s="15">
        <v>36</v>
      </c>
      <c r="AF8" s="16">
        <f t="shared" si="7"/>
        <v>0.598689185782707</v>
      </c>
      <c r="AG8" s="29">
        <v>100</v>
      </c>
    </row>
    <row r="9" s="1" customFormat="1" ht="15" spans="2:33">
      <c r="B9" s="30" t="s">
        <v>54</v>
      </c>
      <c r="C9" s="31">
        <v>350</v>
      </c>
      <c r="D9" s="30" t="s">
        <v>55</v>
      </c>
      <c r="E9" s="49">
        <f>25%+M5</f>
        <v>0.422</v>
      </c>
      <c r="F9" s="30" t="s">
        <v>56</v>
      </c>
      <c r="G9" s="33"/>
      <c r="H9" s="30" t="s">
        <v>56</v>
      </c>
      <c r="I9" s="33"/>
      <c r="J9" s="44"/>
      <c r="K9" s="32"/>
      <c r="L9" s="30"/>
      <c r="M9" s="31"/>
      <c r="O9" s="36">
        <v>1</v>
      </c>
      <c r="P9" s="20" t="s">
        <v>57</v>
      </c>
      <c r="Q9" s="37">
        <v>3.579</v>
      </c>
      <c r="R9" s="38" t="s">
        <v>1</v>
      </c>
      <c r="S9" s="39">
        <f t="shared" si="0"/>
        <v>2882.024</v>
      </c>
      <c r="T9" s="40">
        <f t="shared" si="1"/>
        <v>1.84784980237154</v>
      </c>
      <c r="U9" s="46">
        <f t="shared" si="10"/>
        <v>2.122</v>
      </c>
      <c r="V9" s="25">
        <f t="shared" si="2"/>
        <v>3.2983</v>
      </c>
      <c r="W9" s="41">
        <f t="shared" si="3"/>
        <v>0.65</v>
      </c>
      <c r="X9" s="45">
        <f t="shared" si="8"/>
        <v>0.584040329521702</v>
      </c>
      <c r="Y9" s="38">
        <f t="shared" si="9"/>
        <v>0.9</v>
      </c>
      <c r="Z9" s="42">
        <v>0</v>
      </c>
      <c r="AA9" s="42">
        <v>0</v>
      </c>
      <c r="AB9" s="43">
        <v>0</v>
      </c>
      <c r="AC9" s="20">
        <f t="shared" si="6"/>
        <v>92119.5135482984</v>
      </c>
    </row>
    <row r="10" s="1" customFormat="1" ht="15" spans="2:33">
      <c r="B10" s="50" t="s">
        <v>58</v>
      </c>
      <c r="C10" s="51"/>
      <c r="D10" s="50"/>
      <c r="E10" s="52"/>
      <c r="F10" s="53" t="s">
        <v>59</v>
      </c>
      <c r="G10" s="54">
        <f>MIN(100%,SUM(G4:G9))</f>
        <v>0.978</v>
      </c>
      <c r="H10" s="53" t="s">
        <v>60</v>
      </c>
      <c r="I10" s="54">
        <f>SUM(I4:I9)</f>
        <v>3.35</v>
      </c>
      <c r="J10" s="55"/>
      <c r="K10" s="52"/>
      <c r="L10" s="50"/>
      <c r="M10" s="51"/>
      <c r="O10" s="36">
        <v>1</v>
      </c>
      <c r="P10" s="20" t="s">
        <v>61</v>
      </c>
      <c r="Q10" s="37">
        <v>2.32</v>
      </c>
      <c r="R10" s="38" t="s">
        <v>1</v>
      </c>
      <c r="S10" s="39">
        <f t="shared" si="0"/>
        <v>2882.024</v>
      </c>
      <c r="T10" s="40">
        <f t="shared" si="1"/>
        <v>1.84784980237154</v>
      </c>
      <c r="U10" s="46">
        <f t="shared" si="10"/>
        <v>2.122</v>
      </c>
      <c r="V10" s="25">
        <f t="shared" si="2"/>
        <v>3.2983</v>
      </c>
      <c r="W10" s="41">
        <f>IF(R10=$C$1,$K$4+$K$5,$K$4)+2</f>
        <v>2.65</v>
      </c>
      <c r="X10" s="45">
        <f t="shared" si="8"/>
        <v>0.584040329521702</v>
      </c>
      <c r="Y10" s="38">
        <f t="shared" si="9"/>
        <v>0.9</v>
      </c>
      <c r="Z10" s="42">
        <v>0</v>
      </c>
      <c r="AA10" s="42">
        <v>0</v>
      </c>
      <c r="AB10" s="43">
        <v>0</v>
      </c>
      <c r="AC10" s="20">
        <f t="shared" si="6"/>
        <v>132095.140969966</v>
      </c>
    </row>
    <row r="11" s="1" customFormat="1" ht="15" spans="2:33">
      <c r="B11" s="56"/>
      <c r="C11" s="56"/>
      <c r="E11" s="57"/>
      <c r="F11" s="17" t="s">
        <v>62</v>
      </c>
      <c r="G11" s="58">
        <f>MAX(0,SUM(G4:G9)-1)</f>
        <v>0</v>
      </c>
      <c r="J11" s="2"/>
      <c r="K11" s="2"/>
      <c r="O11" s="59">
        <v>1</v>
      </c>
      <c r="P11" s="20" t="s">
        <v>63</v>
      </c>
      <c r="Q11" s="60">
        <v>17.8929</v>
      </c>
      <c r="R11" s="61" t="s">
        <v>1</v>
      </c>
      <c r="S11" s="62">
        <f t="shared" si="0"/>
        <v>2882.024</v>
      </c>
      <c r="T11" s="63">
        <f t="shared" si="1"/>
        <v>1.84784980237154</v>
      </c>
      <c r="U11" s="64">
        <f>IF(R11=$C$1,SUM($E$4:$E$9),SUM($E$4:$E$8))+$E$10</f>
        <v>2.122</v>
      </c>
      <c r="V11" s="65">
        <f t="shared" si="2"/>
        <v>3.2983</v>
      </c>
      <c r="W11" s="66">
        <f>IF(R11=$C$1,$K$4+$K$5,$K$4)+$K$6+0.25</f>
        <v>0.9</v>
      </c>
      <c r="X11" s="67">
        <f t="shared" si="8"/>
        <v>0.584040329521702</v>
      </c>
      <c r="Y11" s="61">
        <f t="shared" si="9"/>
        <v>0.9</v>
      </c>
      <c r="Z11" s="68">
        <v>0</v>
      </c>
      <c r="AA11" s="68">
        <v>0</v>
      </c>
      <c r="AB11" s="69">
        <v>0</v>
      </c>
      <c r="AC11" s="20">
        <f t="shared" si="6"/>
        <v>530322.836671808</v>
      </c>
      <c r="AE11"/>
      <c r="AF11"/>
    </row>
    <row r="12" s="1" customFormat="1" ht="15" spans="2:33">
      <c r="B12" s="56"/>
      <c r="C12" s="56"/>
      <c r="E12" s="57"/>
      <c r="G12" s="70"/>
      <c r="J12" s="2"/>
      <c r="K12" s="2"/>
      <c r="O12" s="19">
        <v>1</v>
      </c>
      <c r="P12" s="71" t="s">
        <v>64</v>
      </c>
      <c r="Q12" s="72">
        <v>2.248</v>
      </c>
      <c r="R12" s="73" t="s">
        <v>33</v>
      </c>
      <c r="S12" s="74">
        <f t="shared" ref="S12:S20" si="12">$C$16*(1+$C$17+$C$18+$C$19+$C$20)+($C$21+$C$22)</f>
        <v>2586.086</v>
      </c>
      <c r="T12" s="75">
        <f t="shared" ref="T12:T20" si="13">($C$17+$C$18+$C$19+$C$20)+($C$21+$C$22)/$C$16</f>
        <v>1.68544755970924</v>
      </c>
      <c r="U12" s="75">
        <f>IF(R12=$C$13,SUM($E$16:$E$21),SUM($E$16:$E$20))-12%</f>
        <v>1.01</v>
      </c>
      <c r="V12" s="76">
        <f t="shared" ref="V12:V20" si="14">1+$G$22*($I$22-1)</f>
        <v>2.3615</v>
      </c>
      <c r="W12" s="77">
        <f t="shared" ref="W12:W20" si="15">IF(R12=$C$1,$K$16+$K$17,$K$16)</f>
        <v>0.45</v>
      </c>
      <c r="X12" s="76">
        <f t="shared" si="11"/>
        <v>0.488431876606684</v>
      </c>
      <c r="Y12" s="73">
        <f t="shared" ref="Y12:Y20" si="16">$AF$15</f>
        <v>0.8</v>
      </c>
      <c r="Z12" s="78">
        <v>0</v>
      </c>
      <c r="AA12" s="78">
        <v>0</v>
      </c>
      <c r="AB12" s="35">
        <v>0</v>
      </c>
      <c r="AC12" s="79">
        <f t="shared" ref="AC12:AC20" si="17">Q12*$C$16*(1+T12)*(1+U12)*V12*(1+W12)*X12*Y12*(1+Z12)*(1+AA12)*(1+AB12)*O12</f>
        <v>15634.545700366</v>
      </c>
      <c r="AE12" s="80" t="s">
        <v>1</v>
      </c>
      <c r="AF12" s="81">
        <v>0.9</v>
      </c>
    </row>
    <row r="13" s="1" customFormat="1" ht="15" spans="2:33">
      <c r="B13" s="6" t="s">
        <v>0</v>
      </c>
      <c r="C13" s="6" t="s">
        <v>44</v>
      </c>
      <c r="D13" s="7" t="s">
        <v>2</v>
      </c>
      <c r="E13" s="7">
        <v>1</v>
      </c>
      <c r="O13" s="36">
        <v>1</v>
      </c>
      <c r="P13" s="71" t="s">
        <v>65</v>
      </c>
      <c r="Q13" s="44">
        <v>8.748</v>
      </c>
      <c r="R13" s="56" t="s">
        <v>1</v>
      </c>
      <c r="S13" s="82">
        <f t="shared" si="12"/>
        <v>2586.086</v>
      </c>
      <c r="T13" s="83">
        <f t="shared" si="13"/>
        <v>1.68544755970924</v>
      </c>
      <c r="U13" s="83">
        <f>IF(R13=$C$13,SUM($E$16:$E$21),SUM($E$16:$E$20))-12%</f>
        <v>1.01</v>
      </c>
      <c r="V13" s="84">
        <f t="shared" si="14"/>
        <v>2.3615</v>
      </c>
      <c r="W13" s="85">
        <f t="shared" si="15"/>
        <v>0.45</v>
      </c>
      <c r="X13" s="84">
        <f t="shared" si="11"/>
        <v>0.488431876606684</v>
      </c>
      <c r="Y13" s="73">
        <f t="shared" si="16"/>
        <v>0.8</v>
      </c>
      <c r="Z13" s="86">
        <v>0</v>
      </c>
      <c r="AA13" s="86">
        <v>0</v>
      </c>
      <c r="AB13" s="32">
        <v>0</v>
      </c>
      <c r="AC13" s="79">
        <f t="shared" si="17"/>
        <v>60841.1947450184</v>
      </c>
      <c r="AE13" s="87" t="s">
        <v>66</v>
      </c>
      <c r="AF13" s="87">
        <v>0.8</v>
      </c>
    </row>
    <row r="14" s="1" customFormat="1" ht="15" spans="2:33">
      <c r="B14" s="88" t="s">
        <v>67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O14" s="36">
        <v>1</v>
      </c>
      <c r="P14" s="71" t="s">
        <v>68</v>
      </c>
      <c r="Q14" s="44">
        <v>2.7863</v>
      </c>
      <c r="R14" s="56" t="s">
        <v>69</v>
      </c>
      <c r="S14" s="82">
        <f t="shared" si="12"/>
        <v>2586.086</v>
      </c>
      <c r="T14" s="83">
        <f t="shared" si="13"/>
        <v>1.68544755970924</v>
      </c>
      <c r="U14" s="83">
        <f>IF(R14=$C$13,SUM($E$16:$E$21),SUM($E$16:$E$20))-6%</f>
        <v>1.07</v>
      </c>
      <c r="V14" s="84">
        <f t="shared" si="14"/>
        <v>2.3615</v>
      </c>
      <c r="W14" s="85">
        <f t="shared" si="15"/>
        <v>0.45</v>
      </c>
      <c r="X14" s="84">
        <f t="shared" si="11"/>
        <v>0.488431876606684</v>
      </c>
      <c r="Y14" s="73">
        <f t="shared" si="16"/>
        <v>0.8</v>
      </c>
      <c r="Z14" s="86">
        <v>0</v>
      </c>
      <c r="AA14" s="86">
        <v>0</v>
      </c>
      <c r="AB14" s="32">
        <v>0</v>
      </c>
      <c r="AC14" s="79">
        <f t="shared" si="17"/>
        <v>19956.809988714</v>
      </c>
      <c r="AE14" s="89" t="s">
        <v>70</v>
      </c>
      <c r="AF14" s="89">
        <v>0.8</v>
      </c>
    </row>
    <row r="15" s="1" customFormat="1" ht="15" spans="2:33">
      <c r="B15" s="90" t="s">
        <v>22</v>
      </c>
      <c r="C15" s="90"/>
      <c r="D15" s="90" t="s">
        <v>10</v>
      </c>
      <c r="E15" s="90"/>
      <c r="F15" s="90" t="s">
        <v>23</v>
      </c>
      <c r="G15" s="90"/>
      <c r="H15" s="90" t="s">
        <v>24</v>
      </c>
      <c r="I15" s="90"/>
      <c r="J15" s="90" t="s">
        <v>12</v>
      </c>
      <c r="K15" s="90"/>
      <c r="L15" s="90" t="s">
        <v>25</v>
      </c>
      <c r="M15" s="90"/>
      <c r="O15" s="36">
        <v>1</v>
      </c>
      <c r="P15" s="71" t="s">
        <v>71</v>
      </c>
      <c r="Q15" s="44">
        <v>5.5556</v>
      </c>
      <c r="R15" s="56" t="s">
        <v>44</v>
      </c>
      <c r="S15" s="82">
        <f t="shared" si="12"/>
        <v>2586.086</v>
      </c>
      <c r="T15" s="83">
        <f t="shared" si="13"/>
        <v>1.68544755970924</v>
      </c>
      <c r="U15" s="83">
        <f t="shared" ref="U15:U20" si="18">IF(R15=$C$13,SUM($E$16:$E$21),SUM($E$16:$E$20))</f>
        <v>1.576</v>
      </c>
      <c r="V15" s="84">
        <f t="shared" si="14"/>
        <v>2.3615</v>
      </c>
      <c r="W15" s="85">
        <f t="shared" si="15"/>
        <v>0.45</v>
      </c>
      <c r="X15" s="84">
        <f t="shared" si="11"/>
        <v>0.488431876606684</v>
      </c>
      <c r="Y15" s="73">
        <f t="shared" si="16"/>
        <v>0.8</v>
      </c>
      <c r="Z15" s="86">
        <v>0</v>
      </c>
      <c r="AA15" s="86">
        <v>0</v>
      </c>
      <c r="AB15" s="32">
        <v>0</v>
      </c>
      <c r="AC15" s="79">
        <f t="shared" si="17"/>
        <v>49518.7564560311</v>
      </c>
      <c r="AE15" s="91" t="s">
        <v>72</v>
      </c>
      <c r="AF15" s="91">
        <v>0.8</v>
      </c>
    </row>
    <row r="16" s="1" customFormat="1" ht="15" spans="2:33">
      <c r="B16" s="92" t="s">
        <v>27</v>
      </c>
      <c r="C16" s="31">
        <f>375+588</f>
        <v>963</v>
      </c>
      <c r="D16" s="92" t="s">
        <v>28</v>
      </c>
      <c r="E16" s="35">
        <f>E13*30%</f>
        <v>0.3</v>
      </c>
      <c r="F16" s="92" t="s">
        <v>29</v>
      </c>
      <c r="G16" s="93">
        <v>0.13</v>
      </c>
      <c r="H16" s="92" t="s">
        <v>29</v>
      </c>
      <c r="I16" s="93">
        <v>1.5</v>
      </c>
      <c r="J16" s="34" t="s">
        <v>30</v>
      </c>
      <c r="K16" s="35">
        <f>25%+20%</f>
        <v>0.45</v>
      </c>
      <c r="L16" s="92" t="s">
        <v>31</v>
      </c>
      <c r="M16" s="93">
        <f>8.6%*2</f>
        <v>0.172</v>
      </c>
      <c r="O16" s="36">
        <v>1</v>
      </c>
      <c r="P16" s="71" t="s">
        <v>73</v>
      </c>
      <c r="Q16" s="44">
        <v>3.076</v>
      </c>
      <c r="R16" s="56" t="s">
        <v>44</v>
      </c>
      <c r="S16" s="82">
        <f t="shared" si="12"/>
        <v>2586.086</v>
      </c>
      <c r="T16" s="83">
        <f t="shared" si="13"/>
        <v>1.68544755970924</v>
      </c>
      <c r="U16" s="83">
        <f t="shared" si="18"/>
        <v>1.576</v>
      </c>
      <c r="V16" s="84">
        <f t="shared" si="14"/>
        <v>2.3615</v>
      </c>
      <c r="W16" s="85">
        <f t="shared" si="15"/>
        <v>0.45</v>
      </c>
      <c r="X16" s="84">
        <f t="shared" si="11"/>
        <v>0.488431876606684</v>
      </c>
      <c r="Y16" s="73">
        <f t="shared" si="16"/>
        <v>0.8</v>
      </c>
      <c r="Z16" s="86">
        <v>0</v>
      </c>
      <c r="AA16" s="86">
        <v>0</v>
      </c>
      <c r="AB16" s="32">
        <v>0</v>
      </c>
      <c r="AC16" s="79">
        <f t="shared" si="17"/>
        <v>27417.3257359694</v>
      </c>
    </row>
    <row r="17" s="1" customFormat="1" ht="15" spans="1:30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4" t="s">
        <v>74</v>
      </c>
      <c r="K17" s="32"/>
      <c r="L17" s="30" t="s">
        <v>75</v>
      </c>
      <c r="M17" s="33">
        <f>1*8.6%</f>
        <v>0.086</v>
      </c>
      <c r="O17" s="36">
        <v>1</v>
      </c>
      <c r="P17" s="71" t="s">
        <v>76</v>
      </c>
      <c r="Q17" s="44">
        <v>12.1672</v>
      </c>
      <c r="R17" s="56" t="s">
        <v>44</v>
      </c>
      <c r="S17" s="82">
        <f t="shared" si="12"/>
        <v>2586.086</v>
      </c>
      <c r="T17" s="83">
        <f t="shared" si="13"/>
        <v>1.68544755970924</v>
      </c>
      <c r="U17" s="83">
        <f t="shared" si="18"/>
        <v>1.576</v>
      </c>
      <c r="V17" s="84">
        <f t="shared" si="14"/>
        <v>2.3615</v>
      </c>
      <c r="W17" s="85">
        <f t="shared" si="15"/>
        <v>0.45</v>
      </c>
      <c r="X17" s="84">
        <f t="shared" si="11"/>
        <v>0.488431876606684</v>
      </c>
      <c r="Y17" s="73">
        <f t="shared" si="16"/>
        <v>0.8</v>
      </c>
      <c r="Z17" s="86">
        <v>0</v>
      </c>
      <c r="AA17" s="86">
        <v>0</v>
      </c>
      <c r="AB17" s="32">
        <v>0</v>
      </c>
      <c r="AC17" s="79">
        <f t="shared" si="17"/>
        <v>108449.962839625</v>
      </c>
    </row>
    <row r="18" s="1" customFormat="1" ht="15" spans="1:30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4"/>
      <c r="K18" s="33"/>
      <c r="L18" s="30" t="s">
        <v>23</v>
      </c>
      <c r="M18" s="33">
        <f>8.1*5%</f>
        <v>0.405</v>
      </c>
      <c r="O18" s="36">
        <v>1</v>
      </c>
      <c r="P18" s="71" t="s">
        <v>77</v>
      </c>
      <c r="Q18" s="44">
        <v>2.3262</v>
      </c>
      <c r="R18" s="56" t="s">
        <v>69</v>
      </c>
      <c r="S18" s="82">
        <f t="shared" si="12"/>
        <v>2586.086</v>
      </c>
      <c r="T18" s="83">
        <f t="shared" si="13"/>
        <v>1.68544755970924</v>
      </c>
      <c r="U18" s="83">
        <f t="shared" si="18"/>
        <v>1.13</v>
      </c>
      <c r="V18" s="84">
        <f t="shared" si="14"/>
        <v>2.3615</v>
      </c>
      <c r="W18" s="85">
        <f t="shared" si="15"/>
        <v>0.45</v>
      </c>
      <c r="X18" s="84">
        <f t="shared" si="11"/>
        <v>0.488431876606684</v>
      </c>
      <c r="Y18" s="73">
        <f t="shared" si="16"/>
        <v>0.8</v>
      </c>
      <c r="Z18" s="86">
        <v>0</v>
      </c>
      <c r="AA18" s="86">
        <v>0</v>
      </c>
      <c r="AB18" s="32">
        <v>0</v>
      </c>
      <c r="AC18" s="79">
        <f t="shared" si="17"/>
        <v>17144.2920724331</v>
      </c>
    </row>
    <row r="19" s="1" customFormat="1" ht="15" spans="1:30">
      <c r="B19" s="30" t="s">
        <v>45</v>
      </c>
      <c r="C19" s="47"/>
      <c r="D19" s="30" t="s">
        <v>46</v>
      </c>
      <c r="E19" s="32"/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4"/>
      <c r="K19" s="33"/>
      <c r="L19" s="30" t="s">
        <v>47</v>
      </c>
      <c r="M19" s="32">
        <f>16.2%*5</f>
        <v>0.81</v>
      </c>
      <c r="O19" s="36">
        <v>1</v>
      </c>
      <c r="P19" s="71" t="s">
        <v>78</v>
      </c>
      <c r="Q19" s="44">
        <v>1</v>
      </c>
      <c r="R19" s="56" t="s">
        <v>79</v>
      </c>
      <c r="S19" s="82">
        <f t="shared" si="12"/>
        <v>2586.086</v>
      </c>
      <c r="T19" s="83">
        <f t="shared" si="13"/>
        <v>1.68544755970924</v>
      </c>
      <c r="U19" s="83">
        <f t="shared" si="18"/>
        <v>1.13</v>
      </c>
      <c r="V19" s="84">
        <f t="shared" si="14"/>
        <v>2.3615</v>
      </c>
      <c r="W19" s="85">
        <f t="shared" si="15"/>
        <v>0.45</v>
      </c>
      <c r="X19" s="84">
        <f t="shared" si="11"/>
        <v>0.488431876606684</v>
      </c>
      <c r="Y19" s="73">
        <f t="shared" si="16"/>
        <v>0.8</v>
      </c>
      <c r="Z19" s="86">
        <v>0</v>
      </c>
      <c r="AA19" s="86">
        <v>0</v>
      </c>
      <c r="AB19" s="32">
        <v>0</v>
      </c>
      <c r="AC19" s="79">
        <f t="shared" si="17"/>
        <v>7370.08514849673</v>
      </c>
    </row>
    <row r="20" s="1" customFormat="1" ht="15" spans="1:30">
      <c r="B20" s="30" t="s">
        <v>49</v>
      </c>
      <c r="C20" s="47">
        <v>0.25</v>
      </c>
      <c r="D20" s="30" t="s">
        <v>50</v>
      </c>
      <c r="E20" s="94">
        <f>24%+24%</f>
        <v>0.48</v>
      </c>
      <c r="F20" s="30" t="s">
        <v>51</v>
      </c>
      <c r="G20" s="33">
        <v>0</v>
      </c>
      <c r="H20" s="30" t="s">
        <v>51</v>
      </c>
      <c r="I20" s="33">
        <v>0</v>
      </c>
      <c r="J20" s="44"/>
      <c r="K20" s="33"/>
      <c r="L20" s="30"/>
      <c r="M20" s="31"/>
      <c r="O20" s="59">
        <v>1</v>
      </c>
      <c r="P20" s="71" t="s">
        <v>80</v>
      </c>
      <c r="Q20" s="55">
        <v>2.736</v>
      </c>
      <c r="R20" s="95" t="s">
        <v>26</v>
      </c>
      <c r="S20" s="96">
        <f t="shared" si="12"/>
        <v>2586.086</v>
      </c>
      <c r="T20" s="97">
        <f t="shared" si="13"/>
        <v>1.68544755970924</v>
      </c>
      <c r="U20" s="97">
        <f t="shared" si="18"/>
        <v>1.13</v>
      </c>
      <c r="V20" s="98">
        <f t="shared" si="14"/>
        <v>2.3615</v>
      </c>
      <c r="W20" s="99">
        <f t="shared" si="15"/>
        <v>0.45</v>
      </c>
      <c r="X20" s="98">
        <f t="shared" si="11"/>
        <v>0.488431876606684</v>
      </c>
      <c r="Y20" s="73">
        <f t="shared" si="16"/>
        <v>0.8</v>
      </c>
      <c r="Z20" s="100">
        <v>0</v>
      </c>
      <c r="AA20" s="100">
        <v>0</v>
      </c>
      <c r="AB20" s="52">
        <v>0</v>
      </c>
      <c r="AC20" s="79">
        <f t="shared" si="17"/>
        <v>20164.5529662871</v>
      </c>
    </row>
    <row r="21" s="1" customFormat="1" spans="1:30">
      <c r="B21" s="30" t="s">
        <v>54</v>
      </c>
      <c r="C21" s="31">
        <v>350</v>
      </c>
      <c r="D21" s="30" t="s">
        <v>81</v>
      </c>
      <c r="E21" s="32">
        <f>36%+M17</f>
        <v>0.446</v>
      </c>
      <c r="F21" s="30" t="s">
        <v>56</v>
      </c>
      <c r="G21" s="33"/>
      <c r="H21" s="30" t="s">
        <v>56</v>
      </c>
      <c r="I21" s="33">
        <v>0</v>
      </c>
      <c r="J21" s="44"/>
      <c r="K21" s="33"/>
      <c r="L21" s="30"/>
      <c r="M21" s="3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50" t="s">
        <v>58</v>
      </c>
      <c r="C22" s="51"/>
      <c r="D22" s="50"/>
      <c r="E22" s="52"/>
      <c r="F22" s="53" t="s">
        <v>59</v>
      </c>
      <c r="G22" s="54">
        <f>MIN(100%,SUM(G16:G21))</f>
        <v>0.778</v>
      </c>
      <c r="H22" s="53" t="s">
        <v>60</v>
      </c>
      <c r="I22" s="54">
        <f>SUM(I16:I21)</f>
        <v>2.75</v>
      </c>
      <c r="J22" s="55"/>
      <c r="K22" s="101"/>
      <c r="L22" s="50"/>
      <c r="M22" s="51"/>
      <c r="O22" s="92">
        <v>20</v>
      </c>
      <c r="P22" s="75" t="s">
        <v>82</v>
      </c>
      <c r="Q22" s="75">
        <v>1.0935</v>
      </c>
      <c r="R22" s="73" t="s">
        <v>83</v>
      </c>
      <c r="S22" s="73">
        <v>10027</v>
      </c>
      <c r="T22" s="75">
        <v>0</v>
      </c>
      <c r="U22" s="75">
        <v>0</v>
      </c>
      <c r="V22" s="76">
        <v>1</v>
      </c>
      <c r="W22" s="77">
        <v>0</v>
      </c>
      <c r="X22" s="76">
        <f t="shared" ref="X22:X26" si="19">$AF$3</f>
        <v>0.488431876606684</v>
      </c>
      <c r="Y22" s="73">
        <f t="shared" ref="Y22:Y26" si="20">$AF$13</f>
        <v>0.8</v>
      </c>
      <c r="Z22" s="78">
        <v>1.2</v>
      </c>
      <c r="AA22" s="78">
        <v>0</v>
      </c>
      <c r="AB22" s="78">
        <v>0.5</v>
      </c>
      <c r="AC22" s="102">
        <f t="shared" ref="AC22:AC26" si="21">Q22*$S$26*(1+T22)*(1+U22)*V22*(1+W22)*X22*Y22*(1+Z22)*(1+AA22)*(1+AB22)*O22</f>
        <v>282766.349059126</v>
      </c>
    </row>
    <row r="23" s="1" customFormat="1" ht="15" spans="1:30">
      <c r="B23" s="56"/>
      <c r="C23" s="56"/>
      <c r="E23" s="57"/>
      <c r="F23" s="17" t="s">
        <v>62</v>
      </c>
      <c r="G23" s="58">
        <f>MAX(0,SUM(G16:G21)-1)</f>
        <v>0</v>
      </c>
      <c r="J23" s="2"/>
      <c r="K23" s="2"/>
      <c r="O23" s="30">
        <v>1</v>
      </c>
      <c r="P23" s="56" t="s">
        <v>84</v>
      </c>
      <c r="Q23" s="83">
        <v>5.9643</v>
      </c>
      <c r="R23" s="56" t="s">
        <v>83</v>
      </c>
      <c r="S23" s="56">
        <v>10027</v>
      </c>
      <c r="T23" s="83">
        <v>0</v>
      </c>
      <c r="U23" s="83">
        <v>0</v>
      </c>
      <c r="V23" s="84">
        <v>1</v>
      </c>
      <c r="W23" s="85">
        <v>0</v>
      </c>
      <c r="X23" s="84">
        <f t="shared" si="19"/>
        <v>0.488431876606684</v>
      </c>
      <c r="Y23" s="56">
        <f t="shared" si="20"/>
        <v>0.8</v>
      </c>
      <c r="Z23" s="86">
        <v>0</v>
      </c>
      <c r="AA23" s="86">
        <v>0</v>
      </c>
      <c r="AB23" s="86">
        <v>0.5</v>
      </c>
      <c r="AC23" s="103">
        <f t="shared" si="21"/>
        <v>35052.2370971722</v>
      </c>
    </row>
    <row r="24" s="1" customFormat="1" ht="15" spans="1:30">
      <c r="B24" s="56"/>
      <c r="C24" s="56"/>
      <c r="E24" s="57"/>
      <c r="J24" s="2"/>
      <c r="K24" s="2"/>
      <c r="O24" s="30">
        <v>1</v>
      </c>
      <c r="P24" s="56" t="s">
        <v>85</v>
      </c>
      <c r="Q24" s="83">
        <v>18.8075</v>
      </c>
      <c r="R24" s="56" t="s">
        <v>83</v>
      </c>
      <c r="S24" s="56">
        <v>10027</v>
      </c>
      <c r="T24" s="83">
        <v>0</v>
      </c>
      <c r="U24" s="83">
        <v>0</v>
      </c>
      <c r="V24" s="84">
        <v>1</v>
      </c>
      <c r="W24" s="85">
        <v>0</v>
      </c>
      <c r="X24" s="84">
        <f t="shared" si="19"/>
        <v>0.488431876606684</v>
      </c>
      <c r="Y24" s="56">
        <f t="shared" si="20"/>
        <v>0.8</v>
      </c>
      <c r="Z24" s="86">
        <v>0</v>
      </c>
      <c r="AA24" s="86">
        <v>0</v>
      </c>
      <c r="AB24" s="86">
        <v>0.5</v>
      </c>
      <c r="AC24" s="103">
        <f t="shared" si="21"/>
        <v>110531.822544987</v>
      </c>
      <c r="AD24"/>
    </row>
    <row r="25" s="1" customFormat="1" ht="15" spans="1:30">
      <c r="A25" s="104"/>
      <c r="B25" s="105" t="s">
        <v>86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O25" s="30">
        <v>1</v>
      </c>
      <c r="P25" s="56" t="s">
        <v>87</v>
      </c>
      <c r="Q25" s="83">
        <v>2.9822</v>
      </c>
      <c r="R25" s="56" t="s">
        <v>83</v>
      </c>
      <c r="S25" s="56">
        <v>10027</v>
      </c>
      <c r="T25" s="83">
        <v>0</v>
      </c>
      <c r="U25" s="83">
        <v>0</v>
      </c>
      <c r="V25" s="84">
        <v>1</v>
      </c>
      <c r="W25" s="85">
        <v>0</v>
      </c>
      <c r="X25" s="84">
        <f t="shared" si="19"/>
        <v>0.488431876606684</v>
      </c>
      <c r="Y25" s="56">
        <f t="shared" si="20"/>
        <v>0.8</v>
      </c>
      <c r="Z25" s="86">
        <v>0</v>
      </c>
      <c r="AA25" s="86">
        <v>0</v>
      </c>
      <c r="AB25" s="86">
        <v>0.5</v>
      </c>
      <c r="AC25" s="103">
        <f t="shared" si="21"/>
        <v>17526.4123989717</v>
      </c>
      <c r="AD25"/>
    </row>
    <row r="26" s="1" customFormat="1" ht="15" spans="1:30">
      <c r="A26" s="104" t="s">
        <v>88</v>
      </c>
      <c r="B26" s="106" t="s">
        <v>22</v>
      </c>
      <c r="C26" s="107"/>
      <c r="D26" s="106" t="s">
        <v>10</v>
      </c>
      <c r="E26" s="107"/>
      <c r="F26" s="106" t="s">
        <v>23</v>
      </c>
      <c r="G26" s="107"/>
      <c r="H26" s="106" t="s">
        <v>24</v>
      </c>
      <c r="I26" s="107"/>
      <c r="J26" s="106" t="s">
        <v>12</v>
      </c>
      <c r="K26" s="107"/>
      <c r="L26" s="106" t="s">
        <v>89</v>
      </c>
      <c r="M26" s="107"/>
      <c r="O26" s="50">
        <v>1</v>
      </c>
      <c r="P26" s="95" t="s">
        <v>90</v>
      </c>
      <c r="Q26" s="97">
        <v>16</v>
      </c>
      <c r="R26" s="95" t="s">
        <v>91</v>
      </c>
      <c r="S26" s="95">
        <v>10027</v>
      </c>
      <c r="T26" s="97">
        <v>0</v>
      </c>
      <c r="U26" s="97">
        <v>0</v>
      </c>
      <c r="V26" s="98">
        <v>1</v>
      </c>
      <c r="W26" s="99">
        <v>0</v>
      </c>
      <c r="X26" s="98">
        <f t="shared" si="19"/>
        <v>0.488431876606684</v>
      </c>
      <c r="Y26" s="95">
        <f t="shared" si="20"/>
        <v>0.8</v>
      </c>
      <c r="Z26" s="100">
        <v>0</v>
      </c>
      <c r="AA26" s="100">
        <v>0</v>
      </c>
      <c r="AB26" s="100">
        <v>0.5</v>
      </c>
      <c r="AC26" s="108">
        <f t="shared" si="21"/>
        <v>94032.1233933162</v>
      </c>
    </row>
    <row r="27" s="1" customFormat="1" spans="1:30">
      <c r="A27" s="104">
        <v>1357</v>
      </c>
      <c r="B27" s="109" t="s">
        <v>27</v>
      </c>
      <c r="C27" s="110">
        <f>288+337</f>
        <v>625</v>
      </c>
      <c r="D27" s="109" t="s">
        <v>28</v>
      </c>
      <c r="E27" s="49"/>
      <c r="F27" s="109" t="s">
        <v>92</v>
      </c>
      <c r="G27" s="111">
        <v>0.05</v>
      </c>
      <c r="H27" s="109" t="s">
        <v>92</v>
      </c>
      <c r="I27" s="49">
        <v>1.5</v>
      </c>
      <c r="J27" s="112" t="s">
        <v>30</v>
      </c>
      <c r="K27" s="49">
        <f>25%+10%</f>
        <v>0.35</v>
      </c>
      <c r="L27" s="109" t="s">
        <v>88</v>
      </c>
      <c r="M27" s="111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13">
        <f>16%+7.6*2%</f>
        <v>0.312</v>
      </c>
      <c r="B28" s="109" t="s">
        <v>93</v>
      </c>
      <c r="C28" s="49"/>
      <c r="D28" s="109" t="s">
        <v>94</v>
      </c>
      <c r="E28" s="49"/>
      <c r="F28" s="109" t="s">
        <v>36</v>
      </c>
      <c r="G28" s="111"/>
      <c r="H28" s="109" t="s">
        <v>95</v>
      </c>
      <c r="I28" s="111">
        <v>0.2</v>
      </c>
      <c r="J28" s="114" t="s">
        <v>96</v>
      </c>
      <c r="K28" s="111"/>
      <c r="L28" s="109" t="s">
        <v>23</v>
      </c>
      <c r="M28" s="111">
        <f>2*8.1%</f>
        <v>0.162</v>
      </c>
      <c r="O28" s="90">
        <v>1</v>
      </c>
      <c r="P28" s="115" t="s">
        <v>97</v>
      </c>
      <c r="Q28" s="72">
        <v>2.0279</v>
      </c>
      <c r="R28" s="73" t="s">
        <v>33</v>
      </c>
      <c r="S28" s="74">
        <f t="shared" ref="S28:S31" si="22">C$34</f>
        <v>1225</v>
      </c>
      <c r="T28" s="75">
        <f t="shared" ref="T28:T31" si="23">S28/$C$27-1</f>
        <v>0.96</v>
      </c>
      <c r="U28" s="75">
        <f t="shared" ref="U28:U31" si="24">E$30</f>
        <v>0.48</v>
      </c>
      <c r="V28" s="76">
        <f t="shared" ref="V28:V31" si="25">1+$G$32*($I$32-1)</f>
        <v>1.3752</v>
      </c>
      <c r="W28" s="77">
        <f t="shared" ref="W28:W33" si="26">K$27</f>
        <v>0.35</v>
      </c>
      <c r="X28" s="76">
        <f t="shared" ref="X28:X33" si="27">$AF$3</f>
        <v>0.488431876606684</v>
      </c>
      <c r="Y28" s="73">
        <f t="shared" ref="Y28:Y33" si="28">$AF$14</f>
        <v>0.8</v>
      </c>
      <c r="Z28" s="78">
        <v>0</v>
      </c>
      <c r="AA28" s="78">
        <v>0</v>
      </c>
      <c r="AB28" s="35">
        <v>0</v>
      </c>
      <c r="AC28" s="20">
        <f t="shared" ref="AC28:AC33" si="29">Q28*$C$27*(1+T28)*(1+U28)*V28*(1+W28)*X28*Y28*(1+Z28)*(1+AA28)*(1+AB28)*O28</f>
        <v>2667.09176287663</v>
      </c>
    </row>
    <row r="29" s="1" customFormat="1" ht="15" spans="1:30">
      <c r="A29" s="113">
        <f>36%+M27</f>
        <v>0.687</v>
      </c>
      <c r="B29" s="109" t="s">
        <v>98</v>
      </c>
      <c r="C29" s="49"/>
      <c r="D29" s="109" t="s">
        <v>99</v>
      </c>
      <c r="E29" s="49"/>
      <c r="F29" s="109" t="s">
        <v>42</v>
      </c>
      <c r="G29" s="111"/>
      <c r="H29" s="109" t="s">
        <v>100</v>
      </c>
      <c r="I29" s="111"/>
      <c r="J29" s="114" t="s">
        <v>101</v>
      </c>
      <c r="K29" s="111"/>
      <c r="L29" s="109" t="s">
        <v>47</v>
      </c>
      <c r="M29" s="111">
        <f>3*16.2%</f>
        <v>0.486</v>
      </c>
      <c r="O29" s="116">
        <v>1</v>
      </c>
      <c r="P29" s="115" t="s">
        <v>102</v>
      </c>
      <c r="Q29" s="44">
        <f>22.27%+16.71%*2+23.86%+23.86%+17.9%*4+41.36%+10.34%*6</f>
        <v>2.7841</v>
      </c>
      <c r="R29" s="56" t="s">
        <v>44</v>
      </c>
      <c r="S29" s="82">
        <f t="shared" si="22"/>
        <v>1225</v>
      </c>
      <c r="T29" s="83">
        <f t="shared" si="23"/>
        <v>0.96</v>
      </c>
      <c r="U29" s="83">
        <f t="shared" si="24"/>
        <v>0.48</v>
      </c>
      <c r="V29" s="84">
        <f t="shared" si="25"/>
        <v>1.3752</v>
      </c>
      <c r="W29" s="85">
        <f t="shared" si="26"/>
        <v>0.35</v>
      </c>
      <c r="X29" s="84">
        <f t="shared" si="27"/>
        <v>0.488431876606684</v>
      </c>
      <c r="Y29" s="56">
        <f t="shared" si="28"/>
        <v>0.8</v>
      </c>
      <c r="Z29" s="86">
        <v>0</v>
      </c>
      <c r="AA29" s="86">
        <v>0</v>
      </c>
      <c r="AB29" s="32">
        <v>0</v>
      </c>
      <c r="AC29" s="20">
        <f t="shared" si="29"/>
        <v>3661.64513882579</v>
      </c>
    </row>
    <row r="30" s="1" customFormat="1" ht="15" spans="1:30">
      <c r="A30" s="113">
        <v>0.418</v>
      </c>
      <c r="B30" s="109" t="s">
        <v>95</v>
      </c>
      <c r="C30" s="117">
        <f>25%+15%</f>
        <v>0.4</v>
      </c>
      <c r="D30" s="109" t="s">
        <v>103</v>
      </c>
      <c r="E30" s="49">
        <f>48%</f>
        <v>0.48</v>
      </c>
      <c r="F30" s="109" t="s">
        <v>95</v>
      </c>
      <c r="G30" s="111">
        <f>M29</f>
        <v>0.486</v>
      </c>
      <c r="H30" s="109"/>
      <c r="I30" s="111"/>
      <c r="J30" s="114"/>
      <c r="K30" s="111"/>
      <c r="L30" s="109" t="s">
        <v>104</v>
      </c>
      <c r="M30" s="111">
        <f>8.6%*2</f>
        <v>0.172</v>
      </c>
      <c r="O30" s="116">
        <v>1</v>
      </c>
      <c r="P30" s="115" t="s">
        <v>105</v>
      </c>
      <c r="Q30" s="44">
        <f>39.77%*4</f>
        <v>1.5908</v>
      </c>
      <c r="R30" s="56" t="s">
        <v>69</v>
      </c>
      <c r="S30" s="82">
        <f t="shared" si="22"/>
        <v>1225</v>
      </c>
      <c r="T30" s="83">
        <f t="shared" si="23"/>
        <v>0.96</v>
      </c>
      <c r="U30" s="83">
        <f t="shared" si="24"/>
        <v>0.48</v>
      </c>
      <c r="V30" s="84">
        <f t="shared" si="25"/>
        <v>1.3752</v>
      </c>
      <c r="W30" s="85">
        <f t="shared" si="26"/>
        <v>0.35</v>
      </c>
      <c r="X30" s="84">
        <f t="shared" si="27"/>
        <v>0.488431876606684</v>
      </c>
      <c r="Y30" s="56">
        <f t="shared" si="28"/>
        <v>0.8</v>
      </c>
      <c r="Z30" s="86">
        <v>0</v>
      </c>
      <c r="AA30" s="86">
        <v>0</v>
      </c>
      <c r="AB30" s="32">
        <v>0</v>
      </c>
      <c r="AC30" s="20">
        <f t="shared" si="29"/>
        <v>2092.21834231675</v>
      </c>
      <c r="AD30"/>
    </row>
    <row r="31" s="1" customFormat="1" ht="15" spans="1:30">
      <c r="A31" s="118">
        <v>0.2</v>
      </c>
      <c r="B31" s="109" t="s">
        <v>106</v>
      </c>
      <c r="C31" s="117"/>
      <c r="D31" s="109" t="s">
        <v>107</v>
      </c>
      <c r="E31" s="119"/>
      <c r="F31" s="109" t="s">
        <v>108</v>
      </c>
      <c r="G31" s="111"/>
      <c r="H31" s="109" t="s">
        <v>108</v>
      </c>
      <c r="I31" s="111"/>
      <c r="J31" s="114"/>
      <c r="K31" s="111"/>
      <c r="L31" s="109"/>
      <c r="M31" s="111"/>
      <c r="O31" s="116">
        <v>1</v>
      </c>
      <c r="P31" s="115" t="s">
        <v>109</v>
      </c>
      <c r="Q31" s="44">
        <v>3.51</v>
      </c>
      <c r="R31" s="56" t="s">
        <v>26</v>
      </c>
      <c r="S31" s="82">
        <f t="shared" si="22"/>
        <v>1225</v>
      </c>
      <c r="T31" s="83">
        <f t="shared" si="23"/>
        <v>0.96</v>
      </c>
      <c r="U31" s="83">
        <f t="shared" si="24"/>
        <v>0.48</v>
      </c>
      <c r="V31" s="84">
        <f t="shared" si="25"/>
        <v>1.3752</v>
      </c>
      <c r="W31" s="85">
        <f t="shared" si="26"/>
        <v>0.35</v>
      </c>
      <c r="X31" s="84">
        <f t="shared" si="27"/>
        <v>0.488431876606684</v>
      </c>
      <c r="Y31" s="56">
        <f t="shared" si="28"/>
        <v>0.8</v>
      </c>
      <c r="Z31" s="86">
        <v>0</v>
      </c>
      <c r="AA31" s="86">
        <v>0</v>
      </c>
      <c r="AB31" s="32">
        <v>0</v>
      </c>
      <c r="AC31" s="20">
        <f t="shared" si="29"/>
        <v>4616.3479893964</v>
      </c>
    </row>
    <row r="32" s="1" customFormat="1" ht="15" spans="1:30">
      <c r="A32" s="104"/>
      <c r="B32" s="109" t="s">
        <v>54</v>
      </c>
      <c r="C32" s="110">
        <v>350</v>
      </c>
      <c r="D32" s="109" t="s">
        <v>110</v>
      </c>
      <c r="E32" s="49"/>
      <c r="F32" s="120" t="s">
        <v>59</v>
      </c>
      <c r="G32" s="121">
        <f>MIN(100%,SUM(G27:G31))</f>
        <v>0.536</v>
      </c>
      <c r="H32" s="120" t="s">
        <v>60</v>
      </c>
      <c r="I32" s="122">
        <f>SUM(I27:I31)</f>
        <v>1.7</v>
      </c>
      <c r="J32" s="114"/>
      <c r="K32" s="111"/>
      <c r="L32" s="109"/>
      <c r="M32" s="110"/>
      <c r="O32" s="116">
        <v>1</v>
      </c>
      <c r="P32" s="115" t="s">
        <v>111</v>
      </c>
      <c r="Q32" s="44">
        <v>5.2233</v>
      </c>
      <c r="R32" s="56" t="s">
        <v>1</v>
      </c>
      <c r="S32" s="82">
        <f>A34</f>
        <v>3551.269</v>
      </c>
      <c r="T32" s="83">
        <v>0</v>
      </c>
      <c r="U32" s="83">
        <f>E$30+M30</f>
        <v>0.652</v>
      </c>
      <c r="V32" s="84">
        <f>I32+1.6</f>
        <v>3.3</v>
      </c>
      <c r="W32" s="85">
        <f t="shared" si="26"/>
        <v>0.35</v>
      </c>
      <c r="X32" s="84">
        <f t="shared" si="27"/>
        <v>0.488431876606684</v>
      </c>
      <c r="Y32" s="56">
        <f t="shared" si="28"/>
        <v>0.8</v>
      </c>
      <c r="Z32" s="86">
        <v>0</v>
      </c>
      <c r="AA32" s="86">
        <v>0</v>
      </c>
      <c r="AB32" s="32">
        <v>0</v>
      </c>
      <c r="AC32" s="20">
        <f t="shared" si="29"/>
        <v>9388.07878511568</v>
      </c>
    </row>
    <row r="33" s="1" customFormat="1" ht="15" spans="1:29">
      <c r="A33" s="104"/>
      <c r="B33" s="123" t="s">
        <v>58</v>
      </c>
      <c r="C33" s="124"/>
      <c r="D33" s="123" t="s">
        <v>112</v>
      </c>
      <c r="E33" s="125"/>
      <c r="F33" s="123"/>
      <c r="G33" s="126"/>
      <c r="H33" s="123"/>
      <c r="I33" s="124"/>
      <c r="J33" s="127"/>
      <c r="K33" s="126"/>
      <c r="L33" s="123"/>
      <c r="M33" s="124"/>
      <c r="N33" s="128"/>
      <c r="O33" s="129">
        <v>1</v>
      </c>
      <c r="P33" s="115" t="s">
        <v>113</v>
      </c>
      <c r="Q33" s="55">
        <f>258.46%</f>
        <v>2.5846</v>
      </c>
      <c r="R33" s="95" t="s">
        <v>69</v>
      </c>
      <c r="S33" s="96">
        <f>C$34</f>
        <v>1225</v>
      </c>
      <c r="T33" s="97">
        <f>S33/$C$27-1</f>
        <v>0.96</v>
      </c>
      <c r="U33" s="97">
        <f>E$30</f>
        <v>0.48</v>
      </c>
      <c r="V33" s="98">
        <f>1+$G$32*($I$32-1)</f>
        <v>1.3752</v>
      </c>
      <c r="W33" s="99">
        <f t="shared" si="26"/>
        <v>0.35</v>
      </c>
      <c r="X33" s="98">
        <f t="shared" si="27"/>
        <v>0.488431876606684</v>
      </c>
      <c r="Y33" s="95">
        <f t="shared" si="28"/>
        <v>0.8</v>
      </c>
      <c r="Z33" s="100">
        <v>0</v>
      </c>
      <c r="AA33" s="100">
        <v>0</v>
      </c>
      <c r="AB33" s="52">
        <v>0</v>
      </c>
      <c r="AC33" s="20">
        <f t="shared" si="29"/>
        <v>3399.2629667789</v>
      </c>
    </row>
    <row r="34" s="1" customFormat="1" spans="1:29">
      <c r="A34" s="104">
        <f>A27*(1+A28+A29+A30+A31)</f>
        <v>3551.269</v>
      </c>
      <c r="B34" s="130"/>
      <c r="C34" s="130">
        <f>C27*(1+C30)+C32</f>
        <v>1225</v>
      </c>
      <c r="D34" s="130"/>
      <c r="E34" s="130"/>
      <c r="F34" s="130" t="s">
        <v>114</v>
      </c>
      <c r="G34" s="131"/>
      <c r="H34" s="130"/>
      <c r="I34" s="130"/>
      <c r="J34" s="130"/>
      <c r="K34" s="130"/>
      <c r="L34" s="130"/>
      <c r="M34" s="130"/>
      <c r="N34" s="56"/>
      <c r="Q34" s="2"/>
      <c r="U34" s="2"/>
      <c r="V34" s="3"/>
      <c r="AB34" s="4"/>
      <c r="AC34" s="4"/>
    </row>
    <row r="35" s="1" customFormat="1" ht="15" spans="1:29">
      <c r="A35" s="132"/>
      <c r="B35" s="133"/>
      <c r="C35" s="133"/>
      <c r="D35" s="133"/>
      <c r="E35" s="133"/>
      <c r="F35" s="133"/>
      <c r="G35" s="134"/>
      <c r="N35" s="56"/>
      <c r="Q35" s="2"/>
      <c r="U35" s="2"/>
      <c r="V35" s="3"/>
      <c r="AB35" s="4"/>
      <c r="AC35" s="4"/>
    </row>
    <row r="36" s="1" customFormat="1" ht="15" spans="1:29">
      <c r="B36" s="135" t="s">
        <v>115</v>
      </c>
      <c r="G36" s="2"/>
      <c r="N36" s="56"/>
      <c r="Q36" s="2"/>
      <c r="U36" s="2"/>
      <c r="V36" s="3"/>
      <c r="AB36" s="4"/>
      <c r="AC36" s="4"/>
    </row>
    <row r="37" s="1" customFormat="1" spans="1:29">
      <c r="B37" s="136" t="s">
        <v>116</v>
      </c>
      <c r="C37" s="137" t="s">
        <v>117</v>
      </c>
      <c r="D37" s="137" t="s">
        <v>118</v>
      </c>
      <c r="E37" s="137" t="s">
        <v>119</v>
      </c>
      <c r="F37" s="137" t="s">
        <v>120</v>
      </c>
      <c r="G37" s="2"/>
      <c r="N37" s="56"/>
      <c r="Q37" s="2"/>
      <c r="U37" s="2"/>
      <c r="V37" s="3"/>
      <c r="AB37" s="4"/>
      <c r="AC37" s="4"/>
    </row>
    <row r="38" s="1" customFormat="1" ht="15" spans="1:29">
      <c r="B38" s="4" t="s">
        <v>3</v>
      </c>
      <c r="C38" s="138">
        <f>SUM(AC3:AC11)</f>
        <v>1217372.30502912</v>
      </c>
      <c r="D38" s="138">
        <f t="shared" ref="D38:D42" si="30">C38/$E$38</f>
        <v>48694.8922011649</v>
      </c>
      <c r="E38" s="139">
        <v>25</v>
      </c>
      <c r="F38" s="140">
        <f t="shared" ref="F38:F42" si="31">C38/$C$44</f>
        <v>0.572307475733187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67</v>
      </c>
      <c r="C39" s="138">
        <f>SUM(AC12:AC20)</f>
        <v>326497.525652941</v>
      </c>
      <c r="D39" s="138">
        <f t="shared" si="30"/>
        <v>13059.9010261176</v>
      </c>
      <c r="E39" s="141"/>
      <c r="F39" s="140">
        <f t="shared" si="31"/>
        <v>0.15349205330829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86</v>
      </c>
      <c r="C40" s="138">
        <f>SUM(AC28:AC33)+AC25</f>
        <v>43351.0573842819</v>
      </c>
      <c r="D40" s="138">
        <f t="shared" si="30"/>
        <v>1734.04229537127</v>
      </c>
      <c r="E40" s="142"/>
      <c r="F40" s="140">
        <f t="shared" si="31"/>
        <v>0.0203800711741749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83</v>
      </c>
      <c r="C41" s="138">
        <f>SUM(AC22:AC25)</f>
        <v>445876.821100257</v>
      </c>
      <c r="D41" s="138">
        <f t="shared" si="30"/>
        <v>17835.0728440103</v>
      </c>
      <c r="E41" s="142"/>
      <c r="F41" s="140">
        <f t="shared" si="31"/>
        <v>0.209614295411231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90</v>
      </c>
      <c r="C42" s="138">
        <f>AC26</f>
        <v>94032.1233933162</v>
      </c>
      <c r="D42" s="138">
        <f t="shared" si="30"/>
        <v>3761.28493573265</v>
      </c>
      <c r="E42" s="142"/>
      <c r="F42" s="140">
        <f t="shared" si="31"/>
        <v>0.0442061043731177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38"/>
      <c r="D43" s="138"/>
      <c r="E43" s="142"/>
      <c r="F43" s="140"/>
      <c r="G43" s="2"/>
      <c r="Q43" s="2"/>
      <c r="U43" s="2"/>
      <c r="V43" s="3"/>
      <c r="AB43" s="4"/>
      <c r="AC43" s="4"/>
    </row>
    <row r="44" s="1" customFormat="1" ht="15" spans="1:29">
      <c r="B44" s="4" t="s">
        <v>121</v>
      </c>
      <c r="C44" s="143">
        <f>SUM(C38:C42)</f>
        <v>2127129.83255992</v>
      </c>
      <c r="D44" s="143">
        <f>C44/E38</f>
        <v>85085.1933023967</v>
      </c>
      <c r="E44" s="144"/>
      <c r="F44" s="145"/>
      <c r="G44" s="146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47" t="s">
        <v>122</v>
      </c>
      <c r="C46" s="148" t="s">
        <v>123</v>
      </c>
      <c r="D46" s="148" t="s">
        <v>124</v>
      </c>
      <c r="E46" s="148"/>
      <c r="F46" s="149"/>
      <c r="G46" s="2"/>
      <c r="Q46" s="2"/>
      <c r="U46" s="2"/>
      <c r="V46" s="3"/>
      <c r="AB46" s="4"/>
      <c r="AC46" s="4"/>
    </row>
    <row r="47" s="1" customFormat="1" ht="15" spans="1:29">
      <c r="B47" s="150"/>
      <c r="C47" s="151"/>
      <c r="D47" s="151"/>
      <c r="E47" s="151"/>
      <c r="F47" s="152"/>
      <c r="Q47" s="2"/>
      <c r="U47" s="2"/>
      <c r="V47" s="3"/>
      <c r="AB47" s="4"/>
      <c r="AC47" s="4"/>
    </row>
    <row r="48" s="1" customFormat="1" spans="1:29">
      <c r="B48" s="153"/>
      <c r="C48" s="153"/>
      <c r="D48" s="153"/>
      <c r="E48" s="153"/>
      <c r="F48" s="153"/>
      <c r="G48" s="2"/>
      <c r="Q48" s="2"/>
      <c r="U48" s="2"/>
      <c r="V48" s="3"/>
      <c r="AB48" s="4"/>
      <c r="AC48" s="4"/>
    </row>
    <row r="49" s="1" customFormat="1" ht="15" spans="2:29 16251:16384">
      <c r="B49" s="154" t="s">
        <v>125</v>
      </c>
      <c r="C49" s="155" t="s">
        <v>3</v>
      </c>
      <c r="D49" s="155" t="s">
        <v>126</v>
      </c>
      <c r="E49" s="73"/>
      <c r="F49" s="156"/>
      <c r="G49" s="2"/>
      <c r="Q49" s="2"/>
      <c r="U49" s="2"/>
      <c r="V49" s="3"/>
      <c r="AB49" s="4"/>
      <c r="AC49" s="4"/>
    </row>
    <row r="50" s="1" customFormat="1" ht="15" spans="2:29 16251:16384">
      <c r="B50" s="157"/>
      <c r="C50" s="142" t="s">
        <v>67</v>
      </c>
      <c r="D50" s="142" t="s">
        <v>127</v>
      </c>
      <c r="F50" s="158"/>
      <c r="G50" s="2"/>
      <c r="Q50" s="2"/>
      <c r="U50" s="2"/>
      <c r="V50" s="3"/>
      <c r="AB50" s="4"/>
      <c r="AC50" s="4"/>
    </row>
    <row r="51" s="1" customFormat="1" ht="15" spans="2:29 16251:16384">
      <c r="B51" s="159"/>
      <c r="C51" s="160" t="s">
        <v>128</v>
      </c>
      <c r="D51" s="160" t="s">
        <v>129</v>
      </c>
      <c r="E51" s="95"/>
      <c r="F51" s="51"/>
      <c r="G51" s="2"/>
      <c r="Q51" s="2"/>
      <c r="U51" s="2"/>
      <c r="V51" s="3"/>
      <c r="AB51" s="4"/>
      <c r="AC51" s="4"/>
    </row>
    <row r="52" s="1" customFormat="1" spans="2:29 16251:16384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 16251:16384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 16251:16384">
      <c r="G54" s="2"/>
      <c r="Q54" s="2"/>
      <c r="U54" s="2"/>
      <c r="V54" s="3"/>
      <c r="AB54" s="4"/>
      <c r="AC54" s="4"/>
    </row>
    <row r="55" s="1" customFormat="1" spans="2:29 16251:16384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 16251:16384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 16251:16384">
      <c r="G57" s="2"/>
      <c r="Q57" s="2"/>
      <c r="U57" s="2"/>
      <c r="V57" s="3"/>
      <c r="AB57" s="4"/>
      <c r="AC57" s="4"/>
    </row>
    <row r="58" s="1" customFormat="1" spans="2:29 16251:16384">
      <c r="B58" s="4"/>
      <c r="C58" s="4"/>
      <c r="D58" s="4"/>
      <c r="F58" s="4"/>
      <c r="G58" s="2"/>
      <c r="Q58" s="2"/>
      <c r="U58" s="2"/>
      <c r="V58" s="3"/>
      <c r="AB58" s="4"/>
      <c r="AC58" s="4"/>
      <c r="XAA58" s="5"/>
      <c r="XAB58" s="5"/>
      <c r="XAC58" s="5"/>
      <c r="XAD58" s="5"/>
      <c r="XAE58" s="5"/>
      <c r="XAF58" s="5"/>
      <c r="XAG58" s="5"/>
      <c r="XAH58" s="5"/>
      <c r="XAI58" s="5"/>
      <c r="XAJ58" s="5"/>
      <c r="XAK58" s="5"/>
      <c r="XAL58" s="5"/>
      <c r="XAM58" s="5"/>
      <c r="XAN58" s="5"/>
      <c r="XAO58" s="5"/>
      <c r="XAP58" s="5"/>
      <c r="XAQ58" s="5"/>
      <c r="XAR58" s="5"/>
      <c r="XAS58" s="5"/>
      <c r="XAT58" s="5"/>
      <c r="XAU58" s="5"/>
      <c r="XAV58" s="5"/>
      <c r="XAW58" s="5"/>
      <c r="XAX58" s="5"/>
      <c r="XAY58" s="5"/>
      <c r="XAZ58" s="5"/>
      <c r="XBA58" s="5"/>
      <c r="XBB58" s="5"/>
      <c r="XBC58" s="5"/>
      <c r="XBD58" s="5"/>
      <c r="XBE58" s="5"/>
      <c r="XBF58" s="5"/>
      <c r="XBG58" s="5"/>
      <c r="XBH58" s="5"/>
      <c r="XBI58" s="5"/>
      <c r="XBJ58" s="5"/>
      <c r="XBK58" s="5"/>
      <c r="XBL58" s="5"/>
      <c r="XBM58" s="5"/>
      <c r="XBN58" s="5"/>
      <c r="XBO58" s="5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  <c r="XCI58" s="5"/>
      <c r="XCJ58" s="5"/>
      <c r="XCK58" s="5"/>
      <c r="XCL58" s="5"/>
      <c r="XCM58" s="5"/>
      <c r="XCN58" s="5"/>
      <c r="XCO58" s="5"/>
      <c r="XCP58" s="5"/>
      <c r="XCQ58" s="5"/>
      <c r="XCR58" s="5"/>
      <c r="XCS58" s="5"/>
      <c r="XCT58" s="5"/>
      <c r="XCU58" s="5"/>
      <c r="XCV58" s="5"/>
      <c r="XCW58" s="5"/>
      <c r="XCX58" s="5"/>
      <c r="XCY58" s="5"/>
      <c r="XCZ58" s="5"/>
      <c r="XDA58" s="5"/>
      <c r="XDB58" s="5"/>
      <c r="XDC58" s="5"/>
      <c r="XDD58" s="5"/>
      <c r="XDE58" s="5"/>
      <c r="XDF58" s="5"/>
      <c r="XDG58" s="5"/>
      <c r="XDH58" s="5"/>
      <c r="XDI58" s="5"/>
      <c r="XDJ58" s="5"/>
      <c r="XDK58" s="5"/>
      <c r="XDL58" s="5"/>
      <c r="XDM58" s="5"/>
      <c r="XDN58" s="5"/>
      <c r="XDO58" s="5"/>
      <c r="XDP58" s="5"/>
      <c r="XDQ58" s="5"/>
      <c r="XDR58" s="5"/>
      <c r="XDS58" s="5"/>
      <c r="XDT58" s="5"/>
      <c r="XDU58" s="5"/>
      <c r="XDV58" s="5"/>
      <c r="XDW58" s="5"/>
      <c r="XDX58" s="5"/>
      <c r="XDY58" s="5"/>
      <c r="XDZ58" s="5"/>
      <c r="XEA58" s="5"/>
      <c r="XEB58" s="5"/>
      <c r="XEC58" s="5"/>
      <c r="XED58" s="5"/>
      <c r="XEE58" s="5"/>
      <c r="XEF58" s="5"/>
      <c r="XEG58" s="5"/>
      <c r="XEH58" s="5"/>
      <c r="XEI58" s="5"/>
      <c r="XEJ58" s="5"/>
      <c r="XEK58" s="5"/>
      <c r="XEL58" s="5"/>
      <c r="XEM58" s="5"/>
      <c r="XEN58" s="5"/>
      <c r="XEO58" s="5"/>
      <c r="XEP58" s="5"/>
      <c r="XEQ58" s="5"/>
      <c r="XER58" s="5"/>
      <c r="XES58" s="5"/>
      <c r="XET58" s="5"/>
      <c r="XEU58" s="5"/>
      <c r="XEV58" s="5"/>
      <c r="XEW58" s="5"/>
      <c r="XEX58" s="5"/>
      <c r="XEY58" s="5"/>
      <c r="XEZ58" s="5"/>
      <c r="XFA58" s="5"/>
      <c r="XFB58" s="5"/>
      <c r="XFC58" s="5"/>
      <c r="XFD58" s="5"/>
    </row>
    <row r="59" s="1" customFormat="1" spans="2:29 16251:16384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 16251:16384">
      <c r="B61" s="4"/>
      <c r="C61" s="4"/>
      <c r="D61" s="4"/>
      <c r="G61" s="2"/>
      <c r="Q61" s="2"/>
      <c r="U61" s="2"/>
      <c r="V61" s="3"/>
      <c r="AB61" s="4"/>
      <c r="AC61" s="4"/>
      <c r="XAA61" s="5"/>
      <c r="XAB61" s="5"/>
      <c r="XAC61" s="5"/>
      <c r="XAD61" s="5"/>
      <c r="XAE61" s="5"/>
      <c r="XAF61" s="5"/>
      <c r="XAG61" s="5"/>
      <c r="XAH61" s="5"/>
      <c r="XAI61" s="5"/>
      <c r="XAJ61" s="5"/>
      <c r="XAK61" s="5"/>
      <c r="XAL61" s="5"/>
      <c r="XAM61" s="5"/>
      <c r="XAN61" s="5"/>
      <c r="XAO61" s="5"/>
      <c r="XAP61" s="5"/>
      <c r="XAQ61" s="5"/>
      <c r="XAR61" s="5"/>
      <c r="XAS61" s="5"/>
      <c r="XAT61" s="5"/>
      <c r="XAU61" s="5"/>
      <c r="XAV61" s="5"/>
      <c r="XAW61" s="5"/>
      <c r="XAX61" s="5"/>
      <c r="XAY61" s="5"/>
      <c r="XAZ61" s="5"/>
      <c r="XBA61" s="5"/>
      <c r="XBB61" s="5"/>
      <c r="XBC61" s="5"/>
      <c r="XBD61" s="5"/>
      <c r="XBE61" s="5"/>
      <c r="XBF61" s="5"/>
      <c r="XBG61" s="5"/>
      <c r="XBH61" s="5"/>
      <c r="XBI61" s="5"/>
      <c r="XBJ61" s="5"/>
      <c r="XBK61" s="5"/>
      <c r="XBL61" s="5"/>
      <c r="XBM61" s="5"/>
      <c r="XBN61" s="5"/>
      <c r="XBO61" s="5"/>
      <c r="XBP61" s="5"/>
      <c r="XBQ61" s="5"/>
      <c r="XBR61" s="5"/>
      <c r="XBS61" s="5"/>
      <c r="XBT61" s="5"/>
      <c r="XBU61" s="5"/>
      <c r="XBV61" s="5"/>
      <c r="XBW61" s="5"/>
      <c r="XBX61" s="5"/>
      <c r="XBY61" s="5"/>
      <c r="XBZ61" s="5"/>
      <c r="XCA61" s="5"/>
      <c r="XCB61" s="5"/>
      <c r="XCC61" s="5"/>
      <c r="XCD61" s="5"/>
      <c r="XCE61" s="5"/>
      <c r="XCF61" s="5"/>
      <c r="XCG61" s="5"/>
      <c r="XCH61" s="5"/>
      <c r="XCI61" s="5"/>
      <c r="XCJ61" s="5"/>
      <c r="XCK61" s="5"/>
      <c r="XCL61" s="5"/>
      <c r="XCM61" s="5"/>
      <c r="XCN61" s="5"/>
      <c r="XCO61" s="5"/>
      <c r="XCP61" s="5"/>
      <c r="XCQ61" s="5"/>
      <c r="XCR61" s="5"/>
      <c r="XCS61" s="5"/>
      <c r="XCT61" s="5"/>
      <c r="XCU61" s="5"/>
      <c r="XCV61" s="5"/>
      <c r="XCW61" s="5"/>
      <c r="XCX61" s="5"/>
      <c r="XCY61" s="5"/>
      <c r="XCZ61" s="5"/>
      <c r="XDA61" s="5"/>
      <c r="XDB61" s="5"/>
      <c r="XDC61" s="5"/>
      <c r="XDD61" s="5"/>
      <c r="XDE61" s="5"/>
      <c r="XDF61" s="5"/>
      <c r="XDG61" s="5"/>
      <c r="XDH61" s="5"/>
      <c r="XDI61" s="5"/>
      <c r="XDJ61" s="5"/>
      <c r="XDK61" s="5"/>
      <c r="XDL61" s="5"/>
      <c r="XDM61" s="5"/>
      <c r="XDN61" s="5"/>
      <c r="XDO61" s="5"/>
      <c r="XDP61" s="5"/>
      <c r="XDQ61" s="5"/>
      <c r="XDR61" s="5"/>
      <c r="XDS61" s="5"/>
      <c r="XDT61" s="5"/>
      <c r="XDU61" s="5"/>
      <c r="XDV61" s="5"/>
      <c r="XDW61" s="5"/>
      <c r="XDX61" s="5"/>
      <c r="XDY61" s="5"/>
      <c r="XDZ61" s="5"/>
      <c r="XEA61" s="5"/>
      <c r="XEB61" s="5"/>
      <c r="XEC61" s="5"/>
      <c r="XED61" s="5"/>
      <c r="XEE61" s="5"/>
      <c r="XEF61" s="5"/>
      <c r="XEG61" s="5"/>
      <c r="XEH61" s="5"/>
      <c r="XEI61" s="5"/>
      <c r="XEJ61" s="5"/>
      <c r="XEK61" s="5"/>
      <c r="XEL61" s="5"/>
      <c r="XEM61" s="5"/>
      <c r="XEN61" s="5"/>
      <c r="XEO61" s="5"/>
      <c r="XEP61" s="5"/>
      <c r="XEQ61" s="5"/>
      <c r="XER61" s="5"/>
      <c r="XES61" s="5"/>
      <c r="XET61" s="5"/>
      <c r="XEU61" s="5"/>
      <c r="XEV61" s="5"/>
      <c r="XEW61" s="5"/>
      <c r="XEX61" s="5"/>
      <c r="XEY61" s="5"/>
      <c r="XEZ61" s="5"/>
      <c r="XFA61" s="5"/>
      <c r="XFB61" s="5"/>
      <c r="XFC61" s="5"/>
      <c r="XFD61" s="5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19" workbookViewId="0">
      <selection activeCell="C46" sqref="C4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4287" width="9.69090909090909" style="1"/>
    <col min="14288" max="16384" width="9.69090909090909" style="5"/>
  </cols>
  <sheetData>
    <row r="1" s="1" customFormat="1" spans="2:33">
      <c r="B1" s="6" t="s">
        <v>0</v>
      </c>
      <c r="C1" s="6" t="s">
        <v>1</v>
      </c>
      <c r="D1" s="7" t="s">
        <v>2</v>
      </c>
      <c r="E1" s="7">
        <v>1</v>
      </c>
      <c r="Q1" s="2"/>
      <c r="U1" s="2"/>
      <c r="V1" s="3"/>
      <c r="AB1" s="4"/>
      <c r="AC1" s="4"/>
    </row>
    <row r="2" s="1" customFormat="1" ht="15" spans="2:33">
      <c r="B2" s="8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10"/>
      <c r="O2" s="11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1" t="s">
        <v>9</v>
      </c>
      <c r="U2" s="12" t="s">
        <v>10</v>
      </c>
      <c r="V2" s="13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4" t="s">
        <v>17</v>
      </c>
      <c r="AC2" s="14" t="s">
        <v>18</v>
      </c>
      <c r="AD2" s="15" t="s">
        <v>19</v>
      </c>
      <c r="AE2" s="15" t="s">
        <v>20</v>
      </c>
      <c r="AF2" s="16" t="s">
        <v>13</v>
      </c>
      <c r="AG2" s="16" t="s">
        <v>21</v>
      </c>
    </row>
    <row r="3" s="1" customFormat="1" ht="15" spans="2:33">
      <c r="B3" s="17" t="s">
        <v>22</v>
      </c>
      <c r="C3" s="18"/>
      <c r="D3" s="17" t="s">
        <v>10</v>
      </c>
      <c r="E3" s="18"/>
      <c r="F3" s="17" t="s">
        <v>23</v>
      </c>
      <c r="G3" s="18"/>
      <c r="H3" s="17" t="s">
        <v>24</v>
      </c>
      <c r="I3" s="18"/>
      <c r="J3" s="17" t="s">
        <v>12</v>
      </c>
      <c r="K3" s="18"/>
      <c r="L3" s="17" t="s">
        <v>25</v>
      </c>
      <c r="M3" s="18"/>
      <c r="O3" s="19">
        <v>1</v>
      </c>
      <c r="P3" s="20" t="s">
        <v>26</v>
      </c>
      <c r="Q3" s="21">
        <v>2.736</v>
      </c>
      <c r="R3" s="22" t="s">
        <v>26</v>
      </c>
      <c r="S3" s="23">
        <f t="shared" ref="S3:S11" si="0">$C$4*(1+C$5+C$6+C$7+C$8)+C$9</f>
        <v>2882.024</v>
      </c>
      <c r="T3" s="24">
        <f t="shared" ref="T3:T11" si="1">S3/$C$4-1</f>
        <v>1.84784980237154</v>
      </c>
      <c r="U3" s="24">
        <f t="shared" ref="U3:U10" si="2">IF(R3=$C$1,SUM($E$4:$E$9),SUM($E$4:$E$8))</f>
        <v>1.7</v>
      </c>
      <c r="V3" s="25">
        <f t="shared" ref="V3:V11" si="3">1+$G$10*($I$10-1)</f>
        <v>3.2983</v>
      </c>
      <c r="W3" s="26">
        <f t="shared" ref="W3:W9" si="4">IF(R3=$C$1,$K$4+$K$5,$K$4)</f>
        <v>0.4</v>
      </c>
      <c r="X3" s="25">
        <f t="shared" ref="X3:X6" si="5">$AF$3</f>
        <v>0.488431876606684</v>
      </c>
      <c r="Y3" s="22">
        <f t="shared" ref="Y3:Y6" si="6">$AF$14</f>
        <v>0.8</v>
      </c>
      <c r="Z3" s="27">
        <v>0</v>
      </c>
      <c r="AA3" s="27">
        <v>0</v>
      </c>
      <c r="AB3" s="28">
        <v>0</v>
      </c>
      <c r="AC3" s="20">
        <f t="shared" ref="AC3:AC11" si="7">Q3*$C$4*(1+T3)*(1+U3)*V3*(1+W3)*X3*Y3*(1+Z3)*(1+AA3)*(1+AB3)*O3</f>
        <v>38414.0084299952</v>
      </c>
      <c r="AD3" s="15">
        <v>0</v>
      </c>
      <c r="AE3" s="15">
        <v>0</v>
      </c>
      <c r="AF3" s="16">
        <f t="shared" ref="AF3:AF8" si="8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425+587</f>
        <v>1012</v>
      </c>
      <c r="D4" s="30" t="s">
        <v>28</v>
      </c>
      <c r="E4" s="32">
        <f>E1*30%</f>
        <v>0.3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</f>
        <v>0.4</v>
      </c>
      <c r="L4" s="30" t="s">
        <v>31</v>
      </c>
      <c r="M4" s="33">
        <f>8.6%*2</f>
        <v>0.172</v>
      </c>
      <c r="O4" s="36">
        <v>1</v>
      </c>
      <c r="P4" s="20" t="s">
        <v>32</v>
      </c>
      <c r="Q4" s="37">
        <v>1.3458</v>
      </c>
      <c r="R4" s="38" t="s">
        <v>33</v>
      </c>
      <c r="S4" s="39">
        <f t="shared" si="0"/>
        <v>2882.024</v>
      </c>
      <c r="T4" s="40">
        <f t="shared" si="1"/>
        <v>1.84784980237154</v>
      </c>
      <c r="U4" s="40">
        <f t="shared" si="2"/>
        <v>1.7</v>
      </c>
      <c r="V4" s="25">
        <f t="shared" si="3"/>
        <v>3.2983</v>
      </c>
      <c r="W4" s="41">
        <f t="shared" si="4"/>
        <v>0.4</v>
      </c>
      <c r="X4" s="25">
        <f t="shared" si="5"/>
        <v>0.488431876606684</v>
      </c>
      <c r="Y4" s="38">
        <f t="shared" si="6"/>
        <v>0.8</v>
      </c>
      <c r="Z4" s="42">
        <v>0</v>
      </c>
      <c r="AA4" s="42">
        <v>0</v>
      </c>
      <c r="AB4" s="43">
        <v>0</v>
      </c>
      <c r="AC4" s="20">
        <f t="shared" si="7"/>
        <v>18895.3116027367</v>
      </c>
      <c r="AD4" s="15">
        <v>32</v>
      </c>
      <c r="AE4" s="15">
        <v>0</v>
      </c>
      <c r="AF4" s="16">
        <f>1520/(1520+(792+8*AG4)*(1-AE4/100)*(1-AD4/100))</f>
        <v>0.584040329521702</v>
      </c>
      <c r="AG4" s="29">
        <v>100</v>
      </c>
    </row>
    <row r="5" s="1" customFormat="1" ht="15" spans="2:33">
      <c r="B5" s="30" t="s">
        <v>34</v>
      </c>
      <c r="C5" s="32">
        <v>0.12</v>
      </c>
      <c r="D5" s="30" t="s">
        <v>35</v>
      </c>
      <c r="E5" s="32">
        <v>0.3</v>
      </c>
      <c r="F5" s="30" t="s">
        <v>36</v>
      </c>
      <c r="G5" s="33">
        <v>0.243</v>
      </c>
      <c r="H5" s="30" t="s">
        <v>36</v>
      </c>
      <c r="I5" s="33">
        <v>0</v>
      </c>
      <c r="J5" s="44" t="s">
        <v>37</v>
      </c>
      <c r="K5" s="35">
        <v>0.25</v>
      </c>
      <c r="L5" s="30" t="s">
        <v>38</v>
      </c>
      <c r="M5" s="33">
        <f>8.6%*2</f>
        <v>0.172</v>
      </c>
      <c r="O5" s="36">
        <v>1</v>
      </c>
      <c r="P5" s="20" t="s">
        <v>39</v>
      </c>
      <c r="Q5" s="37">
        <v>10.0402</v>
      </c>
      <c r="R5" s="38" t="s">
        <v>1</v>
      </c>
      <c r="S5" s="39">
        <f t="shared" si="0"/>
        <v>2882.024</v>
      </c>
      <c r="T5" s="40">
        <f t="shared" si="1"/>
        <v>1.84784980237154</v>
      </c>
      <c r="U5" s="40">
        <f t="shared" si="2"/>
        <v>2.122</v>
      </c>
      <c r="V5" s="25">
        <f t="shared" si="3"/>
        <v>3.2983</v>
      </c>
      <c r="W5" s="41">
        <f t="shared" si="4"/>
        <v>0.65</v>
      </c>
      <c r="X5" s="45">
        <f t="shared" ref="X5:X11" si="9">$AF$4</f>
        <v>0.584040329521702</v>
      </c>
      <c r="Y5" s="38">
        <f t="shared" ref="Y5:Y11" si="10">$AF$12</f>
        <v>0.9</v>
      </c>
      <c r="Z5" s="42">
        <v>0</v>
      </c>
      <c r="AA5" s="42">
        <v>0</v>
      </c>
      <c r="AB5" s="43">
        <v>0</v>
      </c>
      <c r="AC5" s="20">
        <f t="shared" si="7"/>
        <v>258423.676984528</v>
      </c>
      <c r="AD5" s="15">
        <v>0</v>
      </c>
      <c r="AE5" s="15">
        <v>30</v>
      </c>
      <c r="AF5" s="16">
        <f t="shared" si="8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0.832</v>
      </c>
      <c r="D6" s="30" t="s">
        <v>41</v>
      </c>
      <c r="E6" s="32">
        <v>0.12</v>
      </c>
      <c r="F6" s="30" t="s">
        <v>42</v>
      </c>
      <c r="G6" s="33">
        <v>0.2</v>
      </c>
      <c r="H6" s="30" t="s">
        <v>42</v>
      </c>
      <c r="I6" s="33">
        <v>0</v>
      </c>
      <c r="J6" s="44"/>
      <c r="K6" s="32"/>
      <c r="L6" s="30" t="s">
        <v>23</v>
      </c>
      <c r="M6" s="33">
        <f>8.1*5%</f>
        <v>0.405</v>
      </c>
      <c r="O6" s="36">
        <v>1</v>
      </c>
      <c r="P6" s="20" t="s">
        <v>43</v>
      </c>
      <c r="Q6" s="37">
        <v>3.4395</v>
      </c>
      <c r="R6" s="38" t="s">
        <v>44</v>
      </c>
      <c r="S6" s="39">
        <f t="shared" si="0"/>
        <v>2882.024</v>
      </c>
      <c r="T6" s="40">
        <f t="shared" si="1"/>
        <v>1.84784980237154</v>
      </c>
      <c r="U6" s="46">
        <f t="shared" si="2"/>
        <v>1.7</v>
      </c>
      <c r="V6" s="25">
        <f t="shared" si="3"/>
        <v>3.2983</v>
      </c>
      <c r="W6" s="41">
        <f t="shared" si="4"/>
        <v>0.4</v>
      </c>
      <c r="X6" s="25">
        <f t="shared" si="5"/>
        <v>0.488431876606684</v>
      </c>
      <c r="Y6" s="38">
        <f t="shared" si="6"/>
        <v>0.8</v>
      </c>
      <c r="Z6" s="42">
        <v>0</v>
      </c>
      <c r="AA6" s="42">
        <v>0</v>
      </c>
      <c r="AB6" s="43">
        <v>0</v>
      </c>
      <c r="AC6" s="20">
        <f t="shared" si="7"/>
        <v>48291.2945888043</v>
      </c>
      <c r="AD6" s="15">
        <v>0</v>
      </c>
      <c r="AE6" s="15">
        <v>21.6</v>
      </c>
      <c r="AF6" s="16">
        <f t="shared" si="8"/>
        <v>0.549107555719967</v>
      </c>
      <c r="AG6" s="29">
        <v>100</v>
      </c>
    </row>
    <row r="7" s="1" customFormat="1" ht="15" spans="2:33">
      <c r="B7" s="30" t="s">
        <v>45</v>
      </c>
      <c r="C7" s="33"/>
      <c r="D7" s="30" t="s">
        <v>46</v>
      </c>
      <c r="E7" s="32">
        <f>58%+40%</f>
        <v>0.98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4"/>
      <c r="K7" s="32"/>
      <c r="L7" s="30" t="s">
        <v>47</v>
      </c>
      <c r="M7" s="32">
        <f>16.2%*5</f>
        <v>0.81</v>
      </c>
      <c r="O7" s="36">
        <v>1</v>
      </c>
      <c r="P7" s="20" t="s">
        <v>48</v>
      </c>
      <c r="Q7" s="37">
        <v>3.579</v>
      </c>
      <c r="R7" s="38" t="s">
        <v>1</v>
      </c>
      <c r="S7" s="39">
        <f t="shared" si="0"/>
        <v>2882.024</v>
      </c>
      <c r="T7" s="40">
        <f t="shared" si="1"/>
        <v>1.84784980237154</v>
      </c>
      <c r="U7" s="46">
        <f t="shared" si="2"/>
        <v>2.122</v>
      </c>
      <c r="V7" s="25">
        <f t="shared" si="3"/>
        <v>3.2983</v>
      </c>
      <c r="W7" s="41">
        <f t="shared" si="4"/>
        <v>0.65</v>
      </c>
      <c r="X7" s="45">
        <f t="shared" si="9"/>
        <v>0.584040329521702</v>
      </c>
      <c r="Y7" s="38">
        <f t="shared" si="10"/>
        <v>0.9</v>
      </c>
      <c r="Z7" s="42">
        <v>0</v>
      </c>
      <c r="AA7" s="42">
        <v>0</v>
      </c>
      <c r="AB7" s="43">
        <v>0</v>
      </c>
      <c r="AC7" s="20">
        <f t="shared" si="7"/>
        <v>92119.5135482984</v>
      </c>
      <c r="AD7" s="15">
        <v>0</v>
      </c>
      <c r="AE7" s="15">
        <v>28.8</v>
      </c>
      <c r="AF7" s="16">
        <f t="shared" si="8"/>
        <v>0.572827476423627</v>
      </c>
      <c r="AG7" s="29">
        <v>100</v>
      </c>
    </row>
    <row r="8" s="1" customFormat="1" ht="15" spans="2:33">
      <c r="B8" s="30" t="s">
        <v>49</v>
      </c>
      <c r="C8" s="47">
        <f>25%+30%</f>
        <v>0.55</v>
      </c>
      <c r="D8" s="30" t="s">
        <v>50</v>
      </c>
      <c r="E8" s="48"/>
      <c r="F8" s="30" t="s">
        <v>51</v>
      </c>
      <c r="G8" s="33">
        <v>0</v>
      </c>
      <c r="H8" s="30" t="s">
        <v>52</v>
      </c>
      <c r="I8" s="33">
        <v>0.6</v>
      </c>
      <c r="J8" s="44"/>
      <c r="K8" s="32"/>
      <c r="L8" s="30"/>
      <c r="M8" s="31"/>
      <c r="O8" s="36">
        <v>1</v>
      </c>
      <c r="P8" s="20" t="s">
        <v>53</v>
      </c>
      <c r="Q8" s="37">
        <v>3.4395</v>
      </c>
      <c r="R8" s="38" t="s">
        <v>44</v>
      </c>
      <c r="S8" s="39">
        <f t="shared" si="0"/>
        <v>2882.024</v>
      </c>
      <c r="T8" s="40">
        <f t="shared" si="1"/>
        <v>1.84784980237154</v>
      </c>
      <c r="U8" s="46">
        <f t="shared" si="2"/>
        <v>1.7</v>
      </c>
      <c r="V8" s="25">
        <f t="shared" si="3"/>
        <v>3.2983</v>
      </c>
      <c r="W8" s="41">
        <f t="shared" si="4"/>
        <v>0.4</v>
      </c>
      <c r="X8" s="25">
        <f t="shared" ref="X8:X20" si="11">$AF$3</f>
        <v>0.488431876606684</v>
      </c>
      <c r="Y8" s="38">
        <f>$AF$14</f>
        <v>0.8</v>
      </c>
      <c r="Z8" s="42">
        <v>0</v>
      </c>
      <c r="AA8" s="42">
        <v>0</v>
      </c>
      <c r="AB8" s="43">
        <v>0</v>
      </c>
      <c r="AC8" s="20">
        <f t="shared" si="7"/>
        <v>48291.2945888043</v>
      </c>
      <c r="AD8" s="15">
        <v>0</v>
      </c>
      <c r="AE8" s="15">
        <v>36</v>
      </c>
      <c r="AF8" s="16">
        <f t="shared" si="8"/>
        <v>0.598689185782707</v>
      </c>
      <c r="AG8" s="29">
        <v>100</v>
      </c>
    </row>
    <row r="9" s="1" customFormat="1" ht="15" spans="2:33">
      <c r="B9" s="30" t="s">
        <v>54</v>
      </c>
      <c r="C9" s="31">
        <v>350</v>
      </c>
      <c r="D9" s="30" t="s">
        <v>55</v>
      </c>
      <c r="E9" s="49">
        <f>25%+M5</f>
        <v>0.422</v>
      </c>
      <c r="F9" s="30" t="s">
        <v>56</v>
      </c>
      <c r="G9" s="33"/>
      <c r="H9" s="30" t="s">
        <v>56</v>
      </c>
      <c r="I9" s="33"/>
      <c r="J9" s="44"/>
      <c r="K9" s="32"/>
      <c r="L9" s="30"/>
      <c r="M9" s="31"/>
      <c r="O9" s="36">
        <v>1</v>
      </c>
      <c r="P9" s="20" t="s">
        <v>57</v>
      </c>
      <c r="Q9" s="37">
        <v>3.579</v>
      </c>
      <c r="R9" s="38" t="s">
        <v>1</v>
      </c>
      <c r="S9" s="39">
        <f t="shared" si="0"/>
        <v>2882.024</v>
      </c>
      <c r="T9" s="40">
        <f t="shared" si="1"/>
        <v>1.84784980237154</v>
      </c>
      <c r="U9" s="46">
        <f t="shared" si="2"/>
        <v>2.122</v>
      </c>
      <c r="V9" s="25">
        <f t="shared" si="3"/>
        <v>3.2983</v>
      </c>
      <c r="W9" s="41">
        <f t="shared" si="4"/>
        <v>0.65</v>
      </c>
      <c r="X9" s="45">
        <f t="shared" si="9"/>
        <v>0.584040329521702</v>
      </c>
      <c r="Y9" s="38">
        <f t="shared" si="10"/>
        <v>0.9</v>
      </c>
      <c r="Z9" s="42">
        <v>0</v>
      </c>
      <c r="AA9" s="42">
        <v>0</v>
      </c>
      <c r="AB9" s="43">
        <v>0</v>
      </c>
      <c r="AC9" s="20">
        <f t="shared" si="7"/>
        <v>92119.5135482984</v>
      </c>
    </row>
    <row r="10" s="1" customFormat="1" ht="15" spans="2:33">
      <c r="B10" s="50" t="s">
        <v>58</v>
      </c>
      <c r="C10" s="51"/>
      <c r="D10" s="50"/>
      <c r="E10" s="52"/>
      <c r="F10" s="53" t="s">
        <v>59</v>
      </c>
      <c r="G10" s="54">
        <f>MIN(100%,SUM(G4:G9))</f>
        <v>0.978</v>
      </c>
      <c r="H10" s="53" t="s">
        <v>60</v>
      </c>
      <c r="I10" s="54">
        <f>SUM(I4:I9)</f>
        <v>3.35</v>
      </c>
      <c r="J10" s="55"/>
      <c r="K10" s="52"/>
      <c r="L10" s="50"/>
      <c r="M10" s="51"/>
      <c r="O10" s="36">
        <v>1</v>
      </c>
      <c r="P10" s="20" t="s">
        <v>61</v>
      </c>
      <c r="Q10" s="37">
        <v>2.32</v>
      </c>
      <c r="R10" s="38" t="s">
        <v>1</v>
      </c>
      <c r="S10" s="39">
        <f t="shared" si="0"/>
        <v>2882.024</v>
      </c>
      <c r="T10" s="40">
        <f t="shared" si="1"/>
        <v>1.84784980237154</v>
      </c>
      <c r="U10" s="46">
        <f t="shared" si="2"/>
        <v>2.122</v>
      </c>
      <c r="V10" s="25">
        <f t="shared" si="3"/>
        <v>3.2983</v>
      </c>
      <c r="W10" s="41">
        <f>IF(R10=$C$1,$K$4+$K$5,$K$4)+2</f>
        <v>2.65</v>
      </c>
      <c r="X10" s="45">
        <f t="shared" si="9"/>
        <v>0.584040329521702</v>
      </c>
      <c r="Y10" s="38">
        <f t="shared" si="10"/>
        <v>0.9</v>
      </c>
      <c r="Z10" s="42">
        <v>0</v>
      </c>
      <c r="AA10" s="42">
        <v>0</v>
      </c>
      <c r="AB10" s="43">
        <v>0</v>
      </c>
      <c r="AC10" s="20">
        <f t="shared" si="7"/>
        <v>132095.140969966</v>
      </c>
    </row>
    <row r="11" s="1" customFormat="1" ht="15" spans="2:33">
      <c r="B11" s="56"/>
      <c r="C11" s="56"/>
      <c r="E11" s="57"/>
      <c r="F11" s="17" t="s">
        <v>62</v>
      </c>
      <c r="G11" s="58">
        <f>MAX(0,SUM(G4:G9)-1)</f>
        <v>0</v>
      </c>
      <c r="J11" s="2"/>
      <c r="K11" s="2"/>
      <c r="O11" s="59">
        <v>1</v>
      </c>
      <c r="P11" s="20" t="s">
        <v>63</v>
      </c>
      <c r="Q11" s="60">
        <v>17.8929</v>
      </c>
      <c r="R11" s="61" t="s">
        <v>1</v>
      </c>
      <c r="S11" s="62">
        <f t="shared" si="0"/>
        <v>2882.024</v>
      </c>
      <c r="T11" s="63">
        <f t="shared" si="1"/>
        <v>1.84784980237154</v>
      </c>
      <c r="U11" s="64">
        <f>IF(R11=$C$1,SUM($E$4:$E$9),SUM($E$4:$E$8))+$E$10</f>
        <v>2.122</v>
      </c>
      <c r="V11" s="65">
        <f t="shared" si="3"/>
        <v>3.2983</v>
      </c>
      <c r="W11" s="66">
        <f>IF(R11=$C$1,$K$4+$K$5,$K$4)+$K$6+0.25</f>
        <v>0.9</v>
      </c>
      <c r="X11" s="67">
        <f t="shared" si="9"/>
        <v>0.584040329521702</v>
      </c>
      <c r="Y11" s="61">
        <f t="shared" si="10"/>
        <v>0.9</v>
      </c>
      <c r="Z11" s="68">
        <v>0</v>
      </c>
      <c r="AA11" s="68">
        <v>0</v>
      </c>
      <c r="AB11" s="69">
        <v>0</v>
      </c>
      <c r="AC11" s="20">
        <f t="shared" si="7"/>
        <v>530322.836671808</v>
      </c>
      <c r="AE11"/>
      <c r="AF11"/>
    </row>
    <row r="12" s="1" customFormat="1" ht="15" spans="2:33">
      <c r="B12" s="56"/>
      <c r="C12" s="56"/>
      <c r="E12" s="57"/>
      <c r="G12" s="70"/>
      <c r="J12" s="2"/>
      <c r="K12" s="2"/>
      <c r="O12" s="19">
        <v>1</v>
      </c>
      <c r="P12" s="71" t="s">
        <v>64</v>
      </c>
      <c r="Q12" s="72">
        <v>2.248</v>
      </c>
      <c r="R12" s="73" t="s">
        <v>33</v>
      </c>
      <c r="S12" s="74">
        <f t="shared" ref="S12:S20" si="12">$C$16*(1+$C$17+$C$18+$C$19+$C$20)+($C$21+$C$22)</f>
        <v>2586.086</v>
      </c>
      <c r="T12" s="75">
        <f t="shared" ref="T12:T20" si="13">($C$17+$C$18+$C$19+$C$20)+($C$21+$C$22)/$C$16</f>
        <v>1.68544755970924</v>
      </c>
      <c r="U12" s="75">
        <f>IF(R12=$C$13,SUM($E$16:$E$21),SUM($E$16:$E$20))-12%</f>
        <v>1.41</v>
      </c>
      <c r="V12" s="76">
        <f t="shared" ref="V12:V20" si="14">1+$G$22*($I$22-1)</f>
        <v>2.3615</v>
      </c>
      <c r="W12" s="77">
        <f t="shared" ref="W12:W20" si="15">IF(R12=$C$1,$K$16+$K$17,$K$16)</f>
        <v>0.45</v>
      </c>
      <c r="X12" s="76">
        <f t="shared" si="11"/>
        <v>0.488431876606684</v>
      </c>
      <c r="Y12" s="73">
        <f t="shared" ref="Y12:Y20" si="16">$AF$15</f>
        <v>0.8</v>
      </c>
      <c r="Z12" s="78">
        <v>0</v>
      </c>
      <c r="AA12" s="78">
        <v>0</v>
      </c>
      <c r="AB12" s="35">
        <v>0</v>
      </c>
      <c r="AC12" s="79">
        <f t="shared" ref="AC12:AC20" si="17">Q12*$C$16*(1+T12)*(1+U12)*V12*(1+W12)*X12*Y12*(1+Z12)*(1+AA12)*(1+AB12)*O12</f>
        <v>18745.8980785482</v>
      </c>
      <c r="AE12" s="80" t="s">
        <v>1</v>
      </c>
      <c r="AF12" s="81">
        <v>0.9</v>
      </c>
    </row>
    <row r="13" s="1" customFormat="1" ht="15" spans="2:33">
      <c r="B13" s="6" t="s">
        <v>0</v>
      </c>
      <c r="C13" s="6" t="s">
        <v>44</v>
      </c>
      <c r="D13" s="7" t="s">
        <v>2</v>
      </c>
      <c r="E13" s="7">
        <v>1</v>
      </c>
      <c r="O13" s="36">
        <v>1</v>
      </c>
      <c r="P13" s="71" t="s">
        <v>65</v>
      </c>
      <c r="Q13" s="44">
        <v>8.748</v>
      </c>
      <c r="R13" s="56" t="s">
        <v>1</v>
      </c>
      <c r="S13" s="82">
        <f t="shared" si="12"/>
        <v>2586.086</v>
      </c>
      <c r="T13" s="83">
        <f t="shared" si="13"/>
        <v>1.68544755970924</v>
      </c>
      <c r="U13" s="83">
        <f>IF(R13=$C$13,SUM($E$16:$E$21),SUM($E$16:$E$20))-12%</f>
        <v>1.41</v>
      </c>
      <c r="V13" s="84">
        <f t="shared" si="14"/>
        <v>2.3615</v>
      </c>
      <c r="W13" s="85">
        <f t="shared" si="15"/>
        <v>0.45</v>
      </c>
      <c r="X13" s="84">
        <f t="shared" si="11"/>
        <v>0.488431876606684</v>
      </c>
      <c r="Y13" s="73">
        <f t="shared" si="16"/>
        <v>0.8</v>
      </c>
      <c r="Z13" s="86">
        <v>0</v>
      </c>
      <c r="AA13" s="86">
        <v>0</v>
      </c>
      <c r="AB13" s="32">
        <v>0</v>
      </c>
      <c r="AC13" s="79">
        <f t="shared" si="17"/>
        <v>72948.8951917883</v>
      </c>
      <c r="AE13" s="87" t="s">
        <v>66</v>
      </c>
      <c r="AF13" s="87">
        <v>0.8</v>
      </c>
    </row>
    <row r="14" s="1" customFormat="1" ht="15" spans="2:33">
      <c r="B14" s="88" t="s">
        <v>67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O14" s="36">
        <v>1</v>
      </c>
      <c r="P14" s="71" t="s">
        <v>68</v>
      </c>
      <c r="Q14" s="44">
        <v>2.7863</v>
      </c>
      <c r="R14" s="56" t="s">
        <v>69</v>
      </c>
      <c r="S14" s="82">
        <f t="shared" si="12"/>
        <v>2586.086</v>
      </c>
      <c r="T14" s="83">
        <f t="shared" si="13"/>
        <v>1.68544755970924</v>
      </c>
      <c r="U14" s="83">
        <f>IF(R14=$C$13,SUM($E$16:$E$21),SUM($E$16:$E$20))-6%</f>
        <v>1.47</v>
      </c>
      <c r="V14" s="84">
        <f t="shared" si="14"/>
        <v>2.3615</v>
      </c>
      <c r="W14" s="85">
        <f t="shared" si="15"/>
        <v>0.45</v>
      </c>
      <c r="X14" s="84">
        <f t="shared" si="11"/>
        <v>0.488431876606684</v>
      </c>
      <c r="Y14" s="73">
        <f t="shared" si="16"/>
        <v>0.8</v>
      </c>
      <c r="Z14" s="86">
        <v>0</v>
      </c>
      <c r="AA14" s="86">
        <v>0</v>
      </c>
      <c r="AB14" s="32">
        <v>0</v>
      </c>
      <c r="AC14" s="79">
        <f t="shared" si="17"/>
        <v>23813.1983923302</v>
      </c>
      <c r="AE14" s="89" t="s">
        <v>70</v>
      </c>
      <c r="AF14" s="89">
        <v>0.8</v>
      </c>
    </row>
    <row r="15" s="1" customFormat="1" ht="15" spans="2:33">
      <c r="B15" s="90" t="s">
        <v>22</v>
      </c>
      <c r="C15" s="90"/>
      <c r="D15" s="90" t="s">
        <v>10</v>
      </c>
      <c r="E15" s="90"/>
      <c r="F15" s="90" t="s">
        <v>23</v>
      </c>
      <c r="G15" s="90"/>
      <c r="H15" s="90" t="s">
        <v>24</v>
      </c>
      <c r="I15" s="90"/>
      <c r="J15" s="90" t="s">
        <v>12</v>
      </c>
      <c r="K15" s="90"/>
      <c r="L15" s="90" t="s">
        <v>25</v>
      </c>
      <c r="M15" s="90"/>
      <c r="O15" s="36">
        <v>1</v>
      </c>
      <c r="P15" s="71" t="s">
        <v>71</v>
      </c>
      <c r="Q15" s="44">
        <v>5.5556</v>
      </c>
      <c r="R15" s="56" t="s">
        <v>44</v>
      </c>
      <c r="S15" s="82">
        <f t="shared" si="12"/>
        <v>2586.086</v>
      </c>
      <c r="T15" s="83">
        <f t="shared" si="13"/>
        <v>1.68544755970924</v>
      </c>
      <c r="U15" s="83">
        <f t="shared" ref="U15:U20" si="18">IF(R15=$C$13,SUM($E$16:$E$21),SUM($E$16:$E$20))</f>
        <v>1.976</v>
      </c>
      <c r="V15" s="84">
        <f t="shared" si="14"/>
        <v>2.3615</v>
      </c>
      <c r="W15" s="85">
        <f t="shared" si="15"/>
        <v>0.45</v>
      </c>
      <c r="X15" s="84">
        <f t="shared" si="11"/>
        <v>0.488431876606684</v>
      </c>
      <c r="Y15" s="73">
        <f t="shared" si="16"/>
        <v>0.8</v>
      </c>
      <c r="Z15" s="86">
        <v>0</v>
      </c>
      <c r="AA15" s="86">
        <v>0</v>
      </c>
      <c r="AB15" s="32">
        <v>0</v>
      </c>
      <c r="AC15" s="79">
        <f t="shared" si="17"/>
        <v>57208.0043529303</v>
      </c>
      <c r="AE15" s="91" t="s">
        <v>72</v>
      </c>
      <c r="AF15" s="91">
        <v>0.8</v>
      </c>
    </row>
    <row r="16" s="1" customFormat="1" ht="15" spans="2:33">
      <c r="B16" s="92" t="s">
        <v>27</v>
      </c>
      <c r="C16" s="31">
        <f>375+588</f>
        <v>963</v>
      </c>
      <c r="D16" s="92" t="s">
        <v>28</v>
      </c>
      <c r="E16" s="35">
        <f>E13*30%</f>
        <v>0.3</v>
      </c>
      <c r="F16" s="92" t="s">
        <v>29</v>
      </c>
      <c r="G16" s="93">
        <v>0.13</v>
      </c>
      <c r="H16" s="92" t="s">
        <v>29</v>
      </c>
      <c r="I16" s="93">
        <v>1.5</v>
      </c>
      <c r="J16" s="34" t="s">
        <v>30</v>
      </c>
      <c r="K16" s="35">
        <f>25%+20%</f>
        <v>0.45</v>
      </c>
      <c r="L16" s="92" t="s">
        <v>31</v>
      </c>
      <c r="M16" s="93">
        <f>8.6%*2</f>
        <v>0.172</v>
      </c>
      <c r="O16" s="36">
        <v>1</v>
      </c>
      <c r="P16" s="71" t="s">
        <v>73</v>
      </c>
      <c r="Q16" s="44">
        <v>3.076</v>
      </c>
      <c r="R16" s="56" t="s">
        <v>44</v>
      </c>
      <c r="S16" s="82">
        <f t="shared" si="12"/>
        <v>2586.086</v>
      </c>
      <c r="T16" s="83">
        <f t="shared" si="13"/>
        <v>1.68544755970924</v>
      </c>
      <c r="U16" s="83">
        <f t="shared" si="18"/>
        <v>1.976</v>
      </c>
      <c r="V16" s="84">
        <f t="shared" si="14"/>
        <v>2.3615</v>
      </c>
      <c r="W16" s="85">
        <f t="shared" si="15"/>
        <v>0.45</v>
      </c>
      <c r="X16" s="84">
        <f t="shared" si="11"/>
        <v>0.488431876606684</v>
      </c>
      <c r="Y16" s="73">
        <f t="shared" si="16"/>
        <v>0.8</v>
      </c>
      <c r="Z16" s="86">
        <v>0</v>
      </c>
      <c r="AA16" s="86">
        <v>0</v>
      </c>
      <c r="AB16" s="32">
        <v>0</v>
      </c>
      <c r="AC16" s="79">
        <f t="shared" si="17"/>
        <v>31674.6744527348</v>
      </c>
    </row>
    <row r="17" s="1" customFormat="1" ht="15" spans="1:30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4" t="s">
        <v>74</v>
      </c>
      <c r="K17" s="32"/>
      <c r="L17" s="30" t="s">
        <v>75</v>
      </c>
      <c r="M17" s="33">
        <f>1*8.6%</f>
        <v>0.086</v>
      </c>
      <c r="O17" s="36">
        <v>1</v>
      </c>
      <c r="P17" s="71" t="s">
        <v>76</v>
      </c>
      <c r="Q17" s="44">
        <v>12.1672</v>
      </c>
      <c r="R17" s="56" t="s">
        <v>44</v>
      </c>
      <c r="S17" s="82">
        <f t="shared" si="12"/>
        <v>2586.086</v>
      </c>
      <c r="T17" s="83">
        <f t="shared" si="13"/>
        <v>1.68544755970924</v>
      </c>
      <c r="U17" s="83">
        <f t="shared" si="18"/>
        <v>1.976</v>
      </c>
      <c r="V17" s="84">
        <f t="shared" si="14"/>
        <v>2.3615</v>
      </c>
      <c r="W17" s="85">
        <f t="shared" si="15"/>
        <v>0.45</v>
      </c>
      <c r="X17" s="84">
        <f t="shared" si="11"/>
        <v>0.488431876606684</v>
      </c>
      <c r="Y17" s="73">
        <f t="shared" si="16"/>
        <v>0.8</v>
      </c>
      <c r="Z17" s="86">
        <v>0</v>
      </c>
      <c r="AA17" s="86">
        <v>0</v>
      </c>
      <c r="AB17" s="32">
        <v>0</v>
      </c>
      <c r="AC17" s="79">
        <f t="shared" si="17"/>
        <v>125290.019181182</v>
      </c>
    </row>
    <row r="18" s="1" customFormat="1" ht="15" spans="1:30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4"/>
      <c r="K18" s="33"/>
      <c r="L18" s="30" t="s">
        <v>23</v>
      </c>
      <c r="M18" s="33">
        <f>8.1*5%</f>
        <v>0.405</v>
      </c>
      <c r="O18" s="36">
        <v>1</v>
      </c>
      <c r="P18" s="71" t="s">
        <v>77</v>
      </c>
      <c r="Q18" s="44">
        <v>2.3262</v>
      </c>
      <c r="R18" s="56" t="s">
        <v>69</v>
      </c>
      <c r="S18" s="82">
        <f t="shared" si="12"/>
        <v>2586.086</v>
      </c>
      <c r="T18" s="83">
        <f t="shared" si="13"/>
        <v>1.68544755970924</v>
      </c>
      <c r="U18" s="83">
        <f t="shared" si="18"/>
        <v>1.53</v>
      </c>
      <c r="V18" s="84">
        <f t="shared" si="14"/>
        <v>2.3615</v>
      </c>
      <c r="W18" s="85">
        <f t="shared" si="15"/>
        <v>0.45</v>
      </c>
      <c r="X18" s="84">
        <f t="shared" si="11"/>
        <v>0.488431876606684</v>
      </c>
      <c r="Y18" s="73">
        <f t="shared" si="16"/>
        <v>0.8</v>
      </c>
      <c r="Z18" s="86">
        <v>0</v>
      </c>
      <c r="AA18" s="86">
        <v>0</v>
      </c>
      <c r="AB18" s="32">
        <v>0</v>
      </c>
      <c r="AC18" s="79">
        <f t="shared" si="17"/>
        <v>20363.8774381482</v>
      </c>
    </row>
    <row r="19" s="1" customFormat="1" ht="15" spans="1:30">
      <c r="B19" s="30" t="s">
        <v>45</v>
      </c>
      <c r="C19" s="47"/>
      <c r="D19" s="30" t="s">
        <v>46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4"/>
      <c r="K19" s="33"/>
      <c r="L19" s="30" t="s">
        <v>47</v>
      </c>
      <c r="M19" s="32">
        <f>16.2%*5</f>
        <v>0.81</v>
      </c>
      <c r="O19" s="36">
        <v>1</v>
      </c>
      <c r="P19" s="71" t="s">
        <v>78</v>
      </c>
      <c r="Q19" s="44">
        <v>1</v>
      </c>
      <c r="R19" s="56" t="s">
        <v>79</v>
      </c>
      <c r="S19" s="82">
        <f t="shared" si="12"/>
        <v>2586.086</v>
      </c>
      <c r="T19" s="83">
        <f t="shared" si="13"/>
        <v>1.68544755970924</v>
      </c>
      <c r="U19" s="83">
        <f t="shared" si="18"/>
        <v>1.53</v>
      </c>
      <c r="V19" s="84">
        <f t="shared" si="14"/>
        <v>2.3615</v>
      </c>
      <c r="W19" s="85">
        <f t="shared" si="15"/>
        <v>0.45</v>
      </c>
      <c r="X19" s="84">
        <f t="shared" si="11"/>
        <v>0.488431876606684</v>
      </c>
      <c r="Y19" s="73">
        <f t="shared" si="16"/>
        <v>0.8</v>
      </c>
      <c r="Z19" s="86">
        <v>0</v>
      </c>
      <c r="AA19" s="86">
        <v>0</v>
      </c>
      <c r="AB19" s="32">
        <v>0</v>
      </c>
      <c r="AC19" s="79">
        <f t="shared" si="17"/>
        <v>8754.1386975102</v>
      </c>
    </row>
    <row r="20" s="1" customFormat="1" ht="15" spans="1:30">
      <c r="B20" s="30" t="s">
        <v>49</v>
      </c>
      <c r="C20" s="47">
        <v>0.25</v>
      </c>
      <c r="D20" s="30" t="s">
        <v>50</v>
      </c>
      <c r="E20" s="94">
        <f>24%+24%</f>
        <v>0.48</v>
      </c>
      <c r="F20" s="30" t="s">
        <v>51</v>
      </c>
      <c r="G20" s="33">
        <v>0</v>
      </c>
      <c r="H20" s="30" t="s">
        <v>51</v>
      </c>
      <c r="I20" s="33">
        <v>0</v>
      </c>
      <c r="J20" s="44"/>
      <c r="K20" s="33"/>
      <c r="L20" s="30"/>
      <c r="M20" s="31"/>
      <c r="O20" s="59">
        <v>1</v>
      </c>
      <c r="P20" s="71" t="s">
        <v>80</v>
      </c>
      <c r="Q20" s="55">
        <v>2.736</v>
      </c>
      <c r="R20" s="95" t="s">
        <v>26</v>
      </c>
      <c r="S20" s="96">
        <f t="shared" si="12"/>
        <v>2586.086</v>
      </c>
      <c r="T20" s="97">
        <f t="shared" si="13"/>
        <v>1.68544755970924</v>
      </c>
      <c r="U20" s="97">
        <f t="shared" si="18"/>
        <v>1.53</v>
      </c>
      <c r="V20" s="98">
        <f t="shared" si="14"/>
        <v>2.3615</v>
      </c>
      <c r="W20" s="99">
        <f t="shared" si="15"/>
        <v>0.45</v>
      </c>
      <c r="X20" s="98">
        <f t="shared" si="11"/>
        <v>0.488431876606684</v>
      </c>
      <c r="Y20" s="73">
        <f t="shared" si="16"/>
        <v>0.8</v>
      </c>
      <c r="Z20" s="100">
        <v>0</v>
      </c>
      <c r="AA20" s="100">
        <v>0</v>
      </c>
      <c r="AB20" s="52">
        <v>0</v>
      </c>
      <c r="AC20" s="79">
        <f t="shared" si="17"/>
        <v>23951.3234763879</v>
      </c>
    </row>
    <row r="21" s="1" customFormat="1" spans="1:30">
      <c r="B21" s="30" t="s">
        <v>54</v>
      </c>
      <c r="C21" s="31">
        <v>350</v>
      </c>
      <c r="D21" s="30" t="s">
        <v>81</v>
      </c>
      <c r="E21" s="32">
        <f>36%+M17</f>
        <v>0.446</v>
      </c>
      <c r="F21" s="30" t="s">
        <v>56</v>
      </c>
      <c r="G21" s="33"/>
      <c r="H21" s="30" t="s">
        <v>56</v>
      </c>
      <c r="I21" s="33">
        <v>0</v>
      </c>
      <c r="J21" s="44"/>
      <c r="K21" s="33"/>
      <c r="L21" s="30"/>
      <c r="M21" s="3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50" t="s">
        <v>58</v>
      </c>
      <c r="C22" s="51"/>
      <c r="D22" s="50"/>
      <c r="E22" s="52"/>
      <c r="F22" s="53" t="s">
        <v>59</v>
      </c>
      <c r="G22" s="54">
        <f>MIN(100%,SUM(G16:G21))</f>
        <v>0.778</v>
      </c>
      <c r="H22" s="53" t="s">
        <v>60</v>
      </c>
      <c r="I22" s="54">
        <f>SUM(I16:I21)</f>
        <v>2.75</v>
      </c>
      <c r="J22" s="55"/>
      <c r="K22" s="101"/>
      <c r="L22" s="50"/>
      <c r="M22" s="51"/>
      <c r="O22" s="92">
        <v>20</v>
      </c>
      <c r="P22" s="75" t="s">
        <v>82</v>
      </c>
      <c r="Q22" s="75">
        <v>1.0935</v>
      </c>
      <c r="R22" s="73" t="s">
        <v>83</v>
      </c>
      <c r="S22" s="73">
        <v>10027</v>
      </c>
      <c r="T22" s="75">
        <v>0</v>
      </c>
      <c r="U22" s="75">
        <v>0</v>
      </c>
      <c r="V22" s="76">
        <v>1</v>
      </c>
      <c r="W22" s="77">
        <v>0</v>
      </c>
      <c r="X22" s="76">
        <f t="shared" ref="X22:X26" si="19">$AF$3</f>
        <v>0.488431876606684</v>
      </c>
      <c r="Y22" s="73">
        <f t="shared" ref="Y22:Y26" si="20">$AF$13</f>
        <v>0.8</v>
      </c>
      <c r="Z22" s="78">
        <v>1.2</v>
      </c>
      <c r="AA22" s="78">
        <v>0</v>
      </c>
      <c r="AB22" s="78">
        <v>0.5</v>
      </c>
      <c r="AC22" s="102">
        <f t="shared" ref="AC22:AC26" si="21">Q22*$S$26*(1+T22)*(1+U22)*V22*(1+W22)*X22*Y22*(1+Z22)*(1+AA22)*(1+AB22)*O22</f>
        <v>282766.349059126</v>
      </c>
    </row>
    <row r="23" s="1" customFormat="1" ht="15" spans="1:30">
      <c r="B23" s="56"/>
      <c r="C23" s="56"/>
      <c r="E23" s="57"/>
      <c r="F23" s="17" t="s">
        <v>62</v>
      </c>
      <c r="G23" s="58">
        <f>MAX(0,SUM(G16:G21)-1)</f>
        <v>0</v>
      </c>
      <c r="J23" s="2"/>
      <c r="K23" s="2"/>
      <c r="O23" s="30">
        <f t="shared" ref="O23:O25" si="22">$O$26</f>
        <v>1</v>
      </c>
      <c r="P23" s="56" t="s">
        <v>84</v>
      </c>
      <c r="Q23" s="83">
        <v>5.9643</v>
      </c>
      <c r="R23" s="56" t="s">
        <v>83</v>
      </c>
      <c r="S23" s="56">
        <v>10027</v>
      </c>
      <c r="T23" s="83">
        <v>0</v>
      </c>
      <c r="U23" s="83">
        <v>0</v>
      </c>
      <c r="V23" s="84">
        <v>1</v>
      </c>
      <c r="W23" s="85">
        <v>0</v>
      </c>
      <c r="X23" s="84">
        <f t="shared" si="19"/>
        <v>0.488431876606684</v>
      </c>
      <c r="Y23" s="56">
        <f t="shared" si="20"/>
        <v>0.8</v>
      </c>
      <c r="Z23" s="86">
        <v>0</v>
      </c>
      <c r="AA23" s="86">
        <v>0</v>
      </c>
      <c r="AB23" s="86">
        <v>0.5</v>
      </c>
      <c r="AC23" s="103">
        <f t="shared" si="21"/>
        <v>35052.2370971722</v>
      </c>
    </row>
    <row r="24" s="1" customFormat="1" ht="15" spans="1:30">
      <c r="B24" s="56"/>
      <c r="C24" s="56"/>
      <c r="E24" s="57"/>
      <c r="J24" s="2"/>
      <c r="K24" s="2"/>
      <c r="O24" s="30">
        <f t="shared" si="22"/>
        <v>1</v>
      </c>
      <c r="P24" s="56" t="s">
        <v>85</v>
      </c>
      <c r="Q24" s="83">
        <v>18.8075</v>
      </c>
      <c r="R24" s="56" t="s">
        <v>83</v>
      </c>
      <c r="S24" s="56">
        <v>10027</v>
      </c>
      <c r="T24" s="83">
        <v>0</v>
      </c>
      <c r="U24" s="83">
        <v>0</v>
      </c>
      <c r="V24" s="84">
        <v>1</v>
      </c>
      <c r="W24" s="85">
        <v>0</v>
      </c>
      <c r="X24" s="84">
        <f t="shared" si="19"/>
        <v>0.488431876606684</v>
      </c>
      <c r="Y24" s="56">
        <f t="shared" si="20"/>
        <v>0.8</v>
      </c>
      <c r="Z24" s="86">
        <v>0</v>
      </c>
      <c r="AA24" s="86">
        <v>0</v>
      </c>
      <c r="AB24" s="86">
        <v>0.5</v>
      </c>
      <c r="AC24" s="103">
        <f t="shared" si="21"/>
        <v>110531.822544987</v>
      </c>
      <c r="AD24"/>
    </row>
    <row r="25" s="1" customFormat="1" ht="15" spans="1:30">
      <c r="A25" s="104"/>
      <c r="B25" s="105" t="s">
        <v>130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O25" s="30">
        <f t="shared" si="22"/>
        <v>1</v>
      </c>
      <c r="P25" s="56" t="s">
        <v>87</v>
      </c>
      <c r="Q25" s="83">
        <v>2.9822</v>
      </c>
      <c r="R25" s="56" t="s">
        <v>83</v>
      </c>
      <c r="S25" s="56">
        <v>10027</v>
      </c>
      <c r="T25" s="83">
        <v>0</v>
      </c>
      <c r="U25" s="83">
        <v>0</v>
      </c>
      <c r="V25" s="84">
        <v>1</v>
      </c>
      <c r="W25" s="85">
        <v>0</v>
      </c>
      <c r="X25" s="84">
        <f t="shared" si="19"/>
        <v>0.488431876606684</v>
      </c>
      <c r="Y25" s="56">
        <f t="shared" si="20"/>
        <v>0.8</v>
      </c>
      <c r="Z25" s="86">
        <v>0</v>
      </c>
      <c r="AA25" s="86">
        <v>0</v>
      </c>
      <c r="AB25" s="86">
        <v>0.5</v>
      </c>
      <c r="AC25" s="103">
        <f t="shared" si="21"/>
        <v>17526.4123989717</v>
      </c>
      <c r="AD25"/>
    </row>
    <row r="26" s="1" customFormat="1" ht="15" spans="1:30">
      <c r="A26" s="104" t="s">
        <v>88</v>
      </c>
      <c r="B26" s="106" t="s">
        <v>22</v>
      </c>
      <c r="C26" s="107"/>
      <c r="D26" s="106" t="s">
        <v>10</v>
      </c>
      <c r="E26" s="107"/>
      <c r="F26" s="106" t="s">
        <v>23</v>
      </c>
      <c r="G26" s="107"/>
      <c r="H26" s="106" t="s">
        <v>24</v>
      </c>
      <c r="I26" s="107"/>
      <c r="J26" s="106" t="s">
        <v>12</v>
      </c>
      <c r="K26" s="107"/>
      <c r="L26" s="106" t="s">
        <v>89</v>
      </c>
      <c r="M26" s="107"/>
      <c r="O26" s="50">
        <v>1</v>
      </c>
      <c r="P26" s="95" t="s">
        <v>90</v>
      </c>
      <c r="Q26" s="97">
        <v>16</v>
      </c>
      <c r="R26" s="95" t="s">
        <v>91</v>
      </c>
      <c r="S26" s="95">
        <v>10027</v>
      </c>
      <c r="T26" s="97">
        <v>0</v>
      </c>
      <c r="U26" s="97">
        <v>0</v>
      </c>
      <c r="V26" s="98">
        <v>1</v>
      </c>
      <c r="W26" s="99">
        <v>0</v>
      </c>
      <c r="X26" s="98">
        <f t="shared" si="19"/>
        <v>0.488431876606684</v>
      </c>
      <c r="Y26" s="95">
        <f t="shared" si="20"/>
        <v>0.8</v>
      </c>
      <c r="Z26" s="100">
        <v>0</v>
      </c>
      <c r="AA26" s="100">
        <v>0</v>
      </c>
      <c r="AB26" s="100">
        <v>0.5</v>
      </c>
      <c r="AC26" s="108">
        <f t="shared" si="21"/>
        <v>94032.1233933162</v>
      </c>
    </row>
    <row r="27" s="1" customFormat="1" spans="1:30">
      <c r="A27" s="104">
        <v>1357</v>
      </c>
      <c r="B27" s="109" t="s">
        <v>27</v>
      </c>
      <c r="C27" s="110">
        <f>288+337</f>
        <v>625</v>
      </c>
      <c r="D27" s="109" t="s">
        <v>28</v>
      </c>
      <c r="E27" s="49"/>
      <c r="F27" s="109" t="s">
        <v>92</v>
      </c>
      <c r="G27" s="111">
        <v>0.05</v>
      </c>
      <c r="H27" s="109" t="s">
        <v>92</v>
      </c>
      <c r="I27" s="49">
        <v>1.5</v>
      </c>
      <c r="J27" s="112" t="s">
        <v>30</v>
      </c>
      <c r="K27" s="49">
        <f>25%+10%</f>
        <v>0.35</v>
      </c>
      <c r="L27" s="109" t="s">
        <v>88</v>
      </c>
      <c r="M27" s="111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13">
        <f>16%+7.6*2%</f>
        <v>0.312</v>
      </c>
      <c r="B28" s="109" t="s">
        <v>93</v>
      </c>
      <c r="C28" s="49"/>
      <c r="D28" s="109" t="s">
        <v>94</v>
      </c>
      <c r="E28" s="49"/>
      <c r="F28" s="109" t="s">
        <v>36</v>
      </c>
      <c r="G28" s="111"/>
      <c r="H28" s="109" t="s">
        <v>95</v>
      </c>
      <c r="I28" s="111">
        <v>0.2</v>
      </c>
      <c r="J28" s="114" t="s">
        <v>96</v>
      </c>
      <c r="K28" s="111"/>
      <c r="L28" s="109" t="s">
        <v>23</v>
      </c>
      <c r="M28" s="111">
        <f>2*8.1%</f>
        <v>0.162</v>
      </c>
      <c r="O28" s="90">
        <v>1</v>
      </c>
      <c r="P28" s="115" t="s">
        <v>97</v>
      </c>
      <c r="Q28" s="72">
        <v>2.0279</v>
      </c>
      <c r="R28" s="73" t="s">
        <v>33</v>
      </c>
      <c r="S28" s="74">
        <f t="shared" ref="S28:S31" si="23">C$34</f>
        <v>1225</v>
      </c>
      <c r="T28" s="75">
        <f t="shared" ref="T28:T31" si="24">S28/$C$27-1</f>
        <v>0.96</v>
      </c>
      <c r="U28" s="75">
        <f t="shared" ref="U28:U31" si="25">E$30</f>
        <v>0.88</v>
      </c>
      <c r="V28" s="76">
        <f t="shared" ref="V28:V31" si="26">1+$G$32*($I$32-1)</f>
        <v>1.3752</v>
      </c>
      <c r="W28" s="77">
        <f t="shared" ref="W28:W33" si="27">K$27</f>
        <v>0.35</v>
      </c>
      <c r="X28" s="76">
        <f t="shared" ref="X28:X33" si="28">$AF$3</f>
        <v>0.488431876606684</v>
      </c>
      <c r="Y28" s="73">
        <f t="shared" ref="Y28:Y33" si="29">$AF$14</f>
        <v>0.8</v>
      </c>
      <c r="Z28" s="78">
        <v>0</v>
      </c>
      <c r="AA28" s="78">
        <v>0</v>
      </c>
      <c r="AB28" s="35">
        <v>0</v>
      </c>
      <c r="AC28" s="20">
        <f t="shared" ref="AC28:AC33" si="30">Q28*$C$27*(1+T28)*(1+U28)*V28*(1+W28)*X28*Y28*(1+Z28)*(1+AA28)*(1+AB28)*O28</f>
        <v>3387.9273744649</v>
      </c>
    </row>
    <row r="29" s="1" customFormat="1" ht="15" spans="1:30">
      <c r="A29" s="113">
        <f>36%+M27</f>
        <v>0.687</v>
      </c>
      <c r="B29" s="109" t="s">
        <v>98</v>
      </c>
      <c r="C29" s="49"/>
      <c r="D29" s="109" t="s">
        <v>99</v>
      </c>
      <c r="E29" s="49"/>
      <c r="F29" s="109" t="s">
        <v>42</v>
      </c>
      <c r="G29" s="111"/>
      <c r="H29" s="109" t="s">
        <v>100</v>
      </c>
      <c r="I29" s="111"/>
      <c r="J29" s="114" t="s">
        <v>101</v>
      </c>
      <c r="K29" s="111"/>
      <c r="L29" s="109" t="s">
        <v>47</v>
      </c>
      <c r="M29" s="111">
        <f>3*16.2%</f>
        <v>0.486</v>
      </c>
      <c r="O29" s="116">
        <v>1</v>
      </c>
      <c r="P29" s="115" t="s">
        <v>102</v>
      </c>
      <c r="Q29" s="44">
        <f>22.27%+16.71%*2+23.86%+23.86%+17.9%*4+41.36%+10.34%*6</f>
        <v>2.7841</v>
      </c>
      <c r="R29" s="56" t="s">
        <v>44</v>
      </c>
      <c r="S29" s="82">
        <f t="shared" si="23"/>
        <v>1225</v>
      </c>
      <c r="T29" s="83">
        <f t="shared" si="24"/>
        <v>0.96</v>
      </c>
      <c r="U29" s="83">
        <f t="shared" si="25"/>
        <v>0.88</v>
      </c>
      <c r="V29" s="84">
        <f t="shared" si="26"/>
        <v>1.3752</v>
      </c>
      <c r="W29" s="85">
        <f t="shared" si="27"/>
        <v>0.35</v>
      </c>
      <c r="X29" s="84">
        <f t="shared" si="28"/>
        <v>0.488431876606684</v>
      </c>
      <c r="Y29" s="56">
        <f t="shared" si="29"/>
        <v>0.8</v>
      </c>
      <c r="Z29" s="86">
        <v>0</v>
      </c>
      <c r="AA29" s="86">
        <v>0</v>
      </c>
      <c r="AB29" s="32">
        <v>0</v>
      </c>
      <c r="AC29" s="20">
        <f t="shared" si="30"/>
        <v>4651.27896013006</v>
      </c>
    </row>
    <row r="30" s="1" customFormat="1" ht="15" spans="1:30">
      <c r="A30" s="113">
        <v>0.418</v>
      </c>
      <c r="B30" s="109" t="s">
        <v>95</v>
      </c>
      <c r="C30" s="117">
        <f>25%+15%</f>
        <v>0.4</v>
      </c>
      <c r="D30" s="109" t="s">
        <v>103</v>
      </c>
      <c r="E30" s="49">
        <f>48%+40%</f>
        <v>0.88</v>
      </c>
      <c r="F30" s="109" t="s">
        <v>95</v>
      </c>
      <c r="G30" s="111">
        <f>M29</f>
        <v>0.486</v>
      </c>
      <c r="H30" s="109"/>
      <c r="I30" s="111"/>
      <c r="J30" s="114"/>
      <c r="K30" s="111"/>
      <c r="L30" s="109" t="s">
        <v>104</v>
      </c>
      <c r="M30" s="111">
        <f>8.6%*2</f>
        <v>0.172</v>
      </c>
      <c r="O30" s="116">
        <v>1</v>
      </c>
      <c r="P30" s="115" t="s">
        <v>105</v>
      </c>
      <c r="Q30" s="44">
        <f>39.77%*4</f>
        <v>1.5908</v>
      </c>
      <c r="R30" s="56" t="s">
        <v>69</v>
      </c>
      <c r="S30" s="82">
        <f t="shared" si="23"/>
        <v>1225</v>
      </c>
      <c r="T30" s="83">
        <f t="shared" si="24"/>
        <v>0.96</v>
      </c>
      <c r="U30" s="83">
        <f t="shared" si="25"/>
        <v>0.88</v>
      </c>
      <c r="V30" s="84">
        <f t="shared" si="26"/>
        <v>1.3752</v>
      </c>
      <c r="W30" s="85">
        <f t="shared" si="27"/>
        <v>0.35</v>
      </c>
      <c r="X30" s="84">
        <f t="shared" si="28"/>
        <v>0.488431876606684</v>
      </c>
      <c r="Y30" s="56">
        <f t="shared" si="29"/>
        <v>0.8</v>
      </c>
      <c r="Z30" s="86">
        <v>0</v>
      </c>
      <c r="AA30" s="86">
        <v>0</v>
      </c>
      <c r="AB30" s="32">
        <v>0</v>
      </c>
      <c r="AC30" s="20">
        <f t="shared" si="30"/>
        <v>2657.68275915912</v>
      </c>
      <c r="AD30"/>
    </row>
    <row r="31" s="1" customFormat="1" ht="15" spans="1:30">
      <c r="A31" s="118">
        <v>0.2</v>
      </c>
      <c r="B31" s="109" t="s">
        <v>106</v>
      </c>
      <c r="C31" s="117"/>
      <c r="D31" s="109" t="s">
        <v>107</v>
      </c>
      <c r="E31" s="119"/>
      <c r="F31" s="109" t="s">
        <v>108</v>
      </c>
      <c r="G31" s="111"/>
      <c r="H31" s="109" t="s">
        <v>108</v>
      </c>
      <c r="I31" s="111"/>
      <c r="J31" s="114"/>
      <c r="K31" s="111"/>
      <c r="L31" s="109"/>
      <c r="M31" s="111"/>
      <c r="O31" s="116">
        <v>1</v>
      </c>
      <c r="P31" s="115" t="s">
        <v>109</v>
      </c>
      <c r="Q31" s="44">
        <v>3.51</v>
      </c>
      <c r="R31" s="56" t="s">
        <v>26</v>
      </c>
      <c r="S31" s="82">
        <f t="shared" si="23"/>
        <v>1225</v>
      </c>
      <c r="T31" s="83">
        <f t="shared" si="24"/>
        <v>0.96</v>
      </c>
      <c r="U31" s="83">
        <f t="shared" si="25"/>
        <v>0.88</v>
      </c>
      <c r="V31" s="84">
        <f t="shared" si="26"/>
        <v>1.3752</v>
      </c>
      <c r="W31" s="85">
        <f t="shared" si="27"/>
        <v>0.35</v>
      </c>
      <c r="X31" s="84">
        <f t="shared" si="28"/>
        <v>0.488431876606684</v>
      </c>
      <c r="Y31" s="56">
        <f t="shared" si="29"/>
        <v>0.8</v>
      </c>
      <c r="Z31" s="86">
        <v>0</v>
      </c>
      <c r="AA31" s="86">
        <v>0</v>
      </c>
      <c r="AB31" s="32">
        <v>0</v>
      </c>
      <c r="AC31" s="20">
        <f t="shared" si="30"/>
        <v>5864.00960815219</v>
      </c>
    </row>
    <row r="32" s="1" customFormat="1" ht="15" spans="1:30">
      <c r="A32" s="104"/>
      <c r="B32" s="109" t="s">
        <v>54</v>
      </c>
      <c r="C32" s="110">
        <v>350</v>
      </c>
      <c r="D32" s="109" t="s">
        <v>110</v>
      </c>
      <c r="E32" s="49"/>
      <c r="F32" s="120" t="s">
        <v>59</v>
      </c>
      <c r="G32" s="121">
        <f>MIN(100%,SUM(G27:G31))</f>
        <v>0.536</v>
      </c>
      <c r="H32" s="120" t="s">
        <v>60</v>
      </c>
      <c r="I32" s="122">
        <f>SUM(I27:I31)</f>
        <v>1.7</v>
      </c>
      <c r="J32" s="114"/>
      <c r="K32" s="111"/>
      <c r="L32" s="109"/>
      <c r="M32" s="110"/>
      <c r="O32" s="116">
        <v>1</v>
      </c>
      <c r="P32" s="115" t="s">
        <v>111</v>
      </c>
      <c r="Q32" s="44">
        <v>5.2233</v>
      </c>
      <c r="R32" s="56" t="s">
        <v>1</v>
      </c>
      <c r="S32" s="82">
        <f>A34</f>
        <v>3551.269</v>
      </c>
      <c r="T32" s="83">
        <v>0</v>
      </c>
      <c r="U32" s="83">
        <f>E$30+M30</f>
        <v>1.052</v>
      </c>
      <c r="V32" s="84">
        <f>I32+1.6</f>
        <v>3.3</v>
      </c>
      <c r="W32" s="85">
        <f t="shared" si="27"/>
        <v>0.35</v>
      </c>
      <c r="X32" s="84">
        <f t="shared" si="28"/>
        <v>0.488431876606684</v>
      </c>
      <c r="Y32" s="56">
        <f t="shared" si="29"/>
        <v>0.8</v>
      </c>
      <c r="Z32" s="86">
        <v>0</v>
      </c>
      <c r="AA32" s="86">
        <v>0</v>
      </c>
      <c r="AB32" s="32">
        <v>0</v>
      </c>
      <c r="AC32" s="20">
        <f t="shared" si="30"/>
        <v>11661.2213480977</v>
      </c>
    </row>
    <row r="33" s="1" customFormat="1" ht="15" spans="1:29">
      <c r="A33" s="104"/>
      <c r="B33" s="123" t="s">
        <v>58</v>
      </c>
      <c r="C33" s="124"/>
      <c r="D33" s="123" t="s">
        <v>112</v>
      </c>
      <c r="E33" s="125"/>
      <c r="F33" s="123"/>
      <c r="G33" s="126"/>
      <c r="H33" s="123"/>
      <c r="I33" s="124"/>
      <c r="J33" s="127"/>
      <c r="K33" s="126"/>
      <c r="L33" s="123"/>
      <c r="M33" s="124"/>
      <c r="N33" s="128"/>
      <c r="O33" s="129">
        <v>1</v>
      </c>
      <c r="P33" s="115" t="s">
        <v>113</v>
      </c>
      <c r="Q33" s="55">
        <f>258.46%</f>
        <v>2.5846</v>
      </c>
      <c r="R33" s="95" t="s">
        <v>69</v>
      </c>
      <c r="S33" s="96">
        <f>C$34</f>
        <v>1225</v>
      </c>
      <c r="T33" s="97">
        <f>S33/$C$27-1</f>
        <v>0.96</v>
      </c>
      <c r="U33" s="97">
        <f>E$30</f>
        <v>0.88</v>
      </c>
      <c r="V33" s="98">
        <f>1+$G$32*($I$32-1)</f>
        <v>1.3752</v>
      </c>
      <c r="W33" s="99">
        <f t="shared" si="27"/>
        <v>0.35</v>
      </c>
      <c r="X33" s="98">
        <f t="shared" si="28"/>
        <v>0.488431876606684</v>
      </c>
      <c r="Y33" s="95">
        <f t="shared" si="29"/>
        <v>0.8</v>
      </c>
      <c r="Z33" s="100">
        <v>0</v>
      </c>
      <c r="AA33" s="100">
        <v>0</v>
      </c>
      <c r="AB33" s="52">
        <v>0</v>
      </c>
      <c r="AC33" s="20">
        <f t="shared" si="30"/>
        <v>4317.98268752995</v>
      </c>
    </row>
    <row r="34" s="1" customFormat="1" spans="1:29">
      <c r="A34" s="104">
        <f>A27*(1+A28+A29+A30+A31)</f>
        <v>3551.269</v>
      </c>
      <c r="B34" s="130"/>
      <c r="C34" s="130">
        <f>C27*(1+C30)+C32</f>
        <v>1225</v>
      </c>
      <c r="D34" s="130"/>
      <c r="E34" s="130"/>
      <c r="F34" s="130" t="s">
        <v>114</v>
      </c>
      <c r="G34" s="131"/>
      <c r="H34" s="130"/>
      <c r="I34" s="130"/>
      <c r="J34" s="130"/>
      <c r="K34" s="130"/>
      <c r="L34" s="130"/>
      <c r="M34" s="130"/>
      <c r="N34" s="56"/>
      <c r="Q34" s="2"/>
      <c r="U34" s="2"/>
      <c r="V34" s="3"/>
      <c r="AB34" s="4"/>
      <c r="AC34" s="4"/>
    </row>
    <row r="35" s="1" customFormat="1" ht="15" spans="1:29">
      <c r="A35" s="132"/>
      <c r="B35" s="133"/>
      <c r="C35" s="133"/>
      <c r="D35" s="133"/>
      <c r="E35" s="133"/>
      <c r="F35" s="133"/>
      <c r="G35" s="134"/>
      <c r="N35" s="56"/>
      <c r="Q35" s="2"/>
      <c r="U35" s="2"/>
      <c r="V35" s="3"/>
      <c r="AB35" s="4"/>
      <c r="AC35" s="4"/>
    </row>
    <row r="36" s="1" customFormat="1" ht="15" spans="1:29">
      <c r="B36" s="135" t="s">
        <v>115</v>
      </c>
      <c r="G36" s="2"/>
      <c r="N36" s="56"/>
      <c r="Q36" s="2"/>
      <c r="U36" s="2"/>
      <c r="V36" s="3"/>
      <c r="AB36" s="4"/>
      <c r="AC36" s="4"/>
    </row>
    <row r="37" s="1" customFormat="1" spans="1:29">
      <c r="B37" s="136" t="s">
        <v>116</v>
      </c>
      <c r="C37" s="137" t="s">
        <v>117</v>
      </c>
      <c r="D37" s="137" t="s">
        <v>118</v>
      </c>
      <c r="E37" s="137" t="s">
        <v>119</v>
      </c>
      <c r="F37" s="137" t="s">
        <v>120</v>
      </c>
      <c r="G37" s="2"/>
      <c r="N37" s="56"/>
      <c r="Q37" s="2"/>
      <c r="U37" s="2"/>
      <c r="V37" s="3"/>
      <c r="AB37" s="4"/>
      <c r="AC37" s="4"/>
    </row>
    <row r="38" s="1" customFormat="1" ht="15" spans="1:29">
      <c r="B38" s="4" t="s">
        <v>3</v>
      </c>
      <c r="C38" s="138">
        <f>SUM(AC3:AC11)</f>
        <v>1258972.59093324</v>
      </c>
      <c r="D38" s="138">
        <f t="shared" ref="D38:D42" si="31">C38/$E$38</f>
        <v>50358.9036373296</v>
      </c>
      <c r="E38" s="139">
        <v>25</v>
      </c>
      <c r="F38" s="140">
        <f t="shared" ref="F38:F42" si="32">C38/$C$44</f>
        <v>0.564132129840803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67</v>
      </c>
      <c r="C39" s="138">
        <f>SUM(AC12:AC20)</f>
        <v>382750.02926156</v>
      </c>
      <c r="D39" s="138">
        <f t="shared" si="31"/>
        <v>15310.0011704624</v>
      </c>
      <c r="E39" s="141"/>
      <c r="F39" s="140">
        <f t="shared" si="32"/>
        <v>0.171506187472991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130</v>
      </c>
      <c r="C40" s="138">
        <f>SUM(AC28:AC33)+AC25</f>
        <v>50066.5151365056</v>
      </c>
      <c r="D40" s="138">
        <f t="shared" si="31"/>
        <v>2002.66060546022</v>
      </c>
      <c r="E40" s="142"/>
      <c r="F40" s="140">
        <f t="shared" si="32"/>
        <v>0.0224342690389528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83</v>
      </c>
      <c r="C41" s="138">
        <f>SUM(AC22:AC25)</f>
        <v>445876.821100257</v>
      </c>
      <c r="D41" s="138">
        <f t="shared" si="31"/>
        <v>17835.0728440103</v>
      </c>
      <c r="E41" s="142"/>
      <c r="F41" s="140">
        <f t="shared" si="32"/>
        <v>0.199792626579329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90</v>
      </c>
      <c r="C42" s="138">
        <f>AC26</f>
        <v>94032.1233933162</v>
      </c>
      <c r="D42" s="138">
        <f t="shared" si="31"/>
        <v>3761.28493573265</v>
      </c>
      <c r="E42" s="142"/>
      <c r="F42" s="140">
        <f t="shared" si="32"/>
        <v>0.042134787067924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38"/>
      <c r="D43" s="138"/>
      <c r="E43" s="142"/>
      <c r="F43" s="140"/>
      <c r="G43" s="2"/>
      <c r="Q43" s="2"/>
      <c r="U43" s="2"/>
      <c r="V43" s="3"/>
      <c r="AB43" s="4"/>
      <c r="AC43" s="4"/>
    </row>
    <row r="44" s="1" customFormat="1" ht="15" spans="1:29">
      <c r="B44" s="4" t="s">
        <v>121</v>
      </c>
      <c r="C44" s="143">
        <f>SUM(C38:C42)</f>
        <v>2231698.07982488</v>
      </c>
      <c r="D44" s="143">
        <f>C44/E38</f>
        <v>89267.9231929952</v>
      </c>
      <c r="E44" s="144"/>
      <c r="F44" s="145"/>
      <c r="G44" s="146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47" t="s">
        <v>122</v>
      </c>
      <c r="C46" s="148"/>
      <c r="D46" s="148"/>
      <c r="E46" s="148"/>
      <c r="F46" s="149"/>
      <c r="G46" s="2"/>
      <c r="Q46" s="2"/>
      <c r="U46" s="2"/>
      <c r="V46" s="3"/>
      <c r="AB46" s="4"/>
      <c r="AC46" s="4"/>
    </row>
    <row r="47" s="1" customFormat="1" ht="15" spans="1:29">
      <c r="B47" s="150"/>
      <c r="C47" s="151"/>
      <c r="D47" s="151"/>
      <c r="E47" s="151"/>
      <c r="F47" s="152"/>
      <c r="Q47" s="2"/>
      <c r="U47" s="2"/>
      <c r="V47" s="3"/>
      <c r="AB47" s="4"/>
      <c r="AC47" s="4"/>
    </row>
    <row r="48" s="1" customFormat="1" spans="1:29">
      <c r="B48" s="153"/>
      <c r="C48" s="153"/>
      <c r="D48" s="153"/>
      <c r="E48" s="153"/>
      <c r="F48" s="153"/>
      <c r="G48" s="2"/>
      <c r="Q48" s="2"/>
      <c r="U48" s="2"/>
      <c r="V48" s="3"/>
      <c r="AB48" s="4"/>
      <c r="AC48" s="4"/>
    </row>
    <row r="49" s="1" customFormat="1" ht="15" spans="2:29">
      <c r="B49" s="154" t="s">
        <v>125</v>
      </c>
      <c r="C49" s="155" t="s">
        <v>3</v>
      </c>
      <c r="D49" s="155" t="s">
        <v>126</v>
      </c>
      <c r="E49" s="73"/>
      <c r="F49" s="156"/>
      <c r="G49" s="2"/>
      <c r="Q49" s="2"/>
      <c r="U49" s="2"/>
      <c r="V49" s="3"/>
      <c r="AB49" s="4"/>
      <c r="AC49" s="4"/>
    </row>
    <row r="50" s="1" customFormat="1" ht="15" spans="2:29">
      <c r="B50" s="157"/>
      <c r="C50" s="142" t="s">
        <v>67</v>
      </c>
      <c r="D50" s="142" t="s">
        <v>127</v>
      </c>
      <c r="F50" s="158"/>
      <c r="G50" s="2"/>
      <c r="Q50" s="2"/>
      <c r="U50" s="2"/>
      <c r="V50" s="3"/>
      <c r="AB50" s="4"/>
      <c r="AC50" s="4"/>
    </row>
    <row r="51" s="1" customFormat="1" ht="15" spans="2:29">
      <c r="B51" s="159"/>
      <c r="C51" s="160" t="s">
        <v>128</v>
      </c>
      <c r="D51" s="160" t="s">
        <v>129</v>
      </c>
      <c r="E51" s="95"/>
      <c r="F51" s="51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01爱01琳00莫</vt:lpstr>
      <vt:lpstr>01爱01琳10莫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2026-02-03T14:10:39Z</dcterms:created>
  <dcterms:modified xsi:type="dcterms:W3CDTF">2026-02-03T14:11:34Z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C925A119BCCC4F33A5169DD9FB5F109B_11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