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60" windowHeight="9960"/>
  </bookViews>
  <sheets>
    <sheet name="弗坎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<sst xmlns="http://schemas.openxmlformats.org/spreadsheetml/2006/main" count="208" uniqueCount="114">
  <si>
    <t>角色主类型</t>
  </si>
  <si>
    <t>e</t>
  </si>
  <si>
    <t>3C属伤数</t>
  </si>
  <si>
    <t>弗洛洛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</si>
  <si>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</si>
  <si>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</si>
  <si>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</si>
  <si>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</si>
  <si>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</si>
  <si>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</si>
  <si>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</si>
  <si>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</si>
  <si>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</si>
  <si>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</si>
  <si>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</si>
  <si>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</si>
  <si>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</si>
  <si>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</si>
  <si>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</si>
  <si>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余响</t>
  </si>
  <si>
    <t>溢出</t>
  </si>
  <si>
    <t>无视防御</t>
  </si>
  <si>
    <t>减防</t>
  </si>
  <si>
    <t>怪物等级</t>
  </si>
  <si>
    <t>攻击</t>
  </si>
  <si>
    <t>暴击</t>
  </si>
  <si>
    <t>暴击伤害</t>
  </si>
  <si>
    <t>副词条</t>
  </si>
  <si>
    <t>弗变奏</t>
  </si>
  <si>
    <t>白值</t>
  </si>
  <si>
    <t>3C声骸</t>
  </si>
  <si>
    <t>基础与固有</t>
  </si>
  <si>
    <t>全加深</t>
  </si>
  <si>
    <t>大攻击</t>
  </si>
  <si>
    <t>a3闪</t>
  </si>
  <si>
    <t>a</t>
  </si>
  <si>
    <t>固有武器</t>
  </si>
  <si>
    <t>套装首位</t>
  </si>
  <si>
    <t>武器</t>
  </si>
  <si>
    <t>e加深</t>
  </si>
  <si>
    <t>共技伤害</t>
  </si>
  <si>
    <t>A 闪</t>
  </si>
  <si>
    <t>主副词条</t>
  </si>
  <si>
    <t>自拐属伤</t>
  </si>
  <si>
    <t>套装</t>
  </si>
  <si>
    <t>q加深</t>
  </si>
  <si>
    <t xml:space="preserve">自拐攻击 </t>
  </si>
  <si>
    <t>被拐属伤</t>
  </si>
  <si>
    <t>爆伤</t>
  </si>
  <si>
    <t>被拐攻击</t>
  </si>
  <si>
    <t>其他属伤</t>
  </si>
  <si>
    <t>共鸣链</t>
  </si>
  <si>
    <t>a123闪</t>
  </si>
  <si>
    <t>声骸固定攻击</t>
  </si>
  <si>
    <t>e加成</t>
  </si>
  <si>
    <t>队友</t>
  </si>
  <si>
    <t>额外固定攻击</t>
  </si>
  <si>
    <t>q加成</t>
  </si>
  <si>
    <t>面板暴击率</t>
  </si>
  <si>
    <t>面板暴击伤害</t>
  </si>
  <si>
    <t>溢出暴击</t>
  </si>
  <si>
    <t>声骸技</t>
  </si>
  <si>
    <t>q</t>
  </si>
  <si>
    <t>弗</t>
  </si>
  <si>
    <t>坎</t>
  </si>
  <si>
    <t>谱曲终末基础</t>
  </si>
  <si>
    <t>物抗</t>
  </si>
  <si>
    <t>坎特蕾拉</t>
  </si>
  <si>
    <t>谱曲终末附加</t>
  </si>
  <si>
    <t>赫卡忒（A）</t>
  </si>
  <si>
    <t>赫卡忒（延）</t>
  </si>
  <si>
    <t>主类型加深</t>
  </si>
  <si>
    <t>普攻伤害</t>
  </si>
  <si>
    <t>赫卡忒（守）</t>
  </si>
  <si>
    <t>赫卡忒（坎）</t>
  </si>
  <si>
    <t>a加成</t>
  </si>
  <si>
    <t>赫卡忒普攻1+2</t>
  </si>
  <si>
    <t>坎变奏</t>
  </si>
  <si>
    <t>bz</t>
  </si>
  <si>
    <t>e1</t>
  </si>
  <si>
    <t>20抗100级怪</t>
  </si>
  <si>
    <t>从</t>
  </si>
  <si>
    <t>弗第一次强变</t>
  </si>
  <si>
    <t>到</t>
  </si>
  <si>
    <t>坎第二次出延</t>
  </si>
  <si>
    <t>z</t>
  </si>
  <si>
    <t>弗坎守4A8赫</t>
  </si>
  <si>
    <t>总伤</t>
  </si>
  <si>
    <t>dps</t>
  </si>
  <si>
    <t>秒数</t>
  </si>
  <si>
    <t>占比</t>
  </si>
  <si>
    <t>e2</t>
  </si>
  <si>
    <t>惊醒</t>
  </si>
  <si>
    <t>轻云套</t>
  </si>
  <si>
    <t>r</t>
  </si>
  <si>
    <t>守岸人</t>
  </si>
  <si>
    <t>强化a123</t>
  </si>
  <si>
    <t>谐度破坏</t>
  </si>
  <si>
    <t>e3</t>
  </si>
  <si>
    <t>合计</t>
  </si>
  <si>
    <t>a1</t>
  </si>
  <si>
    <t>掉buff统计</t>
  </si>
  <si>
    <t>从第一赫开始</t>
  </si>
  <si>
    <t>掉轻云</t>
  </si>
  <si>
    <t>掉坎延</t>
  </si>
  <si>
    <t>掉大锤</t>
  </si>
  <si>
    <t>声骸技能</t>
  </si>
  <si>
    <t>协同</t>
  </si>
  <si>
    <t>词条奖惩</t>
  </si>
  <si>
    <t>弗无共效需求</t>
  </si>
  <si>
    <t>14+1词</t>
  </si>
  <si>
    <t>谐破</t>
  </si>
  <si>
    <t>坎需140%</t>
  </si>
  <si>
    <t>14-3词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</si>
</sst>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7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22" applyNumberFormat="0" applyAlignment="0" applyProtection="0">
      <alignment vertical="center"/>
    </xf>
    <xf numFmtId="0" fontId="17" fillId="16" borderId="23" applyNumberFormat="0" applyAlignment="0" applyProtection="0">
      <alignment vertical="center"/>
    </xf>
    <xf numFmtId="0" fontId="18" fillId="16" borderId="22" applyNumberFormat="0" applyAlignment="0" applyProtection="0">
      <alignment vertical="center"/>
    </xf>
    <xf numFmtId="0" fontId="19" fillId="17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6" borderId="6" xfId="0" applyNumberFormat="1" applyFon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9" fontId="0" fillId="0" borderId="13" xfId="0" applyNumberForma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79" fontId="0" fillId="0" borderId="11" xfId="0" applyNumberFormat="1" applyFill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0" fontId="0" fillId="7" borderId="12" xfId="0" applyNumberForma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177" fontId="3" fillId="0" borderId="15" xfId="0" applyNumberFormat="1" applyFont="1" applyFill="1" applyBorder="1" applyAlignment="1">
      <alignment horizontal="center" vertical="center"/>
    </xf>
    <xf numFmtId="10" fontId="3" fillId="0" borderId="15" xfId="0" applyNumberFormat="1" applyFont="1" applyFill="1" applyBorder="1" applyAlignment="1">
      <alignment horizontal="center" vertical="center"/>
    </xf>
    <xf numFmtId="178" fontId="3" fillId="0" borderId="15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9" fontId="3" fillId="0" borderId="15" xfId="0" applyNumberFormat="1" applyFont="1" applyFill="1" applyBorder="1" applyAlignment="1">
      <alignment horizontal="center" vertical="center"/>
    </xf>
    <xf numFmtId="9" fontId="3" fillId="0" borderId="13" xfId="0" applyNumberFormat="1" applyFont="1" applyFill="1" applyBorder="1" applyAlignment="1">
      <alignment horizontal="center" vertical="center"/>
    </xf>
    <xf numFmtId="177" fontId="2" fillId="10" borderId="9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2" fillId="10" borderId="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0" borderId="16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5" fillId="10" borderId="1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Fill="1" applyAlignment="1">
      <alignment vertical="center" wrapText="1"/>
    </xf>
    <xf numFmtId="177" fontId="5" fillId="10" borderId="12" xfId="0" applyNumberFormat="1" applyFont="1" applyFill="1" applyBorder="1" applyAlignment="1">
      <alignment horizontal="center" vertical="center"/>
    </xf>
    <xf numFmtId="177" fontId="5" fillId="0" borderId="15" xfId="0" applyNumberFormat="1" applyFont="1" applyFill="1" applyBorder="1" applyAlignment="1">
      <alignment horizontal="center" vertical="center" wrapText="1"/>
    </xf>
    <xf numFmtId="177" fontId="5" fillId="0" borderId="13" xfId="0" applyNumberFormat="1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0" fillId="0" borderId="15" xfId="0" applyNumberFormat="1" applyFill="1" applyBorder="1" applyAlignment="1">
      <alignment horizontal="center" vertical="center"/>
    </xf>
    <xf numFmtId="10" fontId="0" fillId="0" borderId="15" xfId="0" applyNumberFormat="1" applyFill="1" applyBorder="1" applyAlignment="1">
      <alignment horizontal="center" vertical="center"/>
    </xf>
    <xf numFmtId="178" fontId="0" fillId="0" borderId="15" xfId="0" applyNumberFormat="1" applyFill="1" applyBorder="1" applyAlignment="1">
      <alignment horizontal="center" vertical="center"/>
    </xf>
    <xf numFmtId="0" fontId="0" fillId="0" borderId="15" xfId="0" applyNumberFormat="1" applyFont="1" applyFill="1" applyBorder="1" applyAlignment="1" applyProtection="1">
      <alignment horizontal="center" vertical="center"/>
    </xf>
    <xf numFmtId="9" fontId="0" fillId="0" borderId="15" xfId="0" applyNumberForma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0" fontId="0" fillId="0" borderId="18" xfId="0" applyNumberFormat="1" applyFill="1" applyBorder="1" applyAlignment="1">
      <alignment horizontal="center" vertical="center"/>
    </xf>
    <xf numFmtId="178" fontId="0" fillId="0" borderId="18" xfId="0" applyNumberFormat="1" applyFill="1" applyBorder="1" applyAlignment="1">
      <alignment horizontal="center" vertical="center"/>
    </xf>
    <xf numFmtId="0" fontId="0" fillId="0" borderId="18" xfId="0" applyNumberFormat="1" applyFont="1" applyFill="1" applyBorder="1" applyAlignment="1" applyProtection="1">
      <alignment horizontal="center" vertical="center"/>
    </xf>
    <xf numFmtId="9" fontId="0" fillId="0" borderId="18" xfId="0" applyNumberFormat="1" applyFill="1" applyBorder="1" applyAlignment="1">
      <alignment horizontal="center" vertical="center"/>
    </xf>
    <xf numFmtId="177" fontId="2" fillId="13" borderId="9" xfId="0" applyNumberFormat="1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abSelected="1" topLeftCell="A13" workbookViewId="0">
      <selection activeCell="H26" sqref="H2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5.90909090909091" style="1" customWidth="1"/>
    <col min="32" max="32" width="9.54545454545454" style="1" customWidth="1"/>
    <col min="33" max="33" width="5.90909090909091" style="1" customWidth="1"/>
    <col min="34" max="34" width="8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5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3" t="s">
        <v>9</v>
      </c>
      <c r="U2" s="12" t="s">
        <v>10</v>
      </c>
      <c r="V2" s="14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5" t="s">
        <v>17</v>
      </c>
      <c r="AC2" s="16" t="s">
        <v>18</v>
      </c>
      <c r="AD2" s="17" t="s">
        <v>19</v>
      </c>
      <c r="AE2" s="17" t="s">
        <v>20</v>
      </c>
      <c r="AF2" s="18" t="s">
        <v>21</v>
      </c>
      <c r="AG2" s="18" t="s">
        <v>22</v>
      </c>
      <c r="AH2" s="19" t="s">
        <v>13</v>
      </c>
      <c r="AI2" s="19" t="s">
        <v>23</v>
      </c>
    </row>
    <row r="3" s="1" customFormat="1" ht="15" spans="2:35">
      <c r="B3" s="20" t="s">
        <v>24</v>
      </c>
      <c r="C3" s="21"/>
      <c r="D3" s="20" t="s">
        <v>10</v>
      </c>
      <c r="E3" s="21"/>
      <c r="F3" s="20" t="s">
        <v>25</v>
      </c>
      <c r="G3" s="21"/>
      <c r="H3" s="20" t="s">
        <v>26</v>
      </c>
      <c r="I3" s="21"/>
      <c r="J3" s="20" t="s">
        <v>12</v>
      </c>
      <c r="K3" s="21"/>
      <c r="L3" s="20" t="s">
        <v>27</v>
      </c>
      <c r="M3" s="21"/>
      <c r="O3" s="22">
        <v>1</v>
      </c>
      <c r="P3" s="23" t="s">
        <v>28</v>
      </c>
      <c r="Q3" s="24">
        <v>5.9643</v>
      </c>
      <c r="R3" s="25" t="s">
        <v>1</v>
      </c>
      <c r="S3" s="26">
        <f t="shared" ref="S3:S14" si="0">$C$4*(1+C$5+C$6+C$7+C$8)+C$9</f>
        <v>2882.352</v>
      </c>
      <c r="T3" s="27">
        <f t="shared" ref="T3:T23" si="1">S3/$C$4-1</f>
        <v>1.814796875</v>
      </c>
      <c r="U3" s="27">
        <f t="shared" ref="U3:U10" si="2">IF(R3=$C$1,SUM($E$4:$E$9),SUM($E$4:$E$8))</f>
        <v>1.432</v>
      </c>
      <c r="V3" s="28">
        <f t="shared" ref="V3:V14" si="3">1+$G$10*($I$10-1+AD3*2.5%+AE3*1%)</f>
        <v>3.425</v>
      </c>
      <c r="W3" s="29">
        <f t="shared" ref="W3:W10" si="4">IF(R3=$C$1,$K$4+$K$5,$K$4)</f>
        <v>0.6</v>
      </c>
      <c r="X3" s="28">
        <f t="shared" ref="X3:X23" si="5">$AH$4</f>
        <v>0.509274150316286</v>
      </c>
      <c r="Y3" s="25">
        <f t="shared" ref="Y3:Y26" si="6">$AH$11</f>
        <v>0.8</v>
      </c>
      <c r="Z3" s="30">
        <v>0</v>
      </c>
      <c r="AA3" s="30">
        <v>0</v>
      </c>
      <c r="AB3" s="31">
        <v>0</v>
      </c>
      <c r="AC3" s="23">
        <f t="shared" ref="AC3:AC10" si="7">Q3*$C$4*(1+T3)*(1+U3)*V3*(1+W3)*X3*Y3*(1+Z3)*(1+AA3)*(1+AB3)*O3</f>
        <v>93345.2548633916</v>
      </c>
      <c r="AD3" s="32">
        <v>17</v>
      </c>
      <c r="AE3" s="32"/>
      <c r="AF3" s="18">
        <v>0</v>
      </c>
      <c r="AG3" s="18">
        <v>0</v>
      </c>
      <c r="AH3" s="19">
        <f t="shared" ref="AH3:AH8" si="8">1520/(1520+(792+8*AI3)*(1-AG3/100))</f>
        <v>0.488431876606684</v>
      </c>
      <c r="AI3" s="33">
        <v>100</v>
      </c>
    </row>
    <row r="4" s="1" customFormat="1" ht="15" spans="2:35">
      <c r="B4" s="34" t="s">
        <v>29</v>
      </c>
      <c r="C4" s="35">
        <f>437+587</f>
        <v>1024</v>
      </c>
      <c r="D4" s="34" t="s">
        <v>30</v>
      </c>
      <c r="E4" s="36">
        <f>E1*30%</f>
        <v>0.6</v>
      </c>
      <c r="F4" s="34" t="s">
        <v>31</v>
      </c>
      <c r="G4" s="37">
        <v>0.13</v>
      </c>
      <c r="H4" s="34" t="s">
        <v>31</v>
      </c>
      <c r="I4" s="37">
        <v>1.5</v>
      </c>
      <c r="J4" s="38" t="s">
        <v>32</v>
      </c>
      <c r="K4" s="39">
        <f>15%+20%</f>
        <v>0.35</v>
      </c>
      <c r="L4" s="34" t="s">
        <v>33</v>
      </c>
      <c r="M4" s="37">
        <f>8.6%*3</f>
        <v>0.258</v>
      </c>
      <c r="O4" s="40">
        <v>1</v>
      </c>
      <c r="P4" s="23" t="s">
        <v>34</v>
      </c>
      <c r="Q4" s="41">
        <f>39.23%+26.15%*2</f>
        <v>0.9153</v>
      </c>
      <c r="R4" s="42" t="s">
        <v>35</v>
      </c>
      <c r="S4" s="43">
        <f t="shared" si="0"/>
        <v>2882.352</v>
      </c>
      <c r="T4" s="44">
        <f t="shared" si="1"/>
        <v>1.814796875</v>
      </c>
      <c r="U4" s="44">
        <f t="shared" si="2"/>
        <v>0.94</v>
      </c>
      <c r="V4" s="45">
        <f t="shared" si="3"/>
        <v>3.425</v>
      </c>
      <c r="W4" s="46">
        <f t="shared" si="4"/>
        <v>0.35</v>
      </c>
      <c r="X4" s="45">
        <f t="shared" si="5"/>
        <v>0.509274150316286</v>
      </c>
      <c r="Y4" s="42">
        <f t="shared" si="6"/>
        <v>0.8</v>
      </c>
      <c r="Z4" s="47">
        <v>0</v>
      </c>
      <c r="AA4" s="47">
        <v>0</v>
      </c>
      <c r="AB4" s="48">
        <v>0</v>
      </c>
      <c r="AC4" s="23">
        <f t="shared" si="7"/>
        <v>9641.57920507617</v>
      </c>
      <c r="AD4" s="32">
        <v>17</v>
      </c>
      <c r="AE4" s="32"/>
      <c r="AF4" s="18">
        <v>8</v>
      </c>
      <c r="AG4" s="18">
        <v>0</v>
      </c>
      <c r="AH4" s="19">
        <f>1520/(1520+(792+8*AI4)*(1-AG4/100)*(1-AF4/100))</f>
        <v>0.509274150316286</v>
      </c>
      <c r="AI4" s="33">
        <v>100</v>
      </c>
    </row>
    <row r="5" s="1" customFormat="1" ht="15" spans="2:35">
      <c r="B5" s="34" t="s">
        <v>36</v>
      </c>
      <c r="C5" s="37">
        <f>12%+12%</f>
        <v>0.24</v>
      </c>
      <c r="D5" s="34" t="s">
        <v>37</v>
      </c>
      <c r="E5" s="36">
        <f>12%+10%</f>
        <v>0.22</v>
      </c>
      <c r="F5" s="34" t="s">
        <v>38</v>
      </c>
      <c r="G5" s="37">
        <v>0.243</v>
      </c>
      <c r="H5" s="34" t="s">
        <v>38</v>
      </c>
      <c r="I5" s="37">
        <v>0</v>
      </c>
      <c r="J5" s="49" t="s">
        <v>39</v>
      </c>
      <c r="K5" s="36">
        <v>0.25</v>
      </c>
      <c r="L5" s="34" t="s">
        <v>40</v>
      </c>
      <c r="M5" s="37">
        <f>8.6%*2</f>
        <v>0.172</v>
      </c>
      <c r="O5" s="40">
        <v>1</v>
      </c>
      <c r="P5" s="23" t="s">
        <v>41</v>
      </c>
      <c r="Q5" s="41">
        <f t="shared" ref="Q5:Q9" si="9">37.88%*4+117.88%*3</f>
        <v>5.0516</v>
      </c>
      <c r="R5" s="42" t="s">
        <v>1</v>
      </c>
      <c r="S5" s="43">
        <f t="shared" si="0"/>
        <v>2882.352</v>
      </c>
      <c r="T5" s="44">
        <f t="shared" si="1"/>
        <v>1.814796875</v>
      </c>
      <c r="U5" s="44">
        <f t="shared" si="2"/>
        <v>1.432</v>
      </c>
      <c r="V5" s="45">
        <f t="shared" si="3"/>
        <v>3.425</v>
      </c>
      <c r="W5" s="46">
        <f t="shared" si="4"/>
        <v>0.6</v>
      </c>
      <c r="X5" s="45">
        <f t="shared" si="5"/>
        <v>0.509274150316286</v>
      </c>
      <c r="Y5" s="42">
        <f t="shared" si="6"/>
        <v>0.8</v>
      </c>
      <c r="Z5" s="47">
        <v>0</v>
      </c>
      <c r="AA5" s="47">
        <v>0</v>
      </c>
      <c r="AB5" s="48">
        <v>0</v>
      </c>
      <c r="AC5" s="23">
        <f t="shared" si="7"/>
        <v>79060.89389667</v>
      </c>
      <c r="AD5" s="32">
        <v>17</v>
      </c>
      <c r="AE5" s="32"/>
      <c r="AF5" s="18">
        <v>0</v>
      </c>
      <c r="AG5" s="18">
        <v>30</v>
      </c>
      <c r="AH5" s="19">
        <f t="shared" si="8"/>
        <v>0.57698147585788</v>
      </c>
      <c r="AI5" s="33">
        <v>100</v>
      </c>
    </row>
    <row r="6" s="1" customFormat="1" ht="15" spans="2:35">
      <c r="B6" s="34" t="s">
        <v>42</v>
      </c>
      <c r="C6" s="37">
        <f>18%+18%+M4+(2-E1)*30%</f>
        <v>0.618</v>
      </c>
      <c r="D6" s="34" t="s">
        <v>43</v>
      </c>
      <c r="E6" s="36"/>
      <c r="F6" s="34" t="s">
        <v>44</v>
      </c>
      <c r="G6" s="37">
        <v>0.2</v>
      </c>
      <c r="H6" s="34" t="s">
        <v>44</v>
      </c>
      <c r="I6" s="37">
        <v>0</v>
      </c>
      <c r="J6" s="49" t="s">
        <v>45</v>
      </c>
      <c r="K6" s="36">
        <v>0.32</v>
      </c>
      <c r="L6" s="34" t="s">
        <v>25</v>
      </c>
      <c r="M6" s="37">
        <f>8.1*5%</f>
        <v>0.405</v>
      </c>
      <c r="O6" s="40">
        <v>1</v>
      </c>
      <c r="P6" s="23" t="s">
        <v>1</v>
      </c>
      <c r="Q6" s="41">
        <f>105.97%*2</f>
        <v>2.1194</v>
      </c>
      <c r="R6" s="42" t="s">
        <v>1</v>
      </c>
      <c r="S6" s="43">
        <f t="shared" si="0"/>
        <v>2882.352</v>
      </c>
      <c r="T6" s="44">
        <f t="shared" si="1"/>
        <v>1.814796875</v>
      </c>
      <c r="U6" s="44">
        <f t="shared" si="2"/>
        <v>1.432</v>
      </c>
      <c r="V6" s="45">
        <f t="shared" si="3"/>
        <v>3.425</v>
      </c>
      <c r="W6" s="46">
        <f t="shared" si="4"/>
        <v>0.6</v>
      </c>
      <c r="X6" s="45">
        <f t="shared" si="5"/>
        <v>0.509274150316286</v>
      </c>
      <c r="Y6" s="42">
        <f t="shared" si="6"/>
        <v>0.8</v>
      </c>
      <c r="Z6" s="47">
        <v>0</v>
      </c>
      <c r="AA6" s="47">
        <v>0</v>
      </c>
      <c r="AB6" s="48">
        <v>0</v>
      </c>
      <c r="AC6" s="23">
        <f t="shared" si="7"/>
        <v>33170.0171281579</v>
      </c>
      <c r="AD6" s="32">
        <v>17</v>
      </c>
      <c r="AE6" s="32"/>
      <c r="AF6" s="18">
        <v>0</v>
      </c>
      <c r="AG6" s="18">
        <v>21.6</v>
      </c>
      <c r="AH6" s="19">
        <f t="shared" si="8"/>
        <v>0.549107555719967</v>
      </c>
      <c r="AI6" s="33">
        <v>100</v>
      </c>
    </row>
    <row r="7" s="1" customFormat="1" ht="15" spans="2:35">
      <c r="B7" s="34" t="s">
        <v>46</v>
      </c>
      <c r="C7" s="37"/>
      <c r="D7" s="34" t="s">
        <v>47</v>
      </c>
      <c r="E7" s="36">
        <v>0.12</v>
      </c>
      <c r="F7" s="34" t="s">
        <v>42</v>
      </c>
      <c r="G7" s="37">
        <f>M6</f>
        <v>0.405</v>
      </c>
      <c r="H7" s="34" t="s">
        <v>42</v>
      </c>
      <c r="I7" s="37">
        <f>M7+44%</f>
        <v>1.25</v>
      </c>
      <c r="J7" s="49"/>
      <c r="K7" s="36"/>
      <c r="L7" s="34" t="s">
        <v>48</v>
      </c>
      <c r="M7" s="36">
        <f>16.2%*5</f>
        <v>0.81</v>
      </c>
      <c r="O7" s="40">
        <v>1</v>
      </c>
      <c r="P7" s="23" t="s">
        <v>41</v>
      </c>
      <c r="Q7" s="41">
        <f t="shared" si="9"/>
        <v>5.0516</v>
      </c>
      <c r="R7" s="42" t="s">
        <v>1</v>
      </c>
      <c r="S7" s="43">
        <f t="shared" si="0"/>
        <v>2882.352</v>
      </c>
      <c r="T7" s="44">
        <f t="shared" si="1"/>
        <v>1.814796875</v>
      </c>
      <c r="U7" s="44">
        <f t="shared" si="2"/>
        <v>1.432</v>
      </c>
      <c r="V7" s="45">
        <f t="shared" si="3"/>
        <v>3.425</v>
      </c>
      <c r="W7" s="46">
        <f t="shared" si="4"/>
        <v>0.6</v>
      </c>
      <c r="X7" s="45">
        <f t="shared" si="5"/>
        <v>0.509274150316286</v>
      </c>
      <c r="Y7" s="42">
        <f t="shared" si="6"/>
        <v>0.8</v>
      </c>
      <c r="Z7" s="47">
        <v>0</v>
      </c>
      <c r="AA7" s="47">
        <v>0</v>
      </c>
      <c r="AB7" s="48">
        <v>0</v>
      </c>
      <c r="AC7" s="23">
        <f t="shared" si="7"/>
        <v>79060.89389667</v>
      </c>
      <c r="AD7" s="32">
        <v>17</v>
      </c>
      <c r="AE7" s="32"/>
      <c r="AF7" s="18">
        <v>0</v>
      </c>
      <c r="AG7" s="18">
        <v>28.8</v>
      </c>
      <c r="AH7" s="19">
        <f t="shared" si="8"/>
        <v>0.572827476423627</v>
      </c>
      <c r="AI7" s="33">
        <v>100</v>
      </c>
    </row>
    <row r="8" s="1" customFormat="1" ht="15" spans="2:35">
      <c r="B8" s="34" t="s">
        <v>49</v>
      </c>
      <c r="C8" s="37">
        <f>22.5%+25%+14%</f>
        <v>0.615</v>
      </c>
      <c r="D8" s="34" t="s">
        <v>50</v>
      </c>
      <c r="E8" s="50"/>
      <c r="F8" s="34" t="s">
        <v>51</v>
      </c>
      <c r="G8" s="37">
        <v>0</v>
      </c>
      <c r="H8" s="34" t="s">
        <v>51</v>
      </c>
      <c r="I8" s="37">
        <v>0</v>
      </c>
      <c r="J8" s="49"/>
      <c r="K8" s="36"/>
      <c r="L8" s="34"/>
      <c r="M8" s="35"/>
      <c r="O8" s="40">
        <v>1</v>
      </c>
      <c r="P8" s="23" t="s">
        <v>52</v>
      </c>
      <c r="Q8" s="41">
        <f>53.45%*2+95.43%+39.23%+26.15%*2</f>
        <v>2.9386</v>
      </c>
      <c r="R8" s="42" t="s">
        <v>35</v>
      </c>
      <c r="S8" s="43">
        <f t="shared" si="0"/>
        <v>2882.352</v>
      </c>
      <c r="T8" s="44">
        <f t="shared" si="1"/>
        <v>1.814796875</v>
      </c>
      <c r="U8" s="44">
        <f t="shared" si="2"/>
        <v>0.94</v>
      </c>
      <c r="V8" s="45">
        <f t="shared" si="3"/>
        <v>3.425</v>
      </c>
      <c r="W8" s="46">
        <f t="shared" si="4"/>
        <v>0.35</v>
      </c>
      <c r="X8" s="45">
        <f t="shared" si="5"/>
        <v>0.509274150316286</v>
      </c>
      <c r="Y8" s="42">
        <f t="shared" si="6"/>
        <v>0.8</v>
      </c>
      <c r="Z8" s="47">
        <v>0</v>
      </c>
      <c r="AA8" s="47">
        <v>0</v>
      </c>
      <c r="AB8" s="48">
        <v>0</v>
      </c>
      <c r="AC8" s="23">
        <f t="shared" si="7"/>
        <v>30954.5992046726</v>
      </c>
      <c r="AD8" s="32">
        <v>17</v>
      </c>
      <c r="AE8" s="32"/>
      <c r="AF8" s="18">
        <v>0</v>
      </c>
      <c r="AG8" s="18">
        <v>36</v>
      </c>
      <c r="AH8" s="19">
        <f t="shared" si="8"/>
        <v>0.598689185782707</v>
      </c>
      <c r="AI8" s="33">
        <v>100</v>
      </c>
    </row>
    <row r="9" s="1" customFormat="1" ht="15" spans="2:35">
      <c r="B9" s="34" t="s">
        <v>53</v>
      </c>
      <c r="C9" s="35">
        <v>350</v>
      </c>
      <c r="D9" s="34" t="s">
        <v>54</v>
      </c>
      <c r="E9" s="36">
        <f>32%+M5</f>
        <v>0.492</v>
      </c>
      <c r="F9" s="34" t="s">
        <v>55</v>
      </c>
      <c r="G9" s="37">
        <v>0.125</v>
      </c>
      <c r="H9" s="34" t="s">
        <v>55</v>
      </c>
      <c r="I9" s="37">
        <v>0.25</v>
      </c>
      <c r="J9" s="49"/>
      <c r="K9" s="36"/>
      <c r="L9" s="34"/>
      <c r="M9" s="35"/>
      <c r="O9" s="40">
        <v>1</v>
      </c>
      <c r="P9" s="23" t="s">
        <v>41</v>
      </c>
      <c r="Q9" s="41">
        <f t="shared" si="9"/>
        <v>5.0516</v>
      </c>
      <c r="R9" s="42" t="s">
        <v>1</v>
      </c>
      <c r="S9" s="43">
        <f t="shared" si="0"/>
        <v>2882.352</v>
      </c>
      <c r="T9" s="44">
        <f t="shared" si="1"/>
        <v>1.814796875</v>
      </c>
      <c r="U9" s="44">
        <f t="shared" si="2"/>
        <v>1.432</v>
      </c>
      <c r="V9" s="45">
        <f t="shared" si="3"/>
        <v>3.425</v>
      </c>
      <c r="W9" s="46">
        <f t="shared" si="4"/>
        <v>0.6</v>
      </c>
      <c r="X9" s="45">
        <f t="shared" si="5"/>
        <v>0.509274150316286</v>
      </c>
      <c r="Y9" s="42">
        <f t="shared" si="6"/>
        <v>0.8</v>
      </c>
      <c r="Z9" s="47">
        <v>0</v>
      </c>
      <c r="AA9" s="47">
        <v>0</v>
      </c>
      <c r="AB9" s="48">
        <v>0</v>
      </c>
      <c r="AC9" s="23">
        <f t="shared" si="7"/>
        <v>79060.89389667</v>
      </c>
      <c r="AD9" s="32">
        <v>17</v>
      </c>
      <c r="AE9" s="32"/>
    </row>
    <row r="10" s="1" customFormat="1" ht="15" spans="2:35">
      <c r="B10" s="51" t="s">
        <v>56</v>
      </c>
      <c r="C10" s="52"/>
      <c r="D10" s="51" t="s">
        <v>57</v>
      </c>
      <c r="E10" s="53">
        <f>20%+35%</f>
        <v>0.55</v>
      </c>
      <c r="F10" s="54" t="s">
        <v>58</v>
      </c>
      <c r="G10" s="55">
        <f>MIN(100%,SUM(G4:G9))</f>
        <v>1</v>
      </c>
      <c r="H10" s="54" t="s">
        <v>59</v>
      </c>
      <c r="I10" s="55">
        <f>SUM(I4:I9)</f>
        <v>3</v>
      </c>
      <c r="J10" s="56"/>
      <c r="K10" s="53"/>
      <c r="L10" s="51"/>
      <c r="M10" s="52"/>
      <c r="O10" s="40">
        <v>1</v>
      </c>
      <c r="P10" s="23" t="s">
        <v>52</v>
      </c>
      <c r="Q10" s="41">
        <f>53.45%*2+95.43%+39.23%+26.15%*2</f>
        <v>2.9386</v>
      </c>
      <c r="R10" s="42" t="s">
        <v>35</v>
      </c>
      <c r="S10" s="43">
        <f t="shared" si="0"/>
        <v>2882.352</v>
      </c>
      <c r="T10" s="44">
        <f t="shared" si="1"/>
        <v>1.814796875</v>
      </c>
      <c r="U10" s="44">
        <f t="shared" si="2"/>
        <v>0.94</v>
      </c>
      <c r="V10" s="45">
        <f t="shared" si="3"/>
        <v>3.425</v>
      </c>
      <c r="W10" s="46">
        <f t="shared" si="4"/>
        <v>0.35</v>
      </c>
      <c r="X10" s="45">
        <f t="shared" si="5"/>
        <v>0.509274150316286</v>
      </c>
      <c r="Y10" s="42">
        <f t="shared" si="6"/>
        <v>0.8</v>
      </c>
      <c r="Z10" s="47">
        <v>0</v>
      </c>
      <c r="AA10" s="47">
        <v>0</v>
      </c>
      <c r="AB10" s="48">
        <v>0</v>
      </c>
      <c r="AC10" s="23">
        <f t="shared" si="7"/>
        <v>30954.5992046726</v>
      </c>
      <c r="AD10" s="32">
        <v>17</v>
      </c>
      <c r="AE10" s="32"/>
    </row>
    <row r="11" s="1" customFormat="1" ht="15" spans="2:35">
      <c r="B11" s="57"/>
      <c r="C11" s="57"/>
      <c r="E11" s="58"/>
      <c r="F11" s="20" t="s">
        <v>60</v>
      </c>
      <c r="G11" s="59">
        <f>MAX(0,SUM(G4:G9)-1)</f>
        <v>0.103</v>
      </c>
      <c r="J11" s="2"/>
      <c r="K11" s="2"/>
      <c r="O11" s="40">
        <v>1</v>
      </c>
      <c r="P11" s="23" t="s">
        <v>61</v>
      </c>
      <c r="Q11" s="41">
        <f>152.39%*3</f>
        <v>4.5717</v>
      </c>
      <c r="R11" s="42" t="s">
        <v>62</v>
      </c>
      <c r="S11" s="43">
        <f t="shared" si="0"/>
        <v>2882.352</v>
      </c>
      <c r="T11" s="44">
        <f t="shared" si="1"/>
        <v>1.814796875</v>
      </c>
      <c r="U11" s="44">
        <f>IF(R11=$C$1,SUM($E$4:$E$9),SUM($E$4:$E$8))+$E$10</f>
        <v>1.49</v>
      </c>
      <c r="V11" s="45">
        <f t="shared" si="3"/>
        <v>3.425</v>
      </c>
      <c r="W11" s="46">
        <f>IF(R11=$C$1,$K$4+$K$5,$K$4)+$K$6</f>
        <v>0.67</v>
      </c>
      <c r="X11" s="45">
        <f t="shared" si="5"/>
        <v>0.509274150316286</v>
      </c>
      <c r="Y11" s="42">
        <f t="shared" si="6"/>
        <v>0.8</v>
      </c>
      <c r="Z11" s="47">
        <v>0</v>
      </c>
      <c r="AA11" s="47">
        <v>0</v>
      </c>
      <c r="AB11" s="48">
        <v>0</v>
      </c>
      <c r="AC11" s="23">
        <f>Q11*$C$4*(1+T11)*(1+U11)*V11*(1+W11)*X11*Y11*(1+Z11)*(1+AA11)*(1+AB11)*O12</f>
        <v>76461.4895963288</v>
      </c>
      <c r="AD11" s="32">
        <v>17</v>
      </c>
      <c r="AE11" s="32"/>
      <c r="AG11" s="60" t="s">
        <v>63</v>
      </c>
      <c r="AH11" s="60">
        <v>0.8</v>
      </c>
    </row>
    <row r="12" s="1" customFormat="1" ht="15" spans="2:35">
      <c r="B12" s="57"/>
      <c r="C12" s="57"/>
      <c r="E12" s="58"/>
      <c r="G12" s="61"/>
      <c r="J12" s="2"/>
      <c r="K12" s="2"/>
      <c r="O12" s="40">
        <v>1</v>
      </c>
      <c r="P12" s="23" t="s">
        <v>41</v>
      </c>
      <c r="Q12" s="41">
        <f>37.88%*4+117.88%*3</f>
        <v>5.0516</v>
      </c>
      <c r="R12" s="42" t="s">
        <v>1</v>
      </c>
      <c r="S12" s="43">
        <f t="shared" si="0"/>
        <v>2882.352</v>
      </c>
      <c r="T12" s="44">
        <f t="shared" si="1"/>
        <v>1.814796875</v>
      </c>
      <c r="U12" s="44">
        <f t="shared" ref="U12:U14" si="10">IF(R12=$C$1,SUM($E$4:$E$9),SUM($E$4:$E$8))</f>
        <v>1.432</v>
      </c>
      <c r="V12" s="45">
        <f t="shared" si="3"/>
        <v>3.425</v>
      </c>
      <c r="W12" s="46">
        <f t="shared" ref="W12:W14" si="11">IF(R12=$C$1,$K$4+$K$5,$K$4)</f>
        <v>0.6</v>
      </c>
      <c r="X12" s="45">
        <f t="shared" si="5"/>
        <v>0.509274150316286</v>
      </c>
      <c r="Y12" s="42">
        <f t="shared" si="6"/>
        <v>0.8</v>
      </c>
      <c r="Z12" s="47">
        <v>0</v>
      </c>
      <c r="AA12" s="47">
        <v>0</v>
      </c>
      <c r="AB12" s="48">
        <v>0</v>
      </c>
      <c r="AC12" s="23">
        <f t="shared" ref="AC12:AC21" si="12">Q12*$C$4*(1+T12)*(1+U12)*V12*(1+W12)*X12*Y12*(1+Z12)*(1+AA12)*(1+AB12)*O12</f>
        <v>79060.89389667</v>
      </c>
      <c r="AD12" s="32">
        <v>17</v>
      </c>
      <c r="AE12" s="32"/>
      <c r="AG12" s="62" t="s">
        <v>64</v>
      </c>
      <c r="AH12" s="62">
        <v>0.92</v>
      </c>
    </row>
    <row r="13" s="1" customFormat="1" ht="15" spans="2:35">
      <c r="B13" s="5" t="s">
        <v>0</v>
      </c>
      <c r="C13" s="5" t="s">
        <v>35</v>
      </c>
      <c r="D13" s="6" t="s">
        <v>2</v>
      </c>
      <c r="E13" s="6">
        <v>2</v>
      </c>
      <c r="O13" s="40">
        <v>1</v>
      </c>
      <c r="P13" s="23" t="s">
        <v>65</v>
      </c>
      <c r="Q13" s="41">
        <f>33.01%*2+12.38%*8+495.1%</f>
        <v>6.6016</v>
      </c>
      <c r="R13" s="42" t="s">
        <v>1</v>
      </c>
      <c r="S13" s="43">
        <f t="shared" si="0"/>
        <v>2882.352</v>
      </c>
      <c r="T13" s="44">
        <f t="shared" si="1"/>
        <v>1.814796875</v>
      </c>
      <c r="U13" s="44">
        <f t="shared" si="10"/>
        <v>1.432</v>
      </c>
      <c r="V13" s="45">
        <f t="shared" si="3"/>
        <v>3.425</v>
      </c>
      <c r="W13" s="46">
        <f t="shared" si="11"/>
        <v>0.6</v>
      </c>
      <c r="X13" s="45">
        <f t="shared" si="5"/>
        <v>0.509274150316286</v>
      </c>
      <c r="Y13" s="42">
        <f t="shared" si="6"/>
        <v>0.8</v>
      </c>
      <c r="Z13" s="47">
        <v>0</v>
      </c>
      <c r="AA13" s="47">
        <v>0</v>
      </c>
      <c r="AB13" s="48">
        <v>0</v>
      </c>
      <c r="AC13" s="23">
        <f t="shared" si="12"/>
        <v>103319.422984452</v>
      </c>
      <c r="AD13" s="32">
        <v>17</v>
      </c>
      <c r="AE13" s="32"/>
      <c r="AG13" s="1" t="s">
        <v>66</v>
      </c>
      <c r="AH13" s="1">
        <v>0.8</v>
      </c>
    </row>
    <row r="14" s="1" customFormat="1" ht="15" spans="2:35">
      <c r="B14" s="63" t="s">
        <v>67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O14" s="40">
        <v>1</v>
      </c>
      <c r="P14" s="23" t="s">
        <v>68</v>
      </c>
      <c r="Q14" s="41">
        <f>82.55%*AD14</f>
        <v>14.0335</v>
      </c>
      <c r="R14" s="42" t="s">
        <v>1</v>
      </c>
      <c r="S14" s="43">
        <f t="shared" si="0"/>
        <v>2882.352</v>
      </c>
      <c r="T14" s="44">
        <f t="shared" si="1"/>
        <v>1.814796875</v>
      </c>
      <c r="U14" s="44">
        <f t="shared" si="10"/>
        <v>1.432</v>
      </c>
      <c r="V14" s="45">
        <f t="shared" si="3"/>
        <v>3.425</v>
      </c>
      <c r="W14" s="46">
        <f t="shared" si="11"/>
        <v>0.6</v>
      </c>
      <c r="X14" s="45">
        <f t="shared" si="5"/>
        <v>0.509274150316286</v>
      </c>
      <c r="Y14" s="42">
        <f t="shared" si="6"/>
        <v>0.8</v>
      </c>
      <c r="Z14" s="47">
        <v>0</v>
      </c>
      <c r="AA14" s="47">
        <v>0</v>
      </c>
      <c r="AB14" s="48">
        <v>0</v>
      </c>
      <c r="AC14" s="23">
        <f t="shared" si="12"/>
        <v>219633.592227991</v>
      </c>
      <c r="AD14" s="32">
        <v>17</v>
      </c>
      <c r="AE14" s="32"/>
    </row>
    <row r="15" s="1" customFormat="1" ht="15" spans="2:35">
      <c r="B15" s="64" t="s">
        <v>24</v>
      </c>
      <c r="C15" s="64"/>
      <c r="D15" s="64" t="s">
        <v>10</v>
      </c>
      <c r="E15" s="64"/>
      <c r="F15" s="64" t="s">
        <v>25</v>
      </c>
      <c r="G15" s="64"/>
      <c r="H15" s="64" t="s">
        <v>26</v>
      </c>
      <c r="I15" s="64"/>
      <c r="J15" s="64" t="s">
        <v>12</v>
      </c>
      <c r="K15" s="64"/>
      <c r="L15" s="64" t="s">
        <v>27</v>
      </c>
      <c r="M15" s="64"/>
      <c r="O15" s="40">
        <v>1</v>
      </c>
      <c r="P15" s="23" t="s">
        <v>69</v>
      </c>
      <c r="Q15" s="41">
        <f t="shared" ref="Q15:Q22" si="13">104.38%+243.55%</f>
        <v>3.4793</v>
      </c>
      <c r="R15" s="42" t="s">
        <v>62</v>
      </c>
      <c r="S15" s="43">
        <f t="shared" ref="S15:S17" si="14">$C$4*(1+C$5+C$6+C$7+C$8+120%-22.5%-10%)+C$9</f>
        <v>3778.352</v>
      </c>
      <c r="T15" s="44">
        <f t="shared" si="1"/>
        <v>2.689796875</v>
      </c>
      <c r="U15" s="44">
        <f t="shared" ref="U15:U23" si="15">IF(R15=$C$1,SUM($E$4:$E$9),SUM($E$4:$E$8))+$E$10-12%</f>
        <v>1.37</v>
      </c>
      <c r="V15" s="45">
        <f t="shared" ref="V15:V18" si="16">1+($G$10-2.2%)*($I$10-1+AD15*2.5%+AE15*1%-25%)+2.2%</f>
        <v>3.14915</v>
      </c>
      <c r="W15" s="46">
        <f t="shared" ref="W15:W23" si="17">IF(R15=$C$1,$K$4+$K$5,$K$4)+$K$6-20%</f>
        <v>0.47</v>
      </c>
      <c r="X15" s="45">
        <f t="shared" si="5"/>
        <v>0.509274150316286</v>
      </c>
      <c r="Y15" s="42">
        <f t="shared" si="6"/>
        <v>0.8</v>
      </c>
      <c r="Z15" s="47">
        <v>0</v>
      </c>
      <c r="AA15" s="47">
        <v>0</v>
      </c>
      <c r="AB15" s="48">
        <v>0</v>
      </c>
      <c r="AC15" s="23">
        <f t="shared" si="12"/>
        <v>58761.779669362</v>
      </c>
      <c r="AD15" s="32">
        <v>17</v>
      </c>
      <c r="AE15" s="32"/>
    </row>
    <row r="16" s="1" customFormat="1" ht="15" spans="2:35">
      <c r="B16" s="65" t="s">
        <v>29</v>
      </c>
      <c r="C16" s="66">
        <f>400+500</f>
        <v>900</v>
      </c>
      <c r="D16" s="65" t="s">
        <v>30</v>
      </c>
      <c r="E16" s="39">
        <f>E13*30%</f>
        <v>0.6</v>
      </c>
      <c r="F16" s="65" t="s">
        <v>31</v>
      </c>
      <c r="G16" s="67">
        <v>0.13</v>
      </c>
      <c r="H16" s="65" t="s">
        <v>31</v>
      </c>
      <c r="I16" s="67">
        <v>1.5</v>
      </c>
      <c r="J16" s="38" t="s">
        <v>32</v>
      </c>
      <c r="K16" s="39">
        <v>0.15</v>
      </c>
      <c r="L16" s="65" t="s">
        <v>33</v>
      </c>
      <c r="M16" s="67"/>
      <c r="O16" s="40">
        <v>1</v>
      </c>
      <c r="P16" s="23" t="s">
        <v>70</v>
      </c>
      <c r="Q16" s="41">
        <f t="shared" si="13"/>
        <v>3.4793</v>
      </c>
      <c r="R16" s="42" t="s">
        <v>62</v>
      </c>
      <c r="S16" s="43">
        <f t="shared" si="14"/>
        <v>3778.352</v>
      </c>
      <c r="T16" s="44">
        <f t="shared" si="1"/>
        <v>2.689796875</v>
      </c>
      <c r="U16" s="44">
        <f t="shared" si="15"/>
        <v>1.37</v>
      </c>
      <c r="V16" s="45">
        <f t="shared" si="16"/>
        <v>3.1736</v>
      </c>
      <c r="W16" s="46">
        <f t="shared" si="17"/>
        <v>0.47</v>
      </c>
      <c r="X16" s="45">
        <f t="shared" si="5"/>
        <v>0.509274150316286</v>
      </c>
      <c r="Y16" s="42">
        <f t="shared" si="6"/>
        <v>0.8</v>
      </c>
      <c r="Z16" s="47">
        <v>0</v>
      </c>
      <c r="AA16" s="47">
        <v>0</v>
      </c>
      <c r="AB16" s="48">
        <v>0</v>
      </c>
      <c r="AC16" s="23">
        <f t="shared" si="12"/>
        <v>59218.0061155192</v>
      </c>
      <c r="AD16" s="32">
        <v>18</v>
      </c>
      <c r="AE16" s="32"/>
    </row>
    <row r="17" s="1" customFormat="1" ht="15" spans="1:31">
      <c r="B17" s="34" t="s">
        <v>36</v>
      </c>
      <c r="C17" s="36">
        <f>12%+12%</f>
        <v>0.24</v>
      </c>
      <c r="D17" s="34" t="s">
        <v>37</v>
      </c>
      <c r="E17" s="36"/>
      <c r="F17" s="34" t="s">
        <v>38</v>
      </c>
      <c r="G17" s="37"/>
      <c r="H17" s="34" t="s">
        <v>38</v>
      </c>
      <c r="I17" s="37">
        <v>0.72</v>
      </c>
      <c r="J17" s="49" t="s">
        <v>71</v>
      </c>
      <c r="K17" s="36"/>
      <c r="L17" s="34" t="s">
        <v>72</v>
      </c>
      <c r="M17" s="37">
        <f>1*8.6%</f>
        <v>0.086</v>
      </c>
      <c r="O17" s="40">
        <v>1</v>
      </c>
      <c r="P17" s="23" t="s">
        <v>70</v>
      </c>
      <c r="Q17" s="41">
        <f>99.16%+231.37%</f>
        <v>3.3053</v>
      </c>
      <c r="R17" s="42" t="s">
        <v>62</v>
      </c>
      <c r="S17" s="43">
        <f t="shared" si="14"/>
        <v>3778.352</v>
      </c>
      <c r="T17" s="44">
        <f t="shared" si="1"/>
        <v>2.689796875</v>
      </c>
      <c r="U17" s="44">
        <f t="shared" si="15"/>
        <v>1.37</v>
      </c>
      <c r="V17" s="45">
        <f t="shared" si="16"/>
        <v>3.19805</v>
      </c>
      <c r="W17" s="46">
        <f t="shared" si="17"/>
        <v>0.47</v>
      </c>
      <c r="X17" s="45">
        <f t="shared" si="5"/>
        <v>0.509274150316286</v>
      </c>
      <c r="Y17" s="42">
        <f t="shared" si="6"/>
        <v>0.8</v>
      </c>
      <c r="Z17" s="47">
        <v>0</v>
      </c>
      <c r="AA17" s="47">
        <v>0</v>
      </c>
      <c r="AB17" s="48">
        <v>0</v>
      </c>
      <c r="AC17" s="23">
        <f t="shared" si="12"/>
        <v>56689.9206409648</v>
      </c>
      <c r="AD17" s="32">
        <v>19</v>
      </c>
      <c r="AE17" s="32"/>
    </row>
    <row r="18" s="1" customFormat="1" ht="15" spans="1:31">
      <c r="B18" s="34" t="s">
        <v>42</v>
      </c>
      <c r="C18" s="36">
        <f>18%+18%+M16+(2-E13)*30%</f>
        <v>0.36</v>
      </c>
      <c r="D18" s="34" t="s">
        <v>43</v>
      </c>
      <c r="E18" s="36">
        <v>0.12</v>
      </c>
      <c r="F18" s="34" t="s">
        <v>44</v>
      </c>
      <c r="G18" s="37">
        <v>0.22</v>
      </c>
      <c r="H18" s="34" t="s">
        <v>44</v>
      </c>
      <c r="I18" s="37">
        <v>0</v>
      </c>
      <c r="J18" s="49"/>
      <c r="K18" s="37"/>
      <c r="L18" s="34" t="s">
        <v>25</v>
      </c>
      <c r="M18" s="37">
        <f>8.1*5%</f>
        <v>0.405</v>
      </c>
      <c r="O18" s="40">
        <v>1</v>
      </c>
      <c r="P18" s="23" t="s">
        <v>73</v>
      </c>
      <c r="Q18" s="41">
        <f>99.16%+231.37%</f>
        <v>3.3053</v>
      </c>
      <c r="R18" s="42" t="s">
        <v>62</v>
      </c>
      <c r="S18" s="43">
        <f t="shared" ref="S18:S23" si="18">$C$4*(1+C$5+C$6+C$7+C$8+120%-22.5%)+C$9</f>
        <v>3880.752</v>
      </c>
      <c r="T18" s="44">
        <f t="shared" si="1"/>
        <v>2.789796875</v>
      </c>
      <c r="U18" s="44">
        <f t="shared" si="15"/>
        <v>1.37</v>
      </c>
      <c r="V18" s="45">
        <f t="shared" si="16"/>
        <v>3.2225</v>
      </c>
      <c r="W18" s="46">
        <f t="shared" si="17"/>
        <v>0.47</v>
      </c>
      <c r="X18" s="45">
        <f t="shared" si="5"/>
        <v>0.509274150316286</v>
      </c>
      <c r="Y18" s="42">
        <f t="shared" si="6"/>
        <v>0.8</v>
      </c>
      <c r="Z18" s="47">
        <v>0</v>
      </c>
      <c r="AA18" s="47">
        <v>0</v>
      </c>
      <c r="AB18" s="48">
        <v>0</v>
      </c>
      <c r="AC18" s="23">
        <f t="shared" si="12"/>
        <v>58671.4741521228</v>
      </c>
      <c r="AD18" s="32">
        <v>20</v>
      </c>
      <c r="AE18" s="32"/>
    </row>
    <row r="19" s="1" customFormat="1" ht="15" spans="1:31">
      <c r="B19" s="34" t="s">
        <v>46</v>
      </c>
      <c r="C19" s="68"/>
      <c r="D19" s="34" t="s">
        <v>47</v>
      </c>
      <c r="E19" s="36"/>
      <c r="F19" s="34" t="s">
        <v>42</v>
      </c>
      <c r="G19" s="37">
        <f>M18</f>
        <v>0.405</v>
      </c>
      <c r="H19" s="34" t="s">
        <v>42</v>
      </c>
      <c r="I19" s="37">
        <f>M19</f>
        <v>0.81</v>
      </c>
      <c r="J19" s="49"/>
      <c r="K19" s="37"/>
      <c r="L19" s="34" t="s">
        <v>48</v>
      </c>
      <c r="M19" s="36">
        <f>16.2%*5</f>
        <v>0.81</v>
      </c>
      <c r="O19" s="40">
        <v>1</v>
      </c>
      <c r="P19" s="23" t="s">
        <v>74</v>
      </c>
      <c r="Q19" s="41">
        <f t="shared" si="13"/>
        <v>3.4793</v>
      </c>
      <c r="R19" s="42" t="s">
        <v>62</v>
      </c>
      <c r="S19" s="43">
        <f t="shared" si="18"/>
        <v>3880.752</v>
      </c>
      <c r="T19" s="44">
        <f t="shared" si="1"/>
        <v>2.789796875</v>
      </c>
      <c r="U19" s="44">
        <f t="shared" si="15"/>
        <v>1.37</v>
      </c>
      <c r="V19" s="45">
        <f t="shared" ref="V19:V23" si="19">1+$G$10*($I$10-1+AD19*2.5%+AE19*1%-25%)</f>
        <v>3.275</v>
      </c>
      <c r="W19" s="46">
        <f t="shared" si="17"/>
        <v>0.47</v>
      </c>
      <c r="X19" s="45">
        <f t="shared" si="5"/>
        <v>0.509274150316286</v>
      </c>
      <c r="Y19" s="42">
        <f t="shared" si="6"/>
        <v>0.8</v>
      </c>
      <c r="Z19" s="47">
        <v>0</v>
      </c>
      <c r="AA19" s="47">
        <v>0</v>
      </c>
      <c r="AB19" s="48">
        <v>0</v>
      </c>
      <c r="AC19" s="23">
        <f t="shared" si="12"/>
        <v>62766.2774162436</v>
      </c>
      <c r="AD19" s="32">
        <v>21</v>
      </c>
      <c r="AE19" s="32"/>
    </row>
    <row r="20" s="1" customFormat="1" ht="15" spans="1:31">
      <c r="B20" s="34" t="s">
        <v>49</v>
      </c>
      <c r="C20" s="68">
        <f>22.5%+25%</f>
        <v>0.475</v>
      </c>
      <c r="D20" s="34" t="s">
        <v>50</v>
      </c>
      <c r="E20" s="50"/>
      <c r="F20" s="34" t="s">
        <v>51</v>
      </c>
      <c r="G20" s="37">
        <v>0</v>
      </c>
      <c r="H20" s="34" t="s">
        <v>51</v>
      </c>
      <c r="I20" s="37">
        <v>0</v>
      </c>
      <c r="J20" s="49"/>
      <c r="K20" s="37"/>
      <c r="L20" s="34"/>
      <c r="M20" s="35"/>
      <c r="O20" s="40">
        <v>1</v>
      </c>
      <c r="P20" s="23" t="s">
        <v>74</v>
      </c>
      <c r="Q20" s="41">
        <f t="shared" si="13"/>
        <v>3.4793</v>
      </c>
      <c r="R20" s="42" t="s">
        <v>62</v>
      </c>
      <c r="S20" s="43">
        <f t="shared" si="18"/>
        <v>3880.752</v>
      </c>
      <c r="T20" s="44">
        <f t="shared" si="1"/>
        <v>2.789796875</v>
      </c>
      <c r="U20" s="44">
        <f t="shared" si="15"/>
        <v>1.37</v>
      </c>
      <c r="V20" s="45">
        <f t="shared" si="19"/>
        <v>3.3</v>
      </c>
      <c r="W20" s="46">
        <f t="shared" si="17"/>
        <v>0.47</v>
      </c>
      <c r="X20" s="45">
        <f t="shared" si="5"/>
        <v>0.509274150316286</v>
      </c>
      <c r="Y20" s="42">
        <f t="shared" si="6"/>
        <v>0.8</v>
      </c>
      <c r="Z20" s="47">
        <v>0</v>
      </c>
      <c r="AA20" s="47">
        <v>0</v>
      </c>
      <c r="AB20" s="48">
        <v>0</v>
      </c>
      <c r="AC20" s="23">
        <f t="shared" si="12"/>
        <v>63245.4093049172</v>
      </c>
      <c r="AD20" s="32">
        <v>22</v>
      </c>
      <c r="AE20" s="32"/>
    </row>
    <row r="21" s="1" customFormat="1" ht="15" spans="1:31">
      <c r="B21" s="34" t="s">
        <v>53</v>
      </c>
      <c r="C21" s="35">
        <v>350</v>
      </c>
      <c r="D21" s="34" t="s">
        <v>75</v>
      </c>
      <c r="E21" s="36">
        <f>40%+M17</f>
        <v>0.486</v>
      </c>
      <c r="F21" s="34" t="s">
        <v>55</v>
      </c>
      <c r="G21" s="37">
        <v>0.125</v>
      </c>
      <c r="H21" s="34" t="s">
        <v>55</v>
      </c>
      <c r="I21" s="37">
        <v>0</v>
      </c>
      <c r="J21" s="49"/>
      <c r="K21" s="37"/>
      <c r="L21" s="34"/>
      <c r="M21" s="35"/>
      <c r="O21" s="40">
        <v>1</v>
      </c>
      <c r="P21" s="23" t="s">
        <v>74</v>
      </c>
      <c r="Q21" s="41">
        <f t="shared" si="13"/>
        <v>3.4793</v>
      </c>
      <c r="R21" s="42" t="s">
        <v>62</v>
      </c>
      <c r="S21" s="43">
        <f t="shared" si="18"/>
        <v>3880.752</v>
      </c>
      <c r="T21" s="44">
        <f t="shared" si="1"/>
        <v>2.789796875</v>
      </c>
      <c r="U21" s="44">
        <f t="shared" si="15"/>
        <v>1.37</v>
      </c>
      <c r="V21" s="45">
        <f t="shared" si="19"/>
        <v>3.325</v>
      </c>
      <c r="W21" s="46">
        <f t="shared" si="17"/>
        <v>0.47</v>
      </c>
      <c r="X21" s="45">
        <f t="shared" si="5"/>
        <v>0.509274150316286</v>
      </c>
      <c r="Y21" s="42">
        <f t="shared" si="6"/>
        <v>0.8</v>
      </c>
      <c r="Z21" s="47">
        <v>0</v>
      </c>
      <c r="AA21" s="47">
        <v>0</v>
      </c>
      <c r="AB21" s="48">
        <v>0</v>
      </c>
      <c r="AC21" s="23">
        <f t="shared" si="12"/>
        <v>63724.5411935908</v>
      </c>
      <c r="AD21" s="32">
        <v>23</v>
      </c>
      <c r="AE21" s="32"/>
    </row>
    <row r="22" s="1" customFormat="1" ht="15" spans="1:31">
      <c r="B22" s="51" t="s">
        <v>56</v>
      </c>
      <c r="C22" s="52"/>
      <c r="D22" s="51"/>
      <c r="E22" s="53"/>
      <c r="F22" s="54" t="s">
        <v>58</v>
      </c>
      <c r="G22" s="55">
        <f>MIN(100%,SUM(G16:G21))</f>
        <v>0.88</v>
      </c>
      <c r="H22" s="54" t="s">
        <v>59</v>
      </c>
      <c r="I22" s="55">
        <f>SUM(I16:I21)</f>
        <v>3.03</v>
      </c>
      <c r="J22" s="56"/>
      <c r="K22" s="69"/>
      <c r="L22" s="51"/>
      <c r="M22" s="52"/>
      <c r="O22" s="40">
        <v>1</v>
      </c>
      <c r="P22" s="23" t="s">
        <v>74</v>
      </c>
      <c r="Q22" s="41">
        <f t="shared" si="13"/>
        <v>3.4793</v>
      </c>
      <c r="R22" s="42" t="s">
        <v>62</v>
      </c>
      <c r="S22" s="43">
        <f t="shared" si="18"/>
        <v>3880.752</v>
      </c>
      <c r="T22" s="44">
        <f t="shared" si="1"/>
        <v>2.789796875</v>
      </c>
      <c r="U22" s="44">
        <f t="shared" si="15"/>
        <v>1.37</v>
      </c>
      <c r="V22" s="45">
        <f t="shared" si="19"/>
        <v>3.35</v>
      </c>
      <c r="W22" s="46">
        <f t="shared" si="17"/>
        <v>0.47</v>
      </c>
      <c r="X22" s="45">
        <f t="shared" si="5"/>
        <v>0.509274150316286</v>
      </c>
      <c r="Y22" s="42">
        <f t="shared" si="6"/>
        <v>0.8</v>
      </c>
      <c r="Z22" s="47">
        <v>0</v>
      </c>
      <c r="AA22" s="47">
        <v>0</v>
      </c>
      <c r="AB22" s="48">
        <v>0</v>
      </c>
      <c r="AC22" s="23">
        <f>Q22*$C$4*(1+T22)*(1+U22)*V22*(1+W22)*X22*Y22*(1+Z22)*(1+AA22)*(1+AB22)*O21</f>
        <v>64203.6730822644</v>
      </c>
      <c r="AD22" s="32">
        <v>24</v>
      </c>
      <c r="AE22" s="32"/>
    </row>
    <row r="23" s="1" customFormat="1" ht="15" spans="1:31">
      <c r="B23" s="57"/>
      <c r="C23" s="57"/>
      <c r="E23" s="58"/>
      <c r="F23" s="20" t="s">
        <v>60</v>
      </c>
      <c r="G23" s="59">
        <f>MAX(0,SUM(G16:G21)-1)</f>
        <v>0</v>
      </c>
      <c r="J23" s="2"/>
      <c r="K23" s="2"/>
      <c r="O23" s="34">
        <v>1</v>
      </c>
      <c r="P23" s="23" t="s">
        <v>76</v>
      </c>
      <c r="Q23" s="70">
        <f>(27.84%+13.92%*2)*3</f>
        <v>1.6704</v>
      </c>
      <c r="R23" s="71" t="s">
        <v>62</v>
      </c>
      <c r="S23" s="72">
        <f t="shared" si="18"/>
        <v>3880.752</v>
      </c>
      <c r="T23" s="73">
        <f t="shared" si="1"/>
        <v>2.789796875</v>
      </c>
      <c r="U23" s="73">
        <f t="shared" si="15"/>
        <v>1.37</v>
      </c>
      <c r="V23" s="74">
        <f t="shared" si="19"/>
        <v>3.25</v>
      </c>
      <c r="W23" s="75">
        <f t="shared" si="17"/>
        <v>0.47</v>
      </c>
      <c r="X23" s="74">
        <f t="shared" si="5"/>
        <v>0.509274150316286</v>
      </c>
      <c r="Y23" s="71">
        <f t="shared" si="6"/>
        <v>0.8</v>
      </c>
      <c r="Z23" s="76">
        <v>0</v>
      </c>
      <c r="AA23" s="76">
        <v>0</v>
      </c>
      <c r="AB23" s="77">
        <v>0</v>
      </c>
      <c r="AC23" s="23">
        <f>Q23*$C$4*(1+T23)*(1+U23)*V23*(1+W23)*X23*Y23*(1+Z23)*(1+AA23)*(1+AB23)*O22</f>
        <v>29903.8449944681</v>
      </c>
      <c r="AD23" s="32">
        <v>20</v>
      </c>
      <c r="AE23" s="32"/>
    </row>
    <row r="24" s="1" customFormat="1" ht="15" spans="1:31">
      <c r="B24" s="57"/>
      <c r="C24" s="57"/>
      <c r="E24" s="58"/>
      <c r="J24" s="2"/>
      <c r="K24" s="2"/>
      <c r="O24" s="64">
        <v>1</v>
      </c>
      <c r="P24" s="78" t="s">
        <v>77</v>
      </c>
      <c r="Q24" s="79">
        <v>1.69</v>
      </c>
      <c r="R24" s="80" t="s">
        <v>78</v>
      </c>
      <c r="S24" s="81">
        <f t="shared" ref="S24:S35" si="20">$C$16*(1+$C$17+$C$18+$C$19+$C$20)+($C$21+$C$22)</f>
        <v>2217.5</v>
      </c>
      <c r="T24" s="82">
        <f t="shared" ref="T24:T35" si="21">($C$17+$C$18+$C$19+$C$20)+($C$21+$C$22)/$C$16</f>
        <v>1.46388888888889</v>
      </c>
      <c r="U24" s="82">
        <f>IF(R24=$C$13,SUM($E$16:$E$21),SUM($E$16:$E$20))-12%</f>
        <v>0.6</v>
      </c>
      <c r="V24" s="83">
        <f t="shared" ref="V24:V34" si="22">1+$G$22*($I$22-1)</f>
        <v>2.7864</v>
      </c>
      <c r="W24" s="84">
        <f t="shared" ref="W24:W35" si="23">IF(R24=$C$1,$K$16+$K$17,$K$16)</f>
        <v>0.15</v>
      </c>
      <c r="X24" s="83">
        <f t="shared" ref="X24:X35" si="24">$AH$3</f>
        <v>0.488431876606684</v>
      </c>
      <c r="Y24" s="80">
        <f t="shared" si="6"/>
        <v>0.8</v>
      </c>
      <c r="Z24" s="85">
        <v>0</v>
      </c>
      <c r="AA24" s="85">
        <v>0</v>
      </c>
      <c r="AB24" s="39">
        <v>0</v>
      </c>
      <c r="AC24" s="86">
        <f t="shared" ref="AC24:AC35" si="25">Q24*$C$16*(1+T24)*(1+U24)*V24*(1+W24)*X24*Y24*(1+Z24)*(1+AA24)*(1+AB24)*O24</f>
        <v>7507.67742068483</v>
      </c>
    </row>
    <row r="25" s="1" customFormat="1" ht="15" spans="1:31">
      <c r="A25" s="87"/>
      <c r="B25" s="88"/>
      <c r="C25" s="88"/>
      <c r="D25" s="88"/>
      <c r="E25" s="88"/>
      <c r="F25" s="88"/>
      <c r="G25" s="89"/>
      <c r="O25" s="90">
        <v>1</v>
      </c>
      <c r="P25" s="78" t="s">
        <v>79</v>
      </c>
      <c r="Q25" s="49">
        <v>1.472</v>
      </c>
      <c r="R25" s="57" t="s">
        <v>1</v>
      </c>
      <c r="S25" s="91">
        <f t="shared" si="20"/>
        <v>2217.5</v>
      </c>
      <c r="T25" s="92">
        <f t="shared" si="21"/>
        <v>1.46388888888889</v>
      </c>
      <c r="U25" s="92">
        <f>IF(R25=$C$13,SUM($E$16:$E$21),SUM($E$16:$E$20))-12%</f>
        <v>0.6</v>
      </c>
      <c r="V25" s="93">
        <f t="shared" si="22"/>
        <v>2.7864</v>
      </c>
      <c r="W25" s="94">
        <f t="shared" si="23"/>
        <v>0.15</v>
      </c>
      <c r="X25" s="93">
        <f t="shared" si="24"/>
        <v>0.488431876606684</v>
      </c>
      <c r="Y25" s="57">
        <f t="shared" si="6"/>
        <v>0.8</v>
      </c>
      <c r="Z25" s="95">
        <v>0</v>
      </c>
      <c r="AA25" s="95">
        <v>0</v>
      </c>
      <c r="AB25" s="36">
        <v>0</v>
      </c>
      <c r="AC25" s="86">
        <f t="shared" si="25"/>
        <v>6539.23145754324</v>
      </c>
    </row>
    <row r="26" s="1" customFormat="1" ht="15" spans="1:31">
      <c r="B26" s="96" t="s">
        <v>80</v>
      </c>
      <c r="C26" s="1" t="s">
        <v>81</v>
      </c>
      <c r="D26" s="1" t="s">
        <v>82</v>
      </c>
      <c r="E26" s="1" t="s">
        <v>83</v>
      </c>
      <c r="F26" s="1" t="s">
        <v>84</v>
      </c>
      <c r="G26" s="2"/>
      <c r="O26" s="90">
        <v>1</v>
      </c>
      <c r="P26" s="78" t="s">
        <v>85</v>
      </c>
      <c r="Q26" s="49">
        <v>1.061</v>
      </c>
      <c r="R26" s="57" t="s">
        <v>85</v>
      </c>
      <c r="S26" s="91">
        <f t="shared" si="20"/>
        <v>2217.5</v>
      </c>
      <c r="T26" s="92">
        <f t="shared" si="21"/>
        <v>1.46388888888889</v>
      </c>
      <c r="U26" s="92">
        <f>IF(R26=$C$13,SUM($E$16:$E$21),SUM($E$16:$E$20))-6%</f>
        <v>0.66</v>
      </c>
      <c r="V26" s="93">
        <f t="shared" si="22"/>
        <v>2.7864</v>
      </c>
      <c r="W26" s="94">
        <f t="shared" si="23"/>
        <v>0.15</v>
      </c>
      <c r="X26" s="93">
        <f t="shared" si="24"/>
        <v>0.488431876606684</v>
      </c>
      <c r="Y26" s="57">
        <f t="shared" si="6"/>
        <v>0.8</v>
      </c>
      <c r="Z26" s="95">
        <v>0</v>
      </c>
      <c r="AA26" s="95">
        <v>0</v>
      </c>
      <c r="AB26" s="36">
        <v>0</v>
      </c>
      <c r="AC26" s="86">
        <f t="shared" si="25"/>
        <v>4890.15234243911</v>
      </c>
    </row>
    <row r="27" s="1" customFormat="1" ht="15" spans="1:31">
      <c r="B27" s="97" t="s">
        <v>86</v>
      </c>
      <c r="C27" s="98" t="s">
        <v>87</v>
      </c>
      <c r="D27" s="98" t="s">
        <v>88</v>
      </c>
      <c r="E27" s="98" t="s">
        <v>89</v>
      </c>
      <c r="F27" s="98" t="s">
        <v>90</v>
      </c>
      <c r="G27" s="2"/>
      <c r="O27" s="90">
        <v>1</v>
      </c>
      <c r="P27" s="78" t="s">
        <v>91</v>
      </c>
      <c r="Q27" s="49">
        <v>1.9623</v>
      </c>
      <c r="R27" s="57" t="s">
        <v>1</v>
      </c>
      <c r="S27" s="91">
        <f t="shared" si="20"/>
        <v>2217.5</v>
      </c>
      <c r="T27" s="92">
        <f t="shared" si="21"/>
        <v>1.46388888888889</v>
      </c>
      <c r="U27" s="92">
        <f t="shared" ref="U27:U35" si="26">IF(R27=$C$13,SUM($E$16:$E$21),SUM($E$16:$E$20))</f>
        <v>0.72</v>
      </c>
      <c r="V27" s="93">
        <f t="shared" si="22"/>
        <v>2.7864</v>
      </c>
      <c r="W27" s="94">
        <f t="shared" si="23"/>
        <v>0.15</v>
      </c>
      <c r="X27" s="93">
        <f t="shared" si="24"/>
        <v>0.488431876606684</v>
      </c>
      <c r="Y27" s="57">
        <f t="shared" ref="Y27:Y35" si="27">$AH$12</f>
        <v>0.92</v>
      </c>
      <c r="Z27" s="95">
        <v>0</v>
      </c>
      <c r="AA27" s="95">
        <v>0</v>
      </c>
      <c r="AB27" s="36">
        <v>0</v>
      </c>
      <c r="AC27" s="86">
        <f t="shared" si="25"/>
        <v>10776.819477205</v>
      </c>
    </row>
    <row r="28" s="1" customFormat="1" ht="15" spans="1:31">
      <c r="B28" s="4" t="s">
        <v>3</v>
      </c>
      <c r="C28" s="99">
        <f>SUM(AC3:AC23)</f>
        <v>1430909.05657087</v>
      </c>
      <c r="D28" s="99">
        <f t="shared" ref="D28:D31" si="28">C28/$E$28</f>
        <v>57236.362262835</v>
      </c>
      <c r="E28" s="100">
        <v>25</v>
      </c>
      <c r="F28" s="101">
        <f t="shared" ref="F28:F31" si="29">C28/$C$32</f>
        <v>0.795481942661004</v>
      </c>
      <c r="G28" s="2"/>
      <c r="O28" s="90">
        <v>1</v>
      </c>
      <c r="P28" s="78" t="s">
        <v>92</v>
      </c>
      <c r="Q28" s="49">
        <v>1.9801</v>
      </c>
      <c r="R28" s="57" t="s">
        <v>35</v>
      </c>
      <c r="S28" s="91">
        <f t="shared" si="20"/>
        <v>2217.5</v>
      </c>
      <c r="T28" s="92">
        <f t="shared" si="21"/>
        <v>1.46388888888889</v>
      </c>
      <c r="U28" s="92">
        <f t="shared" si="26"/>
        <v>1.206</v>
      </c>
      <c r="V28" s="93">
        <f t="shared" si="22"/>
        <v>2.7864</v>
      </c>
      <c r="W28" s="94">
        <f t="shared" si="23"/>
        <v>0.15</v>
      </c>
      <c r="X28" s="93">
        <f t="shared" si="24"/>
        <v>0.488431876606684</v>
      </c>
      <c r="Y28" s="57">
        <f t="shared" si="27"/>
        <v>0.92</v>
      </c>
      <c r="Z28" s="95">
        <v>0</v>
      </c>
      <c r="AA28" s="95">
        <v>0</v>
      </c>
      <c r="AB28" s="36">
        <v>0</v>
      </c>
      <c r="AC28" s="86">
        <f t="shared" si="25"/>
        <v>13947.2758072429</v>
      </c>
    </row>
    <row r="29" s="1" customFormat="1" ht="15" spans="1:31">
      <c r="A29" s="1" t="s">
        <v>93</v>
      </c>
      <c r="B29" s="4" t="s">
        <v>67</v>
      </c>
      <c r="C29" s="99">
        <f>SUM(AC24:AC35)</f>
        <v>248929.198163315</v>
      </c>
      <c r="D29" s="99">
        <f t="shared" si="28"/>
        <v>9957.1679265326</v>
      </c>
      <c r="E29" s="102"/>
      <c r="F29" s="101">
        <f t="shared" si="29"/>
        <v>0.138386629975315</v>
      </c>
      <c r="G29" s="2"/>
      <c r="O29" s="103">
        <v>1</v>
      </c>
      <c r="P29" s="78" t="s">
        <v>94</v>
      </c>
      <c r="Q29" s="49">
        <v>3.76</v>
      </c>
      <c r="R29" s="57" t="s">
        <v>35</v>
      </c>
      <c r="S29" s="91">
        <f t="shared" si="20"/>
        <v>2217.5</v>
      </c>
      <c r="T29" s="92">
        <f t="shared" si="21"/>
        <v>1.46388888888889</v>
      </c>
      <c r="U29" s="92">
        <f t="shared" si="26"/>
        <v>1.206</v>
      </c>
      <c r="V29" s="93">
        <f t="shared" si="22"/>
        <v>2.7864</v>
      </c>
      <c r="W29" s="94">
        <f t="shared" si="23"/>
        <v>0.15</v>
      </c>
      <c r="X29" s="93">
        <f t="shared" si="24"/>
        <v>0.488431876606684</v>
      </c>
      <c r="Y29" s="57">
        <f t="shared" si="27"/>
        <v>0.92</v>
      </c>
      <c r="Z29" s="95">
        <v>0</v>
      </c>
      <c r="AA29" s="95">
        <v>0</v>
      </c>
      <c r="AB29" s="36">
        <v>0</v>
      </c>
      <c r="AC29" s="86">
        <f t="shared" si="25"/>
        <v>26484.3982805077</v>
      </c>
    </row>
    <row r="30" s="1" customFormat="1" ht="15" spans="1:31">
      <c r="B30" s="4" t="s">
        <v>95</v>
      </c>
      <c r="C30" s="99">
        <v>50000</v>
      </c>
      <c r="D30" s="99">
        <f t="shared" si="28"/>
        <v>2000</v>
      </c>
      <c r="E30" s="104"/>
      <c r="F30" s="101">
        <f t="shared" si="29"/>
        <v>0.0277963836698102</v>
      </c>
      <c r="G30" s="2"/>
      <c r="O30" s="90">
        <v>1</v>
      </c>
      <c r="P30" s="78" t="s">
        <v>96</v>
      </c>
      <c r="Q30" s="49">
        <v>4.9033</v>
      </c>
      <c r="R30" s="57" t="s">
        <v>35</v>
      </c>
      <c r="S30" s="91">
        <f t="shared" si="20"/>
        <v>2217.5</v>
      </c>
      <c r="T30" s="92">
        <f t="shared" si="21"/>
        <v>1.46388888888889</v>
      </c>
      <c r="U30" s="92">
        <f t="shared" si="26"/>
        <v>1.206</v>
      </c>
      <c r="V30" s="93">
        <f t="shared" si="22"/>
        <v>2.7864</v>
      </c>
      <c r="W30" s="94">
        <f t="shared" si="23"/>
        <v>0.15</v>
      </c>
      <c r="X30" s="93">
        <f t="shared" si="24"/>
        <v>0.488431876606684</v>
      </c>
      <c r="Y30" s="57">
        <f t="shared" si="27"/>
        <v>0.92</v>
      </c>
      <c r="Z30" s="95">
        <v>0</v>
      </c>
      <c r="AA30" s="95">
        <v>0</v>
      </c>
      <c r="AB30" s="36">
        <v>0</v>
      </c>
      <c r="AC30" s="86">
        <f t="shared" si="25"/>
        <v>34537.4867257483</v>
      </c>
    </row>
    <row r="31" s="1" customFormat="1" ht="15" spans="1:31">
      <c r="B31" s="4" t="s">
        <v>97</v>
      </c>
      <c r="C31" s="99">
        <f>AC37</f>
        <v>68956.8904884319</v>
      </c>
      <c r="D31" s="99">
        <f t="shared" si="28"/>
        <v>2758.27561953727</v>
      </c>
      <c r="E31" s="104"/>
      <c r="F31" s="101">
        <f t="shared" si="29"/>
        <v>0.0383350436938708</v>
      </c>
      <c r="G31" s="2"/>
      <c r="O31" s="90">
        <v>1</v>
      </c>
      <c r="P31" s="78" t="s">
        <v>98</v>
      </c>
      <c r="Q31" s="49">
        <v>13.3598</v>
      </c>
      <c r="R31" s="57" t="s">
        <v>35</v>
      </c>
      <c r="S31" s="91">
        <f t="shared" si="20"/>
        <v>2217.5</v>
      </c>
      <c r="T31" s="92">
        <f t="shared" si="21"/>
        <v>1.46388888888889</v>
      </c>
      <c r="U31" s="92">
        <f t="shared" si="26"/>
        <v>1.206</v>
      </c>
      <c r="V31" s="93">
        <f t="shared" si="22"/>
        <v>2.7864</v>
      </c>
      <c r="W31" s="94">
        <f t="shared" si="23"/>
        <v>0.15</v>
      </c>
      <c r="X31" s="93">
        <f t="shared" si="24"/>
        <v>0.488431876606684</v>
      </c>
      <c r="Y31" s="57">
        <f t="shared" si="27"/>
        <v>0.92</v>
      </c>
      <c r="Z31" s="95">
        <v>0</v>
      </c>
      <c r="AA31" s="95">
        <v>0</v>
      </c>
      <c r="AB31" s="36">
        <v>0</v>
      </c>
      <c r="AC31" s="86">
        <f t="shared" si="25"/>
        <v>94102.7298265764</v>
      </c>
    </row>
    <row r="32" s="1" customFormat="1" ht="15" spans="1:31">
      <c r="B32" s="4" t="s">
        <v>99</v>
      </c>
      <c r="C32" s="105">
        <f>SUM(C28:C31)</f>
        <v>1798795.14522262</v>
      </c>
      <c r="D32" s="105">
        <f>C32/E28</f>
        <v>71951.8058089049</v>
      </c>
      <c r="E32" s="106"/>
      <c r="F32" s="107"/>
      <c r="G32" s="2"/>
      <c r="O32" s="90">
        <v>1</v>
      </c>
      <c r="P32" s="78" t="s">
        <v>92</v>
      </c>
      <c r="Q32" s="49">
        <v>1.9801</v>
      </c>
      <c r="R32" s="57" t="s">
        <v>35</v>
      </c>
      <c r="S32" s="91">
        <f t="shared" si="20"/>
        <v>2217.5</v>
      </c>
      <c r="T32" s="92">
        <f t="shared" si="21"/>
        <v>1.46388888888889</v>
      </c>
      <c r="U32" s="92">
        <f t="shared" si="26"/>
        <v>1.206</v>
      </c>
      <c r="V32" s="93">
        <f t="shared" si="22"/>
        <v>2.7864</v>
      </c>
      <c r="W32" s="94">
        <f t="shared" si="23"/>
        <v>0.15</v>
      </c>
      <c r="X32" s="93">
        <f t="shared" si="24"/>
        <v>0.488431876606684</v>
      </c>
      <c r="Y32" s="57">
        <f t="shared" si="27"/>
        <v>0.92</v>
      </c>
      <c r="Z32" s="95">
        <v>0</v>
      </c>
      <c r="AA32" s="95">
        <v>0</v>
      </c>
      <c r="AB32" s="36">
        <v>0</v>
      </c>
      <c r="AC32" s="86">
        <f t="shared" si="25"/>
        <v>13947.2758072429</v>
      </c>
    </row>
    <row r="33" s="1" customFormat="1" ht="15" spans="2:29">
      <c r="B33" s="4"/>
      <c r="C33" s="4"/>
      <c r="D33" s="4"/>
      <c r="G33" s="2"/>
      <c r="N33" s="108"/>
      <c r="O33" s="90">
        <v>1</v>
      </c>
      <c r="P33" s="78" t="s">
        <v>100</v>
      </c>
      <c r="Q33" s="49">
        <v>1.0599</v>
      </c>
      <c r="R33" s="57" t="s">
        <v>35</v>
      </c>
      <c r="S33" s="91">
        <f t="shared" si="20"/>
        <v>2217.5</v>
      </c>
      <c r="T33" s="92">
        <f t="shared" si="21"/>
        <v>1.46388888888889</v>
      </c>
      <c r="U33" s="92">
        <f t="shared" si="26"/>
        <v>1.206</v>
      </c>
      <c r="V33" s="93">
        <f t="shared" si="22"/>
        <v>2.7864</v>
      </c>
      <c r="W33" s="94">
        <f t="shared" si="23"/>
        <v>0.15</v>
      </c>
      <c r="X33" s="93">
        <f t="shared" si="24"/>
        <v>0.488431876606684</v>
      </c>
      <c r="Y33" s="57">
        <f t="shared" si="27"/>
        <v>0.92</v>
      </c>
      <c r="Z33" s="95">
        <v>0</v>
      </c>
      <c r="AA33" s="95">
        <v>0</v>
      </c>
      <c r="AB33" s="36">
        <v>0</v>
      </c>
      <c r="AC33" s="86">
        <f t="shared" si="25"/>
        <v>7465.64195146546</v>
      </c>
    </row>
    <row r="34" s="1" customFormat="1" ht="15" spans="2:29">
      <c r="B34" s="109" t="s">
        <v>101</v>
      </c>
      <c r="C34" s="110" t="s">
        <v>102</v>
      </c>
      <c r="D34" s="110" t="s">
        <v>103</v>
      </c>
      <c r="E34" s="110" t="s">
        <v>104</v>
      </c>
      <c r="F34" s="111" t="s">
        <v>105</v>
      </c>
      <c r="G34" s="112"/>
      <c r="N34" s="57"/>
      <c r="O34" s="90">
        <v>0</v>
      </c>
      <c r="P34" s="78" t="s">
        <v>106</v>
      </c>
      <c r="Q34" s="49">
        <v>3.1056</v>
      </c>
      <c r="R34" s="57" t="s">
        <v>62</v>
      </c>
      <c r="S34" s="91">
        <f t="shared" si="20"/>
        <v>2217.5</v>
      </c>
      <c r="T34" s="92">
        <f t="shared" si="21"/>
        <v>1.46388888888889</v>
      </c>
      <c r="U34" s="92">
        <f t="shared" si="26"/>
        <v>0.72</v>
      </c>
      <c r="V34" s="93">
        <f t="shared" si="22"/>
        <v>2.7864</v>
      </c>
      <c r="W34" s="94">
        <f t="shared" si="23"/>
        <v>0.15</v>
      </c>
      <c r="X34" s="93">
        <f t="shared" si="24"/>
        <v>0.488431876606684</v>
      </c>
      <c r="Y34" s="57">
        <f t="shared" si="27"/>
        <v>0.92</v>
      </c>
      <c r="Z34" s="95">
        <v>0</v>
      </c>
      <c r="AA34" s="95">
        <v>0</v>
      </c>
      <c r="AB34" s="36">
        <v>0</v>
      </c>
      <c r="AC34" s="86">
        <f t="shared" si="25"/>
        <v>0</v>
      </c>
    </row>
    <row r="35" s="1" customFormat="1" ht="15" spans="2:29">
      <c r="B35" s="113"/>
      <c r="C35" s="114"/>
      <c r="D35" s="114"/>
      <c r="E35" s="114"/>
      <c r="F35" s="115"/>
      <c r="G35" s="2"/>
      <c r="N35" s="57"/>
      <c r="O35" s="116">
        <v>1</v>
      </c>
      <c r="P35" s="78" t="s">
        <v>107</v>
      </c>
      <c r="Q35" s="56">
        <v>3.7804</v>
      </c>
      <c r="R35" s="117" t="s">
        <v>35</v>
      </c>
      <c r="S35" s="118">
        <f t="shared" si="20"/>
        <v>2217.5</v>
      </c>
      <c r="T35" s="119">
        <f t="shared" si="21"/>
        <v>1.46388888888889</v>
      </c>
      <c r="U35" s="119">
        <f t="shared" si="26"/>
        <v>1.206</v>
      </c>
      <c r="V35" s="120">
        <f>1+$G$22*($I$22-1+25%)</f>
        <v>3.0064</v>
      </c>
      <c r="W35" s="121">
        <f t="shared" si="23"/>
        <v>0.15</v>
      </c>
      <c r="X35" s="120">
        <f t="shared" si="24"/>
        <v>0.488431876606684</v>
      </c>
      <c r="Y35" s="117">
        <f t="shared" si="27"/>
        <v>0.92</v>
      </c>
      <c r="Z35" s="122">
        <v>0</v>
      </c>
      <c r="AA35" s="122">
        <v>0</v>
      </c>
      <c r="AB35" s="53">
        <v>0</v>
      </c>
      <c r="AC35" s="86">
        <f t="shared" si="25"/>
        <v>28730.5090666593</v>
      </c>
    </row>
    <row r="36" s="1" customFormat="1" spans="2:29">
      <c r="B36" s="123"/>
      <c r="C36" s="123"/>
      <c r="D36" s="123"/>
      <c r="E36" s="123"/>
      <c r="F36" s="123"/>
      <c r="G36" s="2"/>
      <c r="N36" s="57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="1" customFormat="1" ht="15" spans="2:29">
      <c r="B37" s="125" t="s">
        <v>108</v>
      </c>
      <c r="C37" s="126" t="s">
        <v>109</v>
      </c>
      <c r="D37" s="126" t="s">
        <v>110</v>
      </c>
      <c r="E37" s="127"/>
      <c r="F37" s="128"/>
      <c r="N37" s="57"/>
      <c r="O37" s="20">
        <v>1</v>
      </c>
      <c r="P37" s="129" t="s">
        <v>97</v>
      </c>
      <c r="Q37" s="130">
        <v>16</v>
      </c>
      <c r="R37" s="129" t="s">
        <v>111</v>
      </c>
      <c r="S37" s="129">
        <v>10027</v>
      </c>
      <c r="T37" s="130">
        <v>0</v>
      </c>
      <c r="U37" s="130">
        <v>0</v>
      </c>
      <c r="V37" s="131">
        <v>1</v>
      </c>
      <c r="W37" s="132">
        <v>0</v>
      </c>
      <c r="X37" s="131">
        <f>$AH$3</f>
        <v>0.488431876606684</v>
      </c>
      <c r="Y37" s="129">
        <f>$AH$13</f>
        <v>0.8</v>
      </c>
      <c r="Z37" s="133">
        <v>0</v>
      </c>
      <c r="AA37" s="133">
        <v>0</v>
      </c>
      <c r="AB37" s="133">
        <v>0.1</v>
      </c>
      <c r="AC37" s="134">
        <f>Q37*S37*(1+T37)*(1+U37)*V37*(1+W37)*X37*Y37*(1+Z37)*(1+AA37)*(1+AB37)*O37</f>
        <v>68956.8904884319</v>
      </c>
    </row>
    <row r="38" s="1" customFormat="1" ht="15" spans="2:29">
      <c r="B38" s="135"/>
      <c r="C38" s="136" t="s">
        <v>112</v>
      </c>
      <c r="D38" s="136" t="s">
        <v>113</v>
      </c>
      <c r="E38" s="137"/>
      <c r="F38" s="138"/>
      <c r="G38" s="2"/>
      <c r="Q38" s="2"/>
      <c r="U38" s="2"/>
      <c r="V38" s="3"/>
      <c r="AB38" s="4"/>
      <c r="AC38" s="4"/>
    </row>
    <row r="39" s="1" customFormat="1" spans="2:29">
      <c r="B39" s="4"/>
      <c r="C39" s="4"/>
      <c r="D39" s="4"/>
      <c r="F39" s="4"/>
      <c r="G39" s="2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F40" s="4"/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B42" s="4"/>
      <c r="C42" s="4"/>
      <c r="D42" s="4"/>
      <c r="F42" s="4"/>
      <c r="G42" s="2"/>
      <c r="Q42" s="2"/>
      <c r="U42" s="2"/>
      <c r="V42" s="3"/>
      <c r="AB42" s="4"/>
      <c r="AC42" s="4"/>
    </row>
    <row r="43" s="1" customFormat="1" spans="2:29">
      <c r="B43" s="4"/>
      <c r="C43" s="4"/>
      <c r="D43" s="4"/>
      <c r="F43" s="4"/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B45" s="4"/>
      <c r="C45" s="4"/>
      <c r="D45" s="4"/>
      <c r="F45" s="4"/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B48" s="4"/>
      <c r="C48" s="4"/>
      <c r="D48" s="4"/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9" s="1" customFormat="1" spans="7:29">
      <c r="G59" s="2"/>
      <c r="Q59" s="2"/>
      <c r="U59" s="2"/>
      <c r="V59" s="3"/>
      <c r="AB59" s="4"/>
      <c r="AC59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弗坎守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2026-02-01T11:40:27Z</dcterms:created>
  <dcterms:modified xsi:type="dcterms:W3CDTF">2026-02-01T11:41:37Z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C5BACB7EB0F3412281B9D285B7EBE9A2_11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