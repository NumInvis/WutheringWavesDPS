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50" windowHeight="10520" activeTab="2"/>
  </bookViews>
  <sheets>
    <sheet name="01相00吟" sheetId="1" r:id="rId1"/>
    <sheet name="00琳" sheetId="2" r:id="rId2"/>
    <sheet name="01琳" sheetId="3" r:id="rId3"/>
    <sheet name="1相" sheetId="4" r:id="rId4"/>
    <sheet name="2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<sst xmlns="http://schemas.openxmlformats.org/spreadsheetml/2006/main" count="797" uniqueCount="97">
  <si>
    <t>相里要</t>
  </si>
  <si>
    <t>动作</t>
  </si>
  <si>
    <t>倍率</t>
  </si>
  <si>
    <t>类型</t>
  </si>
  <si>
    <t>攻击白值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</si>
  <si>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</si>
  <si>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</si>
  <si>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</si>
  <si>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</si>
  <si>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</si>
  <si>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</si>
  <si>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</si>
  <si>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</si>
  <si>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</si>
  <si>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</si>
  <si>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减防</t>
  </si>
  <si>
    <t>怪物等级</t>
  </si>
  <si>
    <t>攻击</t>
  </si>
  <si>
    <t>暴击</t>
  </si>
  <si>
    <t>暴击伤害</t>
  </si>
  <si>
    <t>10双爆2攻2技</t>
  </si>
  <si>
    <t>e</t>
  </si>
  <si>
    <t>白值</t>
  </si>
  <si>
    <t>3C声骸</t>
  </si>
  <si>
    <t>基础</t>
  </si>
  <si>
    <t>全加深</t>
  </si>
  <si>
    <t>大攻击</t>
  </si>
  <si>
    <t>q</t>
  </si>
  <si>
    <t>固有和武器</t>
  </si>
  <si>
    <t>首位加成</t>
  </si>
  <si>
    <t>武器</t>
  </si>
  <si>
    <t>声骸</t>
  </si>
  <si>
    <t>声骸加深</t>
  </si>
  <si>
    <t>r伤害</t>
  </si>
  <si>
    <t>声骸和词条</t>
  </si>
  <si>
    <t>套装效果</t>
  </si>
  <si>
    <t>套装</t>
  </si>
  <si>
    <t>共技加深</t>
  </si>
  <si>
    <t>变奏</t>
  </si>
  <si>
    <t>bz</t>
  </si>
  <si>
    <t>自拐</t>
  </si>
  <si>
    <t>其他buff</t>
  </si>
  <si>
    <t>爆伤</t>
  </si>
  <si>
    <t>r</t>
  </si>
  <si>
    <t>队友buff</t>
  </si>
  <si>
    <t>回路效果</t>
  </si>
  <si>
    <t>守岸人</t>
  </si>
  <si>
    <t>声骸固定攻击</t>
  </si>
  <si>
    <t>r加成</t>
  </si>
  <si>
    <t>面板暴击率</t>
  </si>
  <si>
    <t>面板暴击伤害</t>
  </si>
  <si>
    <t>a</t>
  </si>
  <si>
    <t>额外固定攻击</t>
  </si>
  <si>
    <t>幻方</t>
  </si>
  <si>
    <t xml:space="preserve">                                                                             </t>
  </si>
  <si>
    <t>aaa</t>
  </si>
  <si>
    <t>00轻云折</t>
  </si>
  <si>
    <t>应刃</t>
  </si>
  <si>
    <t>普攻加深</t>
  </si>
  <si>
    <t>a伤害</t>
  </si>
  <si>
    <t>延奏</t>
  </si>
  <si>
    <t>yz</t>
  </si>
  <si>
    <t>柔翰生辉</t>
  </si>
  <si>
    <t>武器效果</t>
  </si>
  <si>
    <t>以形写神</t>
  </si>
  <si>
    <t>a加成</t>
  </si>
  <si>
    <t>墨鹤2</t>
  </si>
  <si>
    <t>墨鹤4</t>
  </si>
  <si>
    <t>20抗90级怪</t>
  </si>
  <si>
    <t>墨鹤15</t>
  </si>
  <si>
    <t>总伤</t>
  </si>
  <si>
    <t>dps</t>
  </si>
  <si>
    <t>秒数</t>
  </si>
  <si>
    <t>重击构形</t>
  </si>
  <si>
    <t>z</t>
  </si>
  <si>
    <t>01相里要</t>
  </si>
  <si>
    <t>神来之笔</t>
  </si>
  <si>
    <t>00吟霖</t>
  </si>
  <si>
    <t>神神</t>
  </si>
  <si>
    <t>01守岸人</t>
  </si>
  <si>
    <t>合计</t>
  </si>
  <si>
    <t>01相00吟</t>
  </si>
  <si>
    <t>配置</t>
  </si>
  <si>
    <t>相对提升</t>
  </si>
  <si>
    <t>每抽dps</t>
  </si>
  <si>
    <t>01相00吟01守</t>
  </si>
  <si>
    <t>01相01吟01守</t>
  </si>
  <si>
    <t>01相00琳01守</t>
  </si>
  <si>
    <t>01相01琳01守</t>
  </si>
  <si>
    <t>01相21琳01守</t>
  </si>
  <si>
    <t>相琳守</t>
  </si>
  <si>
    <t>提升</t>
  </si>
  <si>
    <t>01相</t>
  </si>
  <si>
    <t>2琳</t>
  </si>
  <si>
    <t>65相</t>
  </si>
  <si>
    <t>2守</t>
  </si>
  <si>
    <t>65相25琳25守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</si>
</sst>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21" applyNumberFormat="0" applyAlignment="0" applyProtection="0">
      <alignment vertical="center"/>
    </xf>
    <xf numFmtId="0" fontId="14" fillId="12" borderId="22" applyNumberFormat="0" applyAlignment="0" applyProtection="0">
      <alignment vertical="center"/>
    </xf>
    <xf numFmtId="0" fontId="15" fillId="12" borderId="21" applyNumberFormat="0" applyAlignment="0" applyProtection="0">
      <alignment vertical="center"/>
    </xf>
    <xf numFmtId="0" fontId="16" fillId="13" borderId="23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Fill="1" applyAlignment="1"/>
    <xf numFmtId="10" fontId="0" fillId="0" borderId="0" xfId="0" applyNumberFormat="1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0" fontId="0" fillId="5" borderId="0" xfId="0" applyNumberFormat="1" applyFont="1" applyFill="1" applyBorder="1" applyAlignment="1" applyProtection="1">
      <alignment horizontal="center" vertical="center"/>
    </xf>
    <xf numFmtId="9" fontId="0" fillId="5" borderId="0" xfId="0" applyNumberFormat="1" applyFill="1" applyAlignment="1">
      <alignment horizontal="center" vertical="center"/>
    </xf>
    <xf numFmtId="177" fontId="0" fillId="5" borderId="7" xfId="0" applyNumberFormat="1" applyFill="1" applyBorder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9" fontId="0" fillId="0" borderId="9" xfId="0" applyNumberFormat="1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77" fontId="0" fillId="2" borderId="7" xfId="0" applyNumberFormat="1" applyFill="1" applyBorder="1" applyAlignment="1">
      <alignment horizontal="center" vertical="center"/>
    </xf>
    <xf numFmtId="179" fontId="0" fillId="0" borderId="9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9" fontId="0" fillId="6" borderId="9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9" fontId="0" fillId="0" borderId="4" xfId="0" applyNumberFormat="1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center" vertical="center"/>
    </xf>
    <xf numFmtId="0" fontId="0" fillId="7" borderId="6" xfId="0" applyFill="1" applyBorder="1" applyAlignment="1">
      <alignment horizontal="center" vertical="center"/>
    </xf>
    <xf numFmtId="10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177" fontId="0" fillId="7" borderId="7" xfId="0" applyNumberForma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0" fontId="0" fillId="7" borderId="6" xfId="0" applyNumberFormat="1" applyFill="1" applyBorder="1" applyAlignment="1">
      <alignment horizontal="center" vertical="center"/>
    </xf>
    <xf numFmtId="177" fontId="0" fillId="0" borderId="0" xfId="0" applyNumberFormat="1" applyFill="1" applyAlignment="1"/>
    <xf numFmtId="0" fontId="0" fillId="0" borderId="0" xfId="0" applyNumberFormat="1" applyFont="1" applyFill="1" applyBorder="1" applyAlignment="1" applyProtection="1"/>
    <xf numFmtId="0" fontId="4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0" fontId="4" fillId="0" borderId="0" xfId="0" applyNumberFormat="1" applyFont="1" applyFill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1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1" fillId="5" borderId="0" xfId="0" applyFont="1" applyFill="1" applyAlignment="1">
      <alignment horizontal="center" vertical="center"/>
    </xf>
    <xf numFmtId="10" fontId="1" fillId="5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0" fontId="1" fillId="9" borderId="0" xfId="0" applyNumberFormat="1" applyFont="1" applyFill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workbookViewId="0">
      <selection activeCell="C30" sqref="C30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9.54545454545454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198.81%</f>
        <v>1.9881</v>
      </c>
      <c r="R2" s="19" t="s">
        <v>21</v>
      </c>
      <c r="S2" s="19">
        <f>$C$3</f>
        <v>1011</v>
      </c>
      <c r="T2" s="18">
        <f>(C$4+C$5+C$6+C$7)+(C$8+C$9)/S$2-22.5%</f>
        <v>1.3881918892186</v>
      </c>
      <c r="U2" s="18">
        <f>SUM($E$3:$E$5)-12%</f>
        <v>1.12</v>
      </c>
      <c r="V2" s="20">
        <f>1+$G$8*($I$8-1-0.25)</f>
        <v>2.47</v>
      </c>
      <c r="W2" s="21">
        <v>0.15</v>
      </c>
      <c r="X2" s="19">
        <f>AE$3</f>
        <v>0.50131926121372</v>
      </c>
      <c r="Y2" s="19">
        <v>0.8</v>
      </c>
      <c r="Z2" s="22">
        <v>0</v>
      </c>
      <c r="AA2" s="22">
        <v>0</v>
      </c>
      <c r="AB2" s="22">
        <v>0</v>
      </c>
      <c r="AC2" s="23">
        <f>Q2*S2*(1+T2)*(1+U2)*V2*(1+W2)*X2*Y2*(1+Z2)*(1+AA2)*(1+AB2)</f>
        <v>11592.9411832287</v>
      </c>
      <c r="AD2" s="13">
        <v>0</v>
      </c>
      <c r="AE2" s="14">
        <f t="shared" ref="AE2:AE7" si="0">1520/(1520+(792+8*AF2)*(1-AD2/100))</f>
        <v>0.50131926121372</v>
      </c>
      <c r="AF2" s="24">
        <v>90</v>
      </c>
    </row>
    <row r="3" s="1" customFormat="1" spans="2:32">
      <c r="B3" s="25" t="s">
        <v>22</v>
      </c>
      <c r="C3" s="26">
        <f>424+587</f>
        <v>1011</v>
      </c>
      <c r="D3" s="25" t="s">
        <v>23</v>
      </c>
      <c r="E3" s="27">
        <f>60%+12%</f>
        <v>0.72</v>
      </c>
      <c r="F3" s="25" t="s">
        <v>24</v>
      </c>
      <c r="G3" s="27">
        <v>0.05</v>
      </c>
      <c r="H3" s="25" t="s">
        <v>24</v>
      </c>
      <c r="I3" s="28">
        <f>150%+16%</f>
        <v>1.66</v>
      </c>
      <c r="J3" s="29" t="s">
        <v>25</v>
      </c>
      <c r="K3" s="28">
        <f>15%+20%</f>
        <v>0.35</v>
      </c>
      <c r="L3" s="25" t="s">
        <v>26</v>
      </c>
      <c r="M3" s="27">
        <f>8.6%*2</f>
        <v>0.172</v>
      </c>
      <c r="N3" s="6"/>
      <c r="P3" s="17" t="s">
        <v>27</v>
      </c>
      <c r="Q3" s="18">
        <f>405%</f>
        <v>4.05</v>
      </c>
      <c r="R3" s="19" t="s">
        <v>27</v>
      </c>
      <c r="S3" s="19">
        <f>$C$3</f>
        <v>1011</v>
      </c>
      <c r="T3" s="18">
        <f>(C$4+C$5+C$6+C$7)+(C$8+C$9)/S$2-22.5%</f>
        <v>1.3881918892186</v>
      </c>
      <c r="U3" s="18">
        <f>SUM($E$3:$E$5)-12%</f>
        <v>1.12</v>
      </c>
      <c r="V3" s="20">
        <f>1+$G$8*($I$8-1-0.25)</f>
        <v>2.47</v>
      </c>
      <c r="W3" s="21">
        <v>0.15</v>
      </c>
      <c r="X3" s="19">
        <f>AE$3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>Q3*S3*(1+T3)*(1+U3)*V3*(1+W3)*X3*Y3*(1+Z3)*(1+AA3)*(1+AB3)</f>
        <v>23616.2224194337</v>
      </c>
      <c r="AD3" s="13">
        <v>0</v>
      </c>
      <c r="AE3" s="14">
        <f t="shared" si="0"/>
        <v>0.50131926121372</v>
      </c>
      <c r="AF3" s="24">
        <v>90</v>
      </c>
    </row>
    <row r="4" s="1" customFormat="1" spans="2:32">
      <c r="B4" s="25" t="s">
        <v>28</v>
      </c>
      <c r="C4" s="28">
        <f>12%</f>
        <v>0.12</v>
      </c>
      <c r="D4" s="25" t="s">
        <v>29</v>
      </c>
      <c r="E4" s="27">
        <v>0.12</v>
      </c>
      <c r="F4" s="25" t="s">
        <v>30</v>
      </c>
      <c r="G4" s="27">
        <v>0.243</v>
      </c>
      <c r="H4" s="25" t="s">
        <v>31</v>
      </c>
      <c r="I4" s="27">
        <f>M6</f>
        <v>0.81</v>
      </c>
      <c r="J4" s="30" t="s">
        <v>32</v>
      </c>
      <c r="K4" s="27"/>
      <c r="L4" s="25" t="s">
        <v>33</v>
      </c>
      <c r="M4" s="27">
        <f>8.6%*2</f>
        <v>0.172</v>
      </c>
      <c r="N4" s="6"/>
      <c r="P4" s="17" t="s">
        <v>21</v>
      </c>
      <c r="Q4" s="18">
        <f>198.81%</f>
        <v>1.9881</v>
      </c>
      <c r="R4" s="19" t="s">
        <v>21</v>
      </c>
      <c r="S4" s="19">
        <f t="shared" ref="S4:S11" si="1">$C$3</f>
        <v>1011</v>
      </c>
      <c r="T4" s="18">
        <f>(C$4+C$5+C$6+C$7)+(C$8+C$9)/S$2-22.5%</f>
        <v>1.3881918892186</v>
      </c>
      <c r="U4" s="18">
        <f>SUM($E$3:$E$5)-12%</f>
        <v>1.12</v>
      </c>
      <c r="V4" s="20">
        <f>1+$G$8*($I$8-1-0.25)</f>
        <v>2.47</v>
      </c>
      <c r="W4" s="21">
        <v>0.15</v>
      </c>
      <c r="X4" s="19">
        <f t="shared" ref="X4:X11" si="2">AE$3</f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>Q4*S4*(1+T4)*(1+U4)*V4*(1+W4)*X4*Y4*(1+Z4)*(1+AA4)*(1+AB4)</f>
        <v>11592.9411832287</v>
      </c>
      <c r="AD4" s="13">
        <v>14.4</v>
      </c>
      <c r="AE4" s="14">
        <f t="shared" si="0"/>
        <v>0.540104154822277</v>
      </c>
      <c r="AF4" s="24">
        <v>90</v>
      </c>
    </row>
    <row r="5" s="1" customFormat="1" spans="2:32">
      <c r="B5" s="25" t="s">
        <v>34</v>
      </c>
      <c r="C5" s="28">
        <f>18%+18%+M3</f>
        <v>0.532</v>
      </c>
      <c r="D5" s="25" t="s">
        <v>35</v>
      </c>
      <c r="E5" s="27">
        <v>0.4</v>
      </c>
      <c r="F5" s="25" t="s">
        <v>36</v>
      </c>
      <c r="G5" s="27"/>
      <c r="H5" s="25" t="s">
        <v>30</v>
      </c>
      <c r="I5" s="27"/>
      <c r="J5" s="30" t="s">
        <v>37</v>
      </c>
      <c r="K5" s="27">
        <v>0.25</v>
      </c>
      <c r="L5" s="25" t="s">
        <v>18</v>
      </c>
      <c r="M5" s="27">
        <f>8.1*5%</f>
        <v>0.405</v>
      </c>
      <c r="N5" s="6"/>
      <c r="P5" s="31" t="s">
        <v>38</v>
      </c>
      <c r="Q5" s="32">
        <f>99.41%*2</f>
        <v>1.9882</v>
      </c>
      <c r="R5" s="33" t="s">
        <v>39</v>
      </c>
      <c r="S5" s="33">
        <f t="shared" si="1"/>
        <v>1011</v>
      </c>
      <c r="T5" s="32">
        <f t="shared" ref="T3:T17" si="3">(C$4+C$5+C$6+C$7)+(C$8+C$9)/S$2</f>
        <v>1.6131918892186</v>
      </c>
      <c r="U5" s="32">
        <f>SUM($E$3:$E$7)</f>
        <v>1.68</v>
      </c>
      <c r="V5" s="34">
        <f t="shared" ref="V4:V10" si="4">1+$G$8*($I$8-1)</f>
        <v>2.72</v>
      </c>
      <c r="W5" s="35">
        <v>0.35</v>
      </c>
      <c r="X5" s="33">
        <f t="shared" si="2"/>
        <v>0.50131926121372</v>
      </c>
      <c r="Y5" s="33">
        <v>0.8</v>
      </c>
      <c r="Z5" s="36">
        <v>0</v>
      </c>
      <c r="AA5" s="36">
        <v>0</v>
      </c>
      <c r="AB5" s="36">
        <v>0</v>
      </c>
      <c r="AC5" s="37">
        <f>Q5*S5*(1+T5)*(1+U5)*V5*(1+W5)*X5*Y5*(1+Z5)*(1+AA5)*(1+AB5)</f>
        <v>20731.1966455396</v>
      </c>
      <c r="AD5" s="13">
        <v>21.6</v>
      </c>
      <c r="AE5" s="14">
        <f t="shared" si="0"/>
        <v>0.561837623012869</v>
      </c>
      <c r="AF5" s="24">
        <v>90</v>
      </c>
    </row>
    <row r="6" s="1" customFormat="1" spans="2:32">
      <c r="B6" s="25" t="s">
        <v>40</v>
      </c>
      <c r="C6" s="38"/>
      <c r="D6" s="25" t="s">
        <v>41</v>
      </c>
      <c r="E6" s="27">
        <v>0.12</v>
      </c>
      <c r="F6" s="25" t="s">
        <v>31</v>
      </c>
      <c r="G6" s="27">
        <f>M5+22%</f>
        <v>0.625</v>
      </c>
      <c r="H6" s="25"/>
      <c r="I6" s="27"/>
      <c r="J6" s="30"/>
      <c r="K6" s="27"/>
      <c r="L6" s="25" t="s">
        <v>42</v>
      </c>
      <c r="M6" s="28">
        <f>16.2%*5</f>
        <v>0.81</v>
      </c>
      <c r="N6" s="6"/>
      <c r="P6" s="31" t="s">
        <v>43</v>
      </c>
      <c r="Q6" s="32">
        <f>1466.06%</f>
        <v>14.6606</v>
      </c>
      <c r="R6" s="33" t="s">
        <v>43</v>
      </c>
      <c r="S6" s="33">
        <f t="shared" si="1"/>
        <v>1011</v>
      </c>
      <c r="T6" s="32">
        <f t="shared" si="3"/>
        <v>1.6131918892186</v>
      </c>
      <c r="U6" s="32">
        <f t="shared" ref="U6:U9" si="5">SUM($E$3:$E$8)</f>
        <v>2.452</v>
      </c>
      <c r="V6" s="34">
        <f t="shared" si="4"/>
        <v>2.72</v>
      </c>
      <c r="W6" s="35">
        <f t="shared" ref="W4:W9" si="6">K$3+K$5</f>
        <v>0.6</v>
      </c>
      <c r="X6" s="33">
        <f t="shared" si="2"/>
        <v>0.50131926121372</v>
      </c>
      <c r="Y6" s="33">
        <v>0.8</v>
      </c>
      <c r="Z6" s="36">
        <v>0</v>
      </c>
      <c r="AA6" s="36">
        <v>0</v>
      </c>
      <c r="AB6" s="36">
        <v>0</v>
      </c>
      <c r="AC6" s="37">
        <f>Q6*S6*(1+T6)*(1+U6)*V6*(1+W6)*X6*Y6*(1+Z6)*(1+AA6)*(1+AB6)</f>
        <v>233366.3606726</v>
      </c>
      <c r="AD6" s="13">
        <v>28.8</v>
      </c>
      <c r="AE6" s="14">
        <f t="shared" si="0"/>
        <v>0.585393507677898</v>
      </c>
      <c r="AF6" s="24">
        <v>90</v>
      </c>
    </row>
    <row r="7" s="1" customFormat="1" spans="2:32">
      <c r="B7" s="25" t="s">
        <v>44</v>
      </c>
      <c r="C7" s="38">
        <f>22.5%+39%</f>
        <v>0.615</v>
      </c>
      <c r="D7" s="25" t="s">
        <v>45</v>
      </c>
      <c r="E7" s="27">
        <v>0.32</v>
      </c>
      <c r="F7" s="25" t="s">
        <v>46</v>
      </c>
      <c r="G7" s="27">
        <v>0.125</v>
      </c>
      <c r="H7" s="25" t="s">
        <v>46</v>
      </c>
      <c r="I7" s="27">
        <v>0.25</v>
      </c>
      <c r="J7" s="30"/>
      <c r="K7" s="27"/>
      <c r="L7" s="25"/>
      <c r="M7" s="26"/>
      <c r="N7" s="6"/>
      <c r="P7" s="31" t="s">
        <v>21</v>
      </c>
      <c r="Q7" s="32">
        <f>49.59%*3+173.55%*2</f>
        <v>4.9587</v>
      </c>
      <c r="R7" s="33" t="s">
        <v>21</v>
      </c>
      <c r="S7" s="33">
        <f t="shared" si="1"/>
        <v>1011</v>
      </c>
      <c r="T7" s="32">
        <f t="shared" si="3"/>
        <v>1.6131918892186</v>
      </c>
      <c r="U7" s="32">
        <f>SUM($E$3:$E$7)</f>
        <v>1.68</v>
      </c>
      <c r="V7" s="34">
        <f t="shared" si="4"/>
        <v>2.72</v>
      </c>
      <c r="W7" s="35">
        <v>0.35</v>
      </c>
      <c r="X7" s="33">
        <f t="shared" si="2"/>
        <v>0.50131926121372</v>
      </c>
      <c r="Y7" s="33">
        <v>0.8</v>
      </c>
      <c r="Z7" s="36">
        <v>0</v>
      </c>
      <c r="AA7" s="36">
        <v>0</v>
      </c>
      <c r="AB7" s="36">
        <v>0</v>
      </c>
      <c r="AC7" s="37">
        <f>Q7*S7*(1+T7)*(1+U7)*V7*(1+W7)*X7*Y7*(1+Z7)*(1+AA7)*(1+AB7)</f>
        <v>51704.9516176629</v>
      </c>
      <c r="AD7" s="13">
        <v>36</v>
      </c>
      <c r="AE7" s="14">
        <f t="shared" si="0"/>
        <v>0.611011062516079</v>
      </c>
      <c r="AF7" s="24">
        <v>90</v>
      </c>
    </row>
    <row r="8" s="1" customFormat="1" spans="2:32">
      <c r="B8" s="25" t="s">
        <v>47</v>
      </c>
      <c r="C8" s="26">
        <v>350</v>
      </c>
      <c r="D8" s="25" t="s">
        <v>48</v>
      </c>
      <c r="E8" s="27">
        <f>48%+M4+12%</f>
        <v>0.772</v>
      </c>
      <c r="F8" s="39" t="s">
        <v>49</v>
      </c>
      <c r="G8" s="40">
        <f>MIN(100%,SUM(G3:G7))</f>
        <v>1</v>
      </c>
      <c r="H8" s="39" t="s">
        <v>50</v>
      </c>
      <c r="I8" s="41">
        <f>SUM(I3:I7)</f>
        <v>2.72</v>
      </c>
      <c r="J8" s="30"/>
      <c r="K8" s="27"/>
      <c r="L8" s="25"/>
      <c r="M8" s="26"/>
      <c r="N8" s="6"/>
      <c r="P8" s="31" t="s">
        <v>51</v>
      </c>
      <c r="Q8" s="32">
        <f>21.87%*4+65.61%*2</f>
        <v>2.187</v>
      </c>
      <c r="R8" s="33" t="s">
        <v>43</v>
      </c>
      <c r="S8" s="33">
        <f t="shared" si="1"/>
        <v>1011</v>
      </c>
      <c r="T8" s="32">
        <f t="shared" si="3"/>
        <v>1.6131918892186</v>
      </c>
      <c r="U8" s="32">
        <f t="shared" si="5"/>
        <v>2.452</v>
      </c>
      <c r="V8" s="34">
        <f t="shared" si="4"/>
        <v>2.72</v>
      </c>
      <c r="W8" s="35">
        <f t="shared" si="6"/>
        <v>0.6</v>
      </c>
      <c r="X8" s="33">
        <f t="shared" si="2"/>
        <v>0.50131926121372</v>
      </c>
      <c r="Y8" s="33">
        <v>0.8</v>
      </c>
      <c r="Z8" s="36">
        <v>0</v>
      </c>
      <c r="AA8" s="36">
        <v>0</v>
      </c>
      <c r="AB8" s="36">
        <v>0</v>
      </c>
      <c r="AC8" s="37">
        <f>Q8*S8*(1+T8)*(1+U8)*V8*(1+W8)*X8*Y8*(1+Z8)*(1+AA8)*(1+AB8)</f>
        <v>34812.5063633805</v>
      </c>
    </row>
    <row r="9" s="1" customFormat="1" spans="2:32">
      <c r="B9" s="42" t="s">
        <v>52</v>
      </c>
      <c r="C9" s="43"/>
      <c r="D9" s="42"/>
      <c r="E9" s="44"/>
      <c r="F9" s="42"/>
      <c r="G9" s="45"/>
      <c r="H9" s="42"/>
      <c r="I9" s="43"/>
      <c r="J9" s="46"/>
      <c r="K9" s="45"/>
      <c r="L9" s="42"/>
      <c r="M9" s="43"/>
      <c r="N9" s="6"/>
      <c r="P9" s="31" t="s">
        <v>53</v>
      </c>
      <c r="Q9" s="32">
        <f t="shared" ref="Q9:Q15" si="7">95.73%*4+255.28%</f>
        <v>6.382</v>
      </c>
      <c r="R9" s="33" t="s">
        <v>43</v>
      </c>
      <c r="S9" s="33">
        <f t="shared" si="1"/>
        <v>1011</v>
      </c>
      <c r="T9" s="32">
        <f t="shared" si="3"/>
        <v>1.6131918892186</v>
      </c>
      <c r="U9" s="32">
        <f t="shared" si="5"/>
        <v>2.452</v>
      </c>
      <c r="V9" s="34">
        <f t="shared" si="4"/>
        <v>2.72</v>
      </c>
      <c r="W9" s="35">
        <f t="shared" si="6"/>
        <v>0.6</v>
      </c>
      <c r="X9" s="33">
        <f t="shared" si="2"/>
        <v>0.50131926121372</v>
      </c>
      <c r="Y9" s="33">
        <v>0.8</v>
      </c>
      <c r="Z9" s="36">
        <v>0</v>
      </c>
      <c r="AA9" s="36">
        <v>0</v>
      </c>
      <c r="AB9" s="36">
        <v>0</v>
      </c>
      <c r="AC9" s="37">
        <f>Q9*S9*(1+T9)*(1+U9)*V9*(1+W9)*X9*Y9*(1+Z9)*(1+AA9)*(1+AB9)</f>
        <v>101588.210155964</v>
      </c>
    </row>
    <row r="10" s="1" customFormat="1" spans="2:32">
      <c r="B10" s="6"/>
      <c r="C10" s="6"/>
      <c r="D10" s="6"/>
      <c r="E10" s="6"/>
      <c r="F10" s="6" t="s">
        <v>54</v>
      </c>
      <c r="G10" s="47"/>
      <c r="H10" s="6"/>
      <c r="I10" s="6"/>
      <c r="J10" s="6"/>
      <c r="K10" s="6"/>
      <c r="L10" s="6"/>
      <c r="M10" s="6"/>
      <c r="N10" s="6"/>
      <c r="P10" s="31" t="s">
        <v>55</v>
      </c>
      <c r="Q10" s="32">
        <f>119.67%+60.92%*4+133.25%*2</f>
        <v>6.2985</v>
      </c>
      <c r="R10" s="33" t="s">
        <v>51</v>
      </c>
      <c r="S10" s="33">
        <f t="shared" ref="S10:S15" si="8">$C$3</f>
        <v>1011</v>
      </c>
      <c r="T10" s="32">
        <f t="shared" si="3"/>
        <v>1.6131918892186</v>
      </c>
      <c r="U10" s="32">
        <f>SUM($E$3:$E$7)</f>
        <v>1.68</v>
      </c>
      <c r="V10" s="34">
        <f t="shared" ref="V10:V16" si="9">1+$G$8*($I$8-1)</f>
        <v>2.72</v>
      </c>
      <c r="W10" s="35">
        <v>0.35</v>
      </c>
      <c r="X10" s="33">
        <f t="shared" ref="X10:X15" si="10">AE$3</f>
        <v>0.50131926121372</v>
      </c>
      <c r="Y10" s="33">
        <v>0.8</v>
      </c>
      <c r="Z10" s="36"/>
      <c r="AA10" s="36"/>
      <c r="AB10" s="36"/>
      <c r="AC10" s="37">
        <f t="shared" ref="AC10:AC16" si="11">Q10*S10*(1+T10)*(1+U10)*V10*(1+W10)*X10*Y10*(1+Z10)*(1+AA10)*(1+AB10)</f>
        <v>65675.204743955</v>
      </c>
    </row>
    <row r="11" s="1" customFormat="1" spans="2:32">
      <c r="B11" s="6"/>
      <c r="C11" s="6"/>
      <c r="D11" s="6"/>
      <c r="E11" s="6"/>
      <c r="F11" s="6"/>
      <c r="G11" s="47"/>
      <c r="H11" s="6"/>
      <c r="I11" s="6"/>
      <c r="J11" s="6"/>
      <c r="K11" s="6"/>
      <c r="L11" s="6"/>
      <c r="M11" s="6"/>
      <c r="N11" s="6"/>
      <c r="P11" s="31" t="s">
        <v>53</v>
      </c>
      <c r="Q11" s="32">
        <f t="shared" si="7"/>
        <v>6.382</v>
      </c>
      <c r="R11" s="33" t="s">
        <v>43</v>
      </c>
      <c r="S11" s="33">
        <f t="shared" si="8"/>
        <v>1011</v>
      </c>
      <c r="T11" s="32">
        <f t="shared" si="3"/>
        <v>1.6131918892186</v>
      </c>
      <c r="U11" s="32">
        <f t="shared" ref="U11:U15" si="12">SUM($E$3:$E$8)</f>
        <v>2.452</v>
      </c>
      <c r="V11" s="34">
        <f t="shared" si="9"/>
        <v>2.72</v>
      </c>
      <c r="W11" s="35">
        <f t="shared" ref="W10:W15" si="13">K$3+K$5</f>
        <v>0.6</v>
      </c>
      <c r="X11" s="33">
        <f t="shared" si="10"/>
        <v>0.50131926121372</v>
      </c>
      <c r="Y11" s="33">
        <v>0.8</v>
      </c>
      <c r="Z11" s="36"/>
      <c r="AA11" s="36"/>
      <c r="AB11" s="36"/>
      <c r="AC11" s="37">
        <f t="shared" si="11"/>
        <v>101588.210155964</v>
      </c>
    </row>
    <row r="12" s="1" customFormat="1" ht="14.75" spans="2:32">
      <c r="B12" s="6"/>
      <c r="C12" s="6"/>
      <c r="D12" s="6"/>
      <c r="E12" s="6"/>
      <c r="F12" s="6"/>
      <c r="G12" s="47"/>
      <c r="H12" s="6"/>
      <c r="I12" s="6"/>
      <c r="J12" s="6"/>
      <c r="K12" s="6"/>
      <c r="L12" s="6"/>
      <c r="M12" s="6"/>
      <c r="N12" s="6"/>
      <c r="P12" s="31" t="s">
        <v>21</v>
      </c>
      <c r="Q12" s="32">
        <f>49.59%*3+173.55%*2</f>
        <v>4.9587</v>
      </c>
      <c r="R12" s="33" t="s">
        <v>21</v>
      </c>
      <c r="S12" s="33">
        <f t="shared" si="8"/>
        <v>1011</v>
      </c>
      <c r="T12" s="32">
        <f t="shared" si="3"/>
        <v>1.6131918892186</v>
      </c>
      <c r="U12" s="32">
        <f>SUM($E$3:$E$7)</f>
        <v>1.68</v>
      </c>
      <c r="V12" s="34">
        <f t="shared" si="9"/>
        <v>2.72</v>
      </c>
      <c r="W12" s="35">
        <v>0.35</v>
      </c>
      <c r="X12" s="33">
        <f t="shared" si="10"/>
        <v>0.50131926121372</v>
      </c>
      <c r="Y12" s="33">
        <v>0.8</v>
      </c>
      <c r="Z12" s="36"/>
      <c r="AA12" s="36"/>
      <c r="AB12" s="36"/>
      <c r="AC12" s="37">
        <f t="shared" si="11"/>
        <v>51704.9516176629</v>
      </c>
    </row>
    <row r="13" s="1" customFormat="1" ht="15" spans="2:32">
      <c r="B13" s="48" t="s">
        <v>56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0"/>
      <c r="N13" s="6"/>
      <c r="P13" s="31" t="s">
        <v>51</v>
      </c>
      <c r="Q13" s="32">
        <f>21.87%*4+65.61%*2</f>
        <v>2.187</v>
      </c>
      <c r="R13" s="33" t="s">
        <v>43</v>
      </c>
      <c r="S13" s="33">
        <f t="shared" si="8"/>
        <v>1011</v>
      </c>
      <c r="T13" s="32">
        <f t="shared" si="3"/>
        <v>1.6131918892186</v>
      </c>
      <c r="U13" s="32">
        <f t="shared" si="12"/>
        <v>2.452</v>
      </c>
      <c r="V13" s="34">
        <f t="shared" si="9"/>
        <v>2.72</v>
      </c>
      <c r="W13" s="35">
        <f t="shared" si="13"/>
        <v>0.6</v>
      </c>
      <c r="X13" s="33">
        <f t="shared" si="10"/>
        <v>0.50131926121372</v>
      </c>
      <c r="Y13" s="33">
        <v>0.8</v>
      </c>
      <c r="Z13" s="36"/>
      <c r="AA13" s="36"/>
      <c r="AB13" s="36"/>
      <c r="AC13" s="37">
        <f t="shared" si="11"/>
        <v>34812.5063633805</v>
      </c>
    </row>
    <row r="14" s="1" customFormat="1" spans="2:32">
      <c r="B14" s="51" t="s">
        <v>17</v>
      </c>
      <c r="C14" s="52"/>
      <c r="D14" s="51" t="s">
        <v>6</v>
      </c>
      <c r="E14" s="52"/>
      <c r="F14" s="51" t="s">
        <v>18</v>
      </c>
      <c r="G14" s="52"/>
      <c r="H14" s="51" t="s">
        <v>19</v>
      </c>
      <c r="I14" s="52"/>
      <c r="J14" s="53" t="s">
        <v>8</v>
      </c>
      <c r="K14" s="53"/>
      <c r="L14" s="51" t="s">
        <v>20</v>
      </c>
      <c r="M14" s="52"/>
      <c r="N14" s="6"/>
      <c r="P14" s="31" t="s">
        <v>53</v>
      </c>
      <c r="Q14" s="32">
        <f t="shared" si="7"/>
        <v>6.382</v>
      </c>
      <c r="R14" s="33" t="s">
        <v>43</v>
      </c>
      <c r="S14" s="33">
        <f t="shared" si="8"/>
        <v>1011</v>
      </c>
      <c r="T14" s="32">
        <f t="shared" si="3"/>
        <v>1.6131918892186</v>
      </c>
      <c r="U14" s="32">
        <f t="shared" si="12"/>
        <v>2.452</v>
      </c>
      <c r="V14" s="34">
        <f t="shared" si="9"/>
        <v>2.72</v>
      </c>
      <c r="W14" s="35">
        <f t="shared" si="13"/>
        <v>0.6</v>
      </c>
      <c r="X14" s="33">
        <f t="shared" si="10"/>
        <v>0.50131926121372</v>
      </c>
      <c r="Y14" s="33">
        <v>0.8</v>
      </c>
      <c r="Z14" s="36">
        <v>0</v>
      </c>
      <c r="AA14" s="36">
        <v>0</v>
      </c>
      <c r="AB14" s="36">
        <v>0</v>
      </c>
      <c r="AC14" s="37">
        <f t="shared" si="11"/>
        <v>101588.210155964</v>
      </c>
    </row>
    <row r="15" s="1" customFormat="1" spans="2:32">
      <c r="B15" s="25" t="s">
        <v>22</v>
      </c>
      <c r="C15" s="26">
        <f>375+500</f>
        <v>875</v>
      </c>
      <c r="D15" s="25" t="s">
        <v>23</v>
      </c>
      <c r="E15" s="28">
        <v>0.6</v>
      </c>
      <c r="F15" s="25" t="s">
        <v>24</v>
      </c>
      <c r="G15" s="27">
        <v>0.13</v>
      </c>
      <c r="H15" s="25" t="s">
        <v>24</v>
      </c>
      <c r="I15" s="28">
        <v>1.5</v>
      </c>
      <c r="J15" s="54" t="s">
        <v>25</v>
      </c>
      <c r="K15" s="55">
        <v>0.15</v>
      </c>
      <c r="L15" s="25" t="s">
        <v>26</v>
      </c>
      <c r="M15" s="27">
        <f>8.6%*2</f>
        <v>0.172</v>
      </c>
      <c r="N15" s="6"/>
      <c r="P15" s="31" t="s">
        <v>57</v>
      </c>
      <c r="Q15" s="32">
        <f>397.82%</f>
        <v>3.9782</v>
      </c>
      <c r="R15" s="33" t="s">
        <v>43</v>
      </c>
      <c r="S15" s="33">
        <f t="shared" si="8"/>
        <v>1011</v>
      </c>
      <c r="T15" s="32">
        <f t="shared" si="3"/>
        <v>1.6131918892186</v>
      </c>
      <c r="U15" s="32">
        <f t="shared" si="12"/>
        <v>2.452</v>
      </c>
      <c r="V15" s="34">
        <f t="shared" si="9"/>
        <v>2.72</v>
      </c>
      <c r="W15" s="35">
        <v>0.15</v>
      </c>
      <c r="X15" s="33">
        <f t="shared" si="10"/>
        <v>0.50131926121372</v>
      </c>
      <c r="Y15" s="33">
        <v>0.8</v>
      </c>
      <c r="Z15" s="36"/>
      <c r="AA15" s="36"/>
      <c r="AB15" s="36"/>
      <c r="AC15" s="37">
        <f t="shared" si="11"/>
        <v>45514.6261251201</v>
      </c>
    </row>
    <row r="16" s="1" customFormat="1" spans="2:32">
      <c r="B16" s="25" t="s">
        <v>28</v>
      </c>
      <c r="C16" s="28">
        <f>12%+53.9%</f>
        <v>0.659</v>
      </c>
      <c r="D16" s="25" t="s">
        <v>29</v>
      </c>
      <c r="E16" s="28"/>
      <c r="F16" s="25" t="s">
        <v>30</v>
      </c>
      <c r="G16" s="56">
        <v>0</v>
      </c>
      <c r="H16" s="25" t="s">
        <v>31</v>
      </c>
      <c r="I16" s="27">
        <f>M18</f>
        <v>0.81</v>
      </c>
      <c r="J16" s="30" t="s">
        <v>58</v>
      </c>
      <c r="K16" s="27"/>
      <c r="L16" s="25" t="s">
        <v>59</v>
      </c>
      <c r="M16" s="27">
        <f>8.6%*2</f>
        <v>0.172</v>
      </c>
      <c r="N16" s="6"/>
      <c r="P16" s="31" t="s">
        <v>60</v>
      </c>
      <c r="Q16" s="32">
        <f>237.63%*2</f>
        <v>4.7526</v>
      </c>
      <c r="R16" s="33" t="s">
        <v>61</v>
      </c>
      <c r="S16" s="33">
        <f>$C$3</f>
        <v>1011</v>
      </c>
      <c r="T16" s="32">
        <f t="shared" si="3"/>
        <v>1.6131918892186</v>
      </c>
      <c r="U16" s="32">
        <f>SUM($E$3:$E$7)</f>
        <v>1.68</v>
      </c>
      <c r="V16" s="34">
        <f t="shared" si="9"/>
        <v>2.72</v>
      </c>
      <c r="W16" s="35">
        <v>0.15</v>
      </c>
      <c r="X16" s="33">
        <f>AE$3</f>
        <v>0.50131926121372</v>
      </c>
      <c r="Y16" s="33">
        <v>0.8</v>
      </c>
      <c r="Z16" s="36">
        <v>0</v>
      </c>
      <c r="AA16" s="36">
        <v>0</v>
      </c>
      <c r="AB16" s="36">
        <v>0</v>
      </c>
      <c r="AC16" s="37">
        <f t="shared" si="11"/>
        <v>42214.3043788837</v>
      </c>
    </row>
    <row r="17" s="1" customFormat="1" spans="2:29">
      <c r="B17" s="25" t="s">
        <v>34</v>
      </c>
      <c r="C17" s="28">
        <f>18%+18%+M15</f>
        <v>0.532</v>
      </c>
      <c r="D17" s="25" t="s">
        <v>35</v>
      </c>
      <c r="E17" s="28"/>
      <c r="F17" s="25" t="s">
        <v>36</v>
      </c>
      <c r="G17" s="27"/>
      <c r="H17" s="25" t="s">
        <v>36</v>
      </c>
      <c r="I17" s="27"/>
      <c r="J17" s="30"/>
      <c r="K17" s="27"/>
      <c r="L17" s="25" t="s">
        <v>18</v>
      </c>
      <c r="M17" s="27">
        <f>8.1*5%</f>
        <v>0.405</v>
      </c>
      <c r="N17" s="6"/>
      <c r="P17" s="57" t="s">
        <v>55</v>
      </c>
      <c r="Q17" s="58">
        <f>41.76%*2+20.55%*5+133.61%</f>
        <v>3.1988</v>
      </c>
      <c r="R17" s="59" t="s">
        <v>51</v>
      </c>
      <c r="S17" s="59">
        <f t="shared" ref="S17:S26" si="14">C$15</f>
        <v>875</v>
      </c>
      <c r="T17" s="58">
        <f>(C$16+C$17+C$18+C$19)+(C$20+C$21)/C$15</f>
        <v>2.161</v>
      </c>
      <c r="U17" s="58">
        <f t="shared" ref="U17:U26" si="15">E$15+E$20</f>
        <v>0.94</v>
      </c>
      <c r="V17" s="60">
        <f t="shared" ref="V17:V19" si="16">G$20*(I$20-1)+1</f>
        <v>2.1528</v>
      </c>
      <c r="W17" s="61">
        <f t="shared" ref="W17:W26" si="17">K$15</f>
        <v>0.15</v>
      </c>
      <c r="X17" s="59">
        <f t="shared" ref="X17:X26" si="18">AE$2</f>
        <v>0.50131926121372</v>
      </c>
      <c r="Y17" s="59">
        <v>0.8</v>
      </c>
      <c r="Z17" s="61"/>
      <c r="AA17" s="61"/>
      <c r="AB17" s="62"/>
      <c r="AC17" s="63">
        <f t="shared" ref="AC17:AC26" si="19">Q17*S17*(1+T17)*(1+U17)*V17*(1+W17)*X17*Y17*(1+Z17)*(1+AA17)*(1+AB17)</f>
        <v>17042.2632382797</v>
      </c>
    </row>
    <row r="18" s="1" customFormat="1" spans="2:29">
      <c r="B18" s="25" t="s">
        <v>40</v>
      </c>
      <c r="C18" s="38">
        <v>0.18</v>
      </c>
      <c r="D18" s="25" t="s">
        <v>41</v>
      </c>
      <c r="E18" s="28"/>
      <c r="F18" s="25" t="s">
        <v>31</v>
      </c>
      <c r="G18" s="27">
        <f>M17+22%</f>
        <v>0.625</v>
      </c>
      <c r="H18" s="25"/>
      <c r="I18" s="27"/>
      <c r="J18" s="30"/>
      <c r="K18" s="27"/>
      <c r="L18" s="25" t="s">
        <v>42</v>
      </c>
      <c r="M18" s="28">
        <f>16.2%*5</f>
        <v>0.81</v>
      </c>
      <c r="N18" s="6"/>
      <c r="P18" s="57" t="s">
        <v>62</v>
      </c>
      <c r="Q18" s="58">
        <f>86.16%*3</f>
        <v>2.5848</v>
      </c>
      <c r="R18" s="59" t="s">
        <v>39</v>
      </c>
      <c r="S18" s="59">
        <f t="shared" si="14"/>
        <v>875</v>
      </c>
      <c r="T18" s="58">
        <f t="shared" ref="T18:T26" si="20">(C$16+C$17+C$18+C$19)+(C$20+C$21)/C$15</f>
        <v>2.161</v>
      </c>
      <c r="U18" s="58">
        <f t="shared" si="15"/>
        <v>0.94</v>
      </c>
      <c r="V18" s="60">
        <f t="shared" si="16"/>
        <v>2.1528</v>
      </c>
      <c r="W18" s="61">
        <f t="shared" si="17"/>
        <v>0.15</v>
      </c>
      <c r="X18" s="59">
        <f t="shared" si="18"/>
        <v>0.50131926121372</v>
      </c>
      <c r="Y18" s="59">
        <v>0.8</v>
      </c>
      <c r="Z18" s="61"/>
      <c r="AA18" s="61"/>
      <c r="AB18" s="62"/>
      <c r="AC18" s="63">
        <f t="shared" si="19"/>
        <v>13771.0522753237</v>
      </c>
    </row>
    <row r="19" s="1" customFormat="1" spans="2:29">
      <c r="B19" s="25" t="s">
        <v>44</v>
      </c>
      <c r="C19" s="38">
        <v>0.39</v>
      </c>
      <c r="D19" s="25" t="s">
        <v>63</v>
      </c>
      <c r="E19" s="56"/>
      <c r="F19" s="25" t="s">
        <v>46</v>
      </c>
      <c r="G19" s="27">
        <v>0.125</v>
      </c>
      <c r="H19" s="25" t="s">
        <v>46</v>
      </c>
      <c r="I19" s="27">
        <v>0</v>
      </c>
      <c r="J19" s="30"/>
      <c r="K19" s="27"/>
      <c r="L19" s="25"/>
      <c r="M19" s="26"/>
      <c r="N19" s="6"/>
      <c r="P19" s="57" t="s">
        <v>64</v>
      </c>
      <c r="Q19" s="58">
        <f>98.42%*3</f>
        <v>2.9526</v>
      </c>
      <c r="R19" s="59" t="s">
        <v>21</v>
      </c>
      <c r="S19" s="59">
        <f t="shared" si="14"/>
        <v>875</v>
      </c>
      <c r="T19" s="58">
        <f t="shared" si="20"/>
        <v>2.161</v>
      </c>
      <c r="U19" s="58">
        <f t="shared" si="15"/>
        <v>0.94</v>
      </c>
      <c r="V19" s="60">
        <f t="shared" si="16"/>
        <v>2.1528</v>
      </c>
      <c r="W19" s="61">
        <f t="shared" si="17"/>
        <v>0.15</v>
      </c>
      <c r="X19" s="59">
        <f t="shared" si="18"/>
        <v>0.50131926121372</v>
      </c>
      <c r="Y19" s="59">
        <v>0.8</v>
      </c>
      <c r="Z19" s="61"/>
      <c r="AA19" s="61"/>
      <c r="AB19" s="62"/>
      <c r="AC19" s="63">
        <f t="shared" si="19"/>
        <v>15730.5822300065</v>
      </c>
    </row>
    <row r="20" s="1" customFormat="1" spans="2:29">
      <c r="B20" s="25" t="s">
        <v>47</v>
      </c>
      <c r="C20" s="26">
        <v>350</v>
      </c>
      <c r="D20" s="25" t="s">
        <v>65</v>
      </c>
      <c r="E20" s="28">
        <f>18%+16%</f>
        <v>0.34</v>
      </c>
      <c r="F20" s="39" t="s">
        <v>49</v>
      </c>
      <c r="G20" s="40">
        <f>MIN(100%,SUM(G15:G19))</f>
        <v>0.88</v>
      </c>
      <c r="H20" s="39" t="s">
        <v>50</v>
      </c>
      <c r="I20" s="41">
        <f>SUM(I15:I19)</f>
        <v>2.31</v>
      </c>
      <c r="J20" s="30"/>
      <c r="K20" s="27"/>
      <c r="L20" s="25"/>
      <c r="M20" s="26"/>
      <c r="N20" s="6"/>
      <c r="P20" s="57" t="s">
        <v>66</v>
      </c>
      <c r="Q20" s="58">
        <f>65.21%*2</f>
        <v>1.3042</v>
      </c>
      <c r="R20" s="59" t="s">
        <v>51</v>
      </c>
      <c r="S20" s="59">
        <f t="shared" si="14"/>
        <v>875</v>
      </c>
      <c r="T20" s="58">
        <f t="shared" si="20"/>
        <v>2.161</v>
      </c>
      <c r="U20" s="58">
        <f t="shared" si="15"/>
        <v>0.94</v>
      </c>
      <c r="V20" s="60">
        <f>(G$20-0.125)*(I$20-1)+1</f>
        <v>1.98905</v>
      </c>
      <c r="W20" s="61">
        <f t="shared" si="17"/>
        <v>0.15</v>
      </c>
      <c r="X20" s="59">
        <f t="shared" si="18"/>
        <v>0.50131926121372</v>
      </c>
      <c r="Y20" s="59">
        <v>0.8</v>
      </c>
      <c r="Z20" s="61"/>
      <c r="AA20" s="61"/>
      <c r="AB20" s="62"/>
      <c r="AC20" s="63">
        <f t="shared" si="19"/>
        <v>6419.87235828066</v>
      </c>
    </row>
    <row r="21" s="1" customFormat="1" spans="2:29">
      <c r="B21" s="42" t="s">
        <v>52</v>
      </c>
      <c r="C21" s="43"/>
      <c r="D21" s="42"/>
      <c r="E21" s="44"/>
      <c r="F21" s="42"/>
      <c r="G21" s="44"/>
      <c r="H21" s="42"/>
      <c r="I21" s="43"/>
      <c r="J21" s="46"/>
      <c r="K21" s="45"/>
      <c r="L21" s="42"/>
      <c r="M21" s="43"/>
      <c r="N21" s="6"/>
      <c r="P21" s="57" t="s">
        <v>67</v>
      </c>
      <c r="Q21" s="58">
        <f>65.21%*4</f>
        <v>2.6084</v>
      </c>
      <c r="R21" s="59" t="s">
        <v>51</v>
      </c>
      <c r="S21" s="59">
        <f t="shared" si="14"/>
        <v>875</v>
      </c>
      <c r="T21" s="58">
        <f t="shared" si="20"/>
        <v>2.161</v>
      </c>
      <c r="U21" s="58">
        <f t="shared" si="15"/>
        <v>0.94</v>
      </c>
      <c r="V21" s="60">
        <f t="shared" ref="V21:V26" si="21">G$20*(I$20-1)+1</f>
        <v>2.1528</v>
      </c>
      <c r="W21" s="61">
        <f t="shared" si="17"/>
        <v>0.15</v>
      </c>
      <c r="X21" s="59">
        <f t="shared" si="18"/>
        <v>0.50131926121372</v>
      </c>
      <c r="Y21" s="59">
        <v>0.8</v>
      </c>
      <c r="Z21" s="61"/>
      <c r="AA21" s="61"/>
      <c r="AB21" s="62"/>
      <c r="AC21" s="63">
        <f t="shared" si="19"/>
        <v>13896.7861168966</v>
      </c>
    </row>
    <row r="22" s="1" customFormat="1" ht="15" spans="2:29">
      <c r="B22" s="64" t="s">
        <v>68</v>
      </c>
      <c r="C22" s="6"/>
      <c r="D22" s="6"/>
      <c r="E22" s="6"/>
      <c r="F22" s="6"/>
      <c r="G22" s="47"/>
      <c r="H22" s="6"/>
      <c r="I22" s="6"/>
      <c r="J22" s="6"/>
      <c r="K22" s="6"/>
      <c r="L22" s="6"/>
      <c r="M22" s="6"/>
      <c r="N22" s="6"/>
      <c r="P22" s="57" t="s">
        <v>69</v>
      </c>
      <c r="Q22" s="58">
        <f>65.21%*15</f>
        <v>9.7815</v>
      </c>
      <c r="R22" s="59" t="s">
        <v>51</v>
      </c>
      <c r="S22" s="59">
        <f t="shared" si="14"/>
        <v>875</v>
      </c>
      <c r="T22" s="58">
        <f t="shared" si="20"/>
        <v>2.161</v>
      </c>
      <c r="U22" s="58">
        <f t="shared" si="15"/>
        <v>0.94</v>
      </c>
      <c r="V22" s="60">
        <f>G$20*(I$20-1+25%)+1</f>
        <v>2.3728</v>
      </c>
      <c r="W22" s="61">
        <f t="shared" si="17"/>
        <v>0.15</v>
      </c>
      <c r="X22" s="59">
        <f t="shared" si="18"/>
        <v>0.50131926121372</v>
      </c>
      <c r="Y22" s="59">
        <v>0.8</v>
      </c>
      <c r="Z22" s="61"/>
      <c r="AA22" s="61"/>
      <c r="AB22" s="62"/>
      <c r="AC22" s="63">
        <f t="shared" si="19"/>
        <v>57438.5000316546</v>
      </c>
    </row>
    <row r="23" s="1" customFormat="1" spans="2:29">
      <c r="B23" s="65"/>
      <c r="C23" s="65" t="s">
        <v>70</v>
      </c>
      <c r="D23" s="65" t="s">
        <v>71</v>
      </c>
      <c r="E23" s="65" t="s">
        <v>72</v>
      </c>
      <c r="F23" s="66"/>
      <c r="G23" s="47"/>
      <c r="H23" s="6"/>
      <c r="I23" s="6"/>
      <c r="J23" s="6"/>
      <c r="K23" s="6"/>
      <c r="L23" s="6"/>
      <c r="M23" s="6"/>
      <c r="N23" s="6"/>
      <c r="P23" s="57" t="s">
        <v>73</v>
      </c>
      <c r="Q23" s="58">
        <f>83.01%*3</f>
        <v>2.4903</v>
      </c>
      <c r="R23" s="59" t="s">
        <v>74</v>
      </c>
      <c r="S23" s="59">
        <f t="shared" si="14"/>
        <v>875</v>
      </c>
      <c r="T23" s="58">
        <f t="shared" si="20"/>
        <v>2.161</v>
      </c>
      <c r="U23" s="58">
        <f t="shared" si="15"/>
        <v>0.94</v>
      </c>
      <c r="V23" s="60">
        <f t="shared" si="21"/>
        <v>2.1528</v>
      </c>
      <c r="W23" s="61">
        <f t="shared" si="17"/>
        <v>0.15</v>
      </c>
      <c r="X23" s="59">
        <f t="shared" si="18"/>
        <v>0.50131926121372</v>
      </c>
      <c r="Y23" s="59">
        <v>0.8</v>
      </c>
      <c r="Z23" s="61"/>
      <c r="AA23" s="61"/>
      <c r="AB23" s="62"/>
      <c r="AC23" s="63">
        <f t="shared" si="19"/>
        <v>13267.584138517</v>
      </c>
    </row>
    <row r="24" s="1" customFormat="1" spans="2:29">
      <c r="B24" s="67" t="s">
        <v>75</v>
      </c>
      <c r="C24" s="67">
        <f>SUM(AC2:AC16)</f>
        <v>932103.34378197</v>
      </c>
      <c r="D24" s="67">
        <f>C24/E24</f>
        <v>37284.1337512788</v>
      </c>
      <c r="E24" s="66">
        <v>25</v>
      </c>
      <c r="F24" s="66"/>
      <c r="G24" s="47"/>
      <c r="H24" s="6"/>
      <c r="I24" s="6"/>
      <c r="J24" s="6"/>
      <c r="K24" s="6"/>
      <c r="L24" s="6"/>
      <c r="M24" s="6"/>
      <c r="N24" s="6"/>
      <c r="P24" s="68" t="s">
        <v>76</v>
      </c>
      <c r="Q24" s="58">
        <v>2.9822</v>
      </c>
      <c r="R24" s="59" t="s">
        <v>51</v>
      </c>
      <c r="S24" s="59">
        <f t="shared" si="14"/>
        <v>875</v>
      </c>
      <c r="T24" s="58">
        <f t="shared" si="20"/>
        <v>2.161</v>
      </c>
      <c r="U24" s="58">
        <f t="shared" si="15"/>
        <v>0.94</v>
      </c>
      <c r="V24" s="60">
        <f t="shared" si="21"/>
        <v>2.1528</v>
      </c>
      <c r="W24" s="61">
        <f t="shared" si="17"/>
        <v>0.15</v>
      </c>
      <c r="X24" s="59">
        <f t="shared" si="18"/>
        <v>0.50131926121372</v>
      </c>
      <c r="Y24" s="59">
        <v>0.8</v>
      </c>
      <c r="Z24" s="61"/>
      <c r="AA24" s="61"/>
      <c r="AB24" s="62"/>
      <c r="AC24" s="63">
        <f t="shared" si="19"/>
        <v>15888.2823024878</v>
      </c>
    </row>
    <row r="25" s="1" customFormat="1" spans="2:29">
      <c r="B25" s="67" t="s">
        <v>77</v>
      </c>
      <c r="C25" s="67">
        <v>181000</v>
      </c>
      <c r="D25" s="67">
        <f>C25/E24</f>
        <v>7240</v>
      </c>
      <c r="E25" s="47"/>
      <c r="F25" s="6"/>
      <c r="G25" s="47"/>
      <c r="H25" s="6"/>
      <c r="I25" s="6"/>
      <c r="J25" s="6"/>
      <c r="K25" s="6"/>
      <c r="L25" s="6"/>
      <c r="M25" s="6"/>
      <c r="N25" s="6"/>
      <c r="P25" s="57" t="s">
        <v>78</v>
      </c>
      <c r="Q25" s="58">
        <f>119.29%*3</f>
        <v>3.5787</v>
      </c>
      <c r="R25" s="59" t="s">
        <v>51</v>
      </c>
      <c r="S25" s="59">
        <f t="shared" si="14"/>
        <v>875</v>
      </c>
      <c r="T25" s="58">
        <f t="shared" si="20"/>
        <v>2.161</v>
      </c>
      <c r="U25" s="58">
        <f t="shared" si="15"/>
        <v>0.94</v>
      </c>
      <c r="V25" s="60">
        <f t="shared" si="21"/>
        <v>2.1528</v>
      </c>
      <c r="W25" s="61">
        <f t="shared" si="17"/>
        <v>0.15</v>
      </c>
      <c r="X25" s="59">
        <f t="shared" si="18"/>
        <v>0.50131926121372</v>
      </c>
      <c r="Y25" s="59">
        <v>0.8</v>
      </c>
      <c r="Z25" s="61"/>
      <c r="AA25" s="61"/>
      <c r="AB25" s="62"/>
      <c r="AC25" s="63">
        <f t="shared" si="19"/>
        <v>19066.2584252944</v>
      </c>
    </row>
    <row r="26" s="1" customFormat="1" spans="2:29">
      <c r="B26" s="67" t="s">
        <v>79</v>
      </c>
      <c r="C26" s="67">
        <v>50000</v>
      </c>
      <c r="D26" s="67">
        <f>C26/E24</f>
        <v>2000</v>
      </c>
      <c r="E26" s="6"/>
      <c r="F26" s="6"/>
      <c r="G26" s="47"/>
      <c r="H26" s="6"/>
      <c r="I26" s="6"/>
      <c r="J26" s="6"/>
      <c r="K26" s="6"/>
      <c r="L26" s="6"/>
      <c r="M26" s="6"/>
      <c r="N26" s="6"/>
      <c r="P26" s="57" t="s">
        <v>27</v>
      </c>
      <c r="Q26" s="58">
        <v>3.1</v>
      </c>
      <c r="R26" s="59" t="s">
        <v>27</v>
      </c>
      <c r="S26" s="59">
        <f t="shared" si="14"/>
        <v>875</v>
      </c>
      <c r="T26" s="58">
        <f t="shared" si="20"/>
        <v>2.161</v>
      </c>
      <c r="U26" s="58">
        <f t="shared" si="15"/>
        <v>0.94</v>
      </c>
      <c r="V26" s="60">
        <f t="shared" si="21"/>
        <v>2.1528</v>
      </c>
      <c r="W26" s="61">
        <f t="shared" si="17"/>
        <v>0.15</v>
      </c>
      <c r="X26" s="59">
        <f t="shared" si="18"/>
        <v>0.50131926121372</v>
      </c>
      <c r="Y26" s="59">
        <v>0.8</v>
      </c>
      <c r="Z26" s="61"/>
      <c r="AA26" s="61"/>
      <c r="AB26" s="62"/>
      <c r="AC26" s="63">
        <f t="shared" si="19"/>
        <v>16515.885969322</v>
      </c>
    </row>
    <row r="27" s="1" customFormat="1" spans="2:29">
      <c r="B27" s="67" t="s">
        <v>80</v>
      </c>
      <c r="C27" s="67">
        <f>C24+C25+C26</f>
        <v>1163103.34378197</v>
      </c>
      <c r="D27" s="67">
        <f>C27/E24</f>
        <v>46524.1337512788</v>
      </c>
      <c r="E27" s="6"/>
      <c r="F27" s="6"/>
      <c r="G27" s="47"/>
      <c r="H27" s="6"/>
      <c r="I27" s="6"/>
      <c r="J27" s="6"/>
      <c r="K27" s="6"/>
      <c r="L27" s="6"/>
      <c r="M27" s="6"/>
      <c r="N27" s="6"/>
      <c r="Q27" s="69"/>
      <c r="U27" s="2"/>
      <c r="V27" s="69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N28" s="6"/>
      <c r="Q28" s="69"/>
      <c r="U28" s="2"/>
      <c r="V28" s="69"/>
      <c r="AB28" s="4"/>
      <c r="AC28" s="4"/>
    </row>
    <row r="29" s="1" customFormat="1" ht="20" customHeight="1" spans="2:29">
      <c r="B29" s="67"/>
      <c r="C29" s="67"/>
      <c r="D29" s="67"/>
      <c r="E29" s="6"/>
      <c r="F29" s="67"/>
      <c r="G29" s="2"/>
      <c r="H29" s="1" t="s">
        <v>81</v>
      </c>
      <c r="I29" s="1">
        <v>46524</v>
      </c>
      <c r="N29" s="6"/>
      <c r="Q29" s="69"/>
      <c r="V29" s="69"/>
      <c r="AB29" s="4"/>
      <c r="AC29" s="4"/>
    </row>
    <row r="30" s="1" customFormat="1" ht="20" customHeight="1" spans="2:29">
      <c r="B30" s="67"/>
      <c r="C30" s="67"/>
      <c r="D30" s="67"/>
      <c r="E30" s="6"/>
      <c r="F30" s="67"/>
      <c r="G30" s="2"/>
      <c r="N30" s="6"/>
      <c r="Q30" s="74"/>
      <c r="U30" s="2"/>
      <c r="V30" s="2"/>
      <c r="AB30" s="4"/>
      <c r="AC30" s="4"/>
    </row>
    <row r="31" s="1" customFormat="1" ht="20" customHeight="1" spans="2:29">
      <c r="B31" s="6"/>
      <c r="C31" s="6"/>
      <c r="D31" s="6"/>
      <c r="E31" s="6"/>
      <c r="F31" s="6"/>
      <c r="G31" s="2"/>
      <c r="N31" s="6"/>
      <c r="Q31" s="2"/>
      <c r="U31" s="2"/>
      <c r="V31" s="3"/>
      <c r="AB31" s="4"/>
      <c r="AC31" s="4"/>
    </row>
    <row r="32" s="1" customFormat="1" ht="20" customHeight="1" spans="2:29">
      <c r="B32" s="67"/>
      <c r="C32" s="67"/>
      <c r="D32" s="67"/>
      <c r="E32" s="6"/>
      <c r="F32" s="67"/>
      <c r="G32" s="2"/>
      <c r="N32" s="6"/>
      <c r="Q32" s="2"/>
      <c r="U32" s="2"/>
      <c r="V32" s="3"/>
      <c r="AB32" s="4"/>
      <c r="AC32" s="4"/>
    </row>
    <row r="33" s="1" customFormat="1" ht="20" customHeight="1" spans="2:29">
      <c r="B33" s="67"/>
      <c r="C33" s="67"/>
      <c r="D33" s="67"/>
      <c r="E33" s="6"/>
      <c r="F33" s="67"/>
      <c r="G33" s="2"/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N34" s="6"/>
      <c r="Q34" s="2"/>
      <c r="U34" s="2"/>
      <c r="V34" s="3"/>
      <c r="AB34" s="4"/>
      <c r="AC34" s="4"/>
    </row>
    <row r="35" s="1" customFormat="1" spans="2:29">
      <c r="B35" s="67"/>
      <c r="C35" s="67"/>
      <c r="D35" s="67"/>
      <c r="E35" s="6"/>
      <c r="F35" s="67"/>
      <c r="G35" s="2"/>
      <c r="N35" s="6"/>
      <c r="Q35" s="2"/>
      <c r="U35" s="2"/>
      <c r="V35" s="3"/>
      <c r="AB35" s="4"/>
      <c r="AC35" s="4"/>
    </row>
    <row r="36" s="1" customFormat="1" spans="2:29">
      <c r="G36" s="2"/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N49" s="6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workbookViewId="0">
      <selection activeCell="A1" sqref="$A1:$XFD104857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9.54545454545454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198.81%</f>
        <v>1.9881</v>
      </c>
      <c r="R2" s="19" t="s">
        <v>21</v>
      </c>
      <c r="S2" s="19">
        <f t="shared" ref="S2:S16" si="0">$C$3</f>
        <v>1011</v>
      </c>
      <c r="T2" s="18">
        <f>(C$4+C$5+C$6+C$7)+(C$8+C$9)/S$2-22.5%</f>
        <v>1.7331918892186</v>
      </c>
      <c r="U2" s="18">
        <f>SUM($E$3:$E$5)-12%</f>
        <v>1.4</v>
      </c>
      <c r="V2" s="20">
        <f>1+$G$8*($I$8-1-0.25)</f>
        <v>2.47</v>
      </c>
      <c r="W2" s="21">
        <v>0.15</v>
      </c>
      <c r="X2" s="19">
        <f t="shared" ref="X2:X16" si="1">AE$3</f>
        <v>0.50131926121372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6" si="2">Q2*S2*(1+T2)*(1+U2)*V2*(1+W2)*X2*Y2*(1+Z2)*(1+AA2)*(1+AB2)</f>
        <v>15019.9994747742</v>
      </c>
      <c r="AD2" s="13">
        <v>0</v>
      </c>
      <c r="AE2" s="14">
        <f t="shared" ref="AE2:AE7" si="3">1520/(1520+(792+8*AF2)*(1-AD2/100))</f>
        <v>0.50131926121372</v>
      </c>
      <c r="AF2" s="24">
        <v>90</v>
      </c>
    </row>
    <row r="3" s="1" customFormat="1" spans="2:32">
      <c r="B3" s="25" t="s">
        <v>22</v>
      </c>
      <c r="C3" s="26">
        <f>424+587</f>
        <v>1011</v>
      </c>
      <c r="D3" s="25" t="s">
        <v>23</v>
      </c>
      <c r="E3" s="27">
        <f>30%+12%+34%+24%</f>
        <v>1</v>
      </c>
      <c r="F3" s="25" t="s">
        <v>24</v>
      </c>
      <c r="G3" s="27">
        <v>0.05</v>
      </c>
      <c r="H3" s="25" t="s">
        <v>24</v>
      </c>
      <c r="I3" s="28">
        <f>150%+16%</f>
        <v>1.66</v>
      </c>
      <c r="J3" s="29" t="s">
        <v>25</v>
      </c>
      <c r="K3" s="28">
        <f>15%+15%+25%</f>
        <v>0.55</v>
      </c>
      <c r="L3" s="25" t="s">
        <v>26</v>
      </c>
      <c r="M3" s="27">
        <f>8.6%*2</f>
        <v>0.172</v>
      </c>
      <c r="N3" s="6"/>
      <c r="P3" s="17" t="s">
        <v>27</v>
      </c>
      <c r="Q3" s="18">
        <f>405%</f>
        <v>4.05</v>
      </c>
      <c r="R3" s="19" t="s">
        <v>27</v>
      </c>
      <c r="S3" s="19">
        <f t="shared" si="0"/>
        <v>1011</v>
      </c>
      <c r="T3" s="18">
        <f>(C$4+C$5+C$6+C$7)+(C$8+C$9)/S$2-22.5%</f>
        <v>1.7331918892186</v>
      </c>
      <c r="U3" s="18">
        <f>SUM($E$3:$E$5)-12%</f>
        <v>1.4</v>
      </c>
      <c r="V3" s="20">
        <f>1+$G$8*($I$8-1-0.25)</f>
        <v>2.47</v>
      </c>
      <c r="W3" s="21">
        <v>0.15</v>
      </c>
      <c r="X3" s="19">
        <f t="shared" si="1"/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si="2"/>
        <v>30597.5543850085</v>
      </c>
      <c r="AD3" s="13">
        <v>0</v>
      </c>
      <c r="AE3" s="14">
        <f t="shared" si="3"/>
        <v>0.50131926121372</v>
      </c>
      <c r="AF3" s="24">
        <v>90</v>
      </c>
    </row>
    <row r="4" s="1" customFormat="1" spans="2:32">
      <c r="B4" s="25" t="s">
        <v>28</v>
      </c>
      <c r="C4" s="28">
        <f>12%</f>
        <v>0.12</v>
      </c>
      <c r="D4" s="25" t="s">
        <v>29</v>
      </c>
      <c r="E4" s="27">
        <v>0.12</v>
      </c>
      <c r="F4" s="25" t="s">
        <v>30</v>
      </c>
      <c r="G4" s="27">
        <v>0.243</v>
      </c>
      <c r="H4" s="25" t="s">
        <v>31</v>
      </c>
      <c r="I4" s="27">
        <f>M6</f>
        <v>0.81</v>
      </c>
      <c r="J4" s="30" t="s">
        <v>32</v>
      </c>
      <c r="K4" s="27"/>
      <c r="L4" s="25" t="s">
        <v>33</v>
      </c>
      <c r="M4" s="27">
        <f>8.6%*2</f>
        <v>0.172</v>
      </c>
      <c r="N4" s="6"/>
      <c r="P4" s="17" t="s">
        <v>21</v>
      </c>
      <c r="Q4" s="18">
        <f>198.81%</f>
        <v>1.9881</v>
      </c>
      <c r="R4" s="19" t="s">
        <v>21</v>
      </c>
      <c r="S4" s="19">
        <f t="shared" si="0"/>
        <v>1011</v>
      </c>
      <c r="T4" s="18">
        <f>(C$4+C$5+C$6+C$7)+(C$8+C$9)/S$2-22.5%</f>
        <v>1.7331918892186</v>
      </c>
      <c r="U4" s="18">
        <f>SUM($E$3:$E$5)-12%</f>
        <v>1.4</v>
      </c>
      <c r="V4" s="20">
        <f>1+$G$8*($I$8-1-0.25)</f>
        <v>2.47</v>
      </c>
      <c r="W4" s="21">
        <v>0.15</v>
      </c>
      <c r="X4" s="19">
        <f t="shared" si="1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2"/>
        <v>15019.9994747742</v>
      </c>
      <c r="AD4" s="13">
        <v>14.4</v>
      </c>
      <c r="AE4" s="14">
        <f t="shared" si="3"/>
        <v>0.540104154822277</v>
      </c>
      <c r="AF4" s="24">
        <v>90</v>
      </c>
    </row>
    <row r="5" s="1" customFormat="1" spans="2:32">
      <c r="B5" s="25" t="s">
        <v>34</v>
      </c>
      <c r="C5" s="28">
        <f>18%+18%+M3</f>
        <v>0.532</v>
      </c>
      <c r="D5" s="25" t="s">
        <v>35</v>
      </c>
      <c r="E5" s="27">
        <v>0.4</v>
      </c>
      <c r="F5" s="25" t="s">
        <v>36</v>
      </c>
      <c r="G5" s="27"/>
      <c r="H5" s="25" t="s">
        <v>30</v>
      </c>
      <c r="I5" s="27"/>
      <c r="J5" s="30" t="s">
        <v>37</v>
      </c>
      <c r="K5" s="27">
        <v>0.25</v>
      </c>
      <c r="L5" s="25" t="s">
        <v>18</v>
      </c>
      <c r="M5" s="27">
        <f>8.1*5%</f>
        <v>0.405</v>
      </c>
      <c r="N5" s="6"/>
      <c r="P5" s="31" t="s">
        <v>38</v>
      </c>
      <c r="Q5" s="32">
        <f>99.41%*2</f>
        <v>1.9882</v>
      </c>
      <c r="R5" s="33" t="s">
        <v>39</v>
      </c>
      <c r="S5" s="33">
        <f t="shared" si="0"/>
        <v>1011</v>
      </c>
      <c r="T5" s="32">
        <f t="shared" ref="T5:T16" si="4">(C$4+C$5+C$6+C$7)+(C$8+C$9)/S$2</f>
        <v>1.9581918892186</v>
      </c>
      <c r="U5" s="32">
        <f t="shared" ref="U5:U10" si="5">SUM($E$3:$E$7)</f>
        <v>1.84</v>
      </c>
      <c r="V5" s="34">
        <f t="shared" ref="V5:V16" si="6">1+$G$8*($I$8-1)</f>
        <v>2.72</v>
      </c>
      <c r="W5" s="35">
        <v>0.35</v>
      </c>
      <c r="X5" s="33">
        <f t="shared" si="1"/>
        <v>0.50131926121372</v>
      </c>
      <c r="Y5" s="33">
        <v>0.8</v>
      </c>
      <c r="Z5" s="36">
        <v>0</v>
      </c>
      <c r="AA5" s="36">
        <v>0</v>
      </c>
      <c r="AB5" s="36">
        <v>0</v>
      </c>
      <c r="AC5" s="37">
        <f t="shared" si="2"/>
        <v>24869.2654298702</v>
      </c>
      <c r="AD5" s="13">
        <v>21.6</v>
      </c>
      <c r="AE5" s="14">
        <f t="shared" si="3"/>
        <v>0.561837623012869</v>
      </c>
      <c r="AF5" s="24">
        <v>90</v>
      </c>
    </row>
    <row r="6" s="1" customFormat="1" spans="2:32">
      <c r="B6" s="25" t="s">
        <v>40</v>
      </c>
      <c r="C6" s="38"/>
      <c r="D6" s="25" t="s">
        <v>41</v>
      </c>
      <c r="E6" s="27"/>
      <c r="F6" s="25" t="s">
        <v>31</v>
      </c>
      <c r="G6" s="27">
        <f>M5+22%</f>
        <v>0.625</v>
      </c>
      <c r="H6" s="25"/>
      <c r="I6" s="27"/>
      <c r="J6" s="30"/>
      <c r="K6" s="27"/>
      <c r="L6" s="25" t="s">
        <v>42</v>
      </c>
      <c r="M6" s="28">
        <f>16.2%*5</f>
        <v>0.81</v>
      </c>
      <c r="N6" s="6"/>
      <c r="P6" s="31" t="s">
        <v>43</v>
      </c>
      <c r="Q6" s="32">
        <f>1466.06%</f>
        <v>14.6606</v>
      </c>
      <c r="R6" s="33" t="s">
        <v>43</v>
      </c>
      <c r="S6" s="33">
        <f t="shared" si="0"/>
        <v>1011</v>
      </c>
      <c r="T6" s="32">
        <f t="shared" si="4"/>
        <v>1.9581918892186</v>
      </c>
      <c r="U6" s="32">
        <f t="shared" ref="U6:U9" si="7">SUM($E$3:$E$8)</f>
        <v>2.612</v>
      </c>
      <c r="V6" s="34">
        <f t="shared" si="6"/>
        <v>2.72</v>
      </c>
      <c r="W6" s="35">
        <f t="shared" ref="W6:W9" si="8">K$3+K$5</f>
        <v>0.8</v>
      </c>
      <c r="X6" s="33">
        <f t="shared" si="1"/>
        <v>0.50131926121372</v>
      </c>
      <c r="Y6" s="33">
        <v>0.8</v>
      </c>
      <c r="Z6" s="36">
        <v>0</v>
      </c>
      <c r="AA6" s="36">
        <v>0</v>
      </c>
      <c r="AB6" s="36">
        <v>0</v>
      </c>
      <c r="AC6" s="37">
        <f t="shared" si="2"/>
        <v>310973.062706894</v>
      </c>
      <c r="AD6" s="13">
        <v>28.8</v>
      </c>
      <c r="AE6" s="14">
        <f t="shared" si="3"/>
        <v>0.585393507677898</v>
      </c>
      <c r="AF6" s="24">
        <v>90</v>
      </c>
    </row>
    <row r="7" s="1" customFormat="1" spans="2:32">
      <c r="B7" s="25" t="s">
        <v>44</v>
      </c>
      <c r="C7" s="38">
        <f>27%+39%+30%</f>
        <v>0.96</v>
      </c>
      <c r="D7" s="25" t="s">
        <v>45</v>
      </c>
      <c r="E7" s="27">
        <v>0.32</v>
      </c>
      <c r="F7" s="25" t="s">
        <v>46</v>
      </c>
      <c r="G7" s="27">
        <v>0.125</v>
      </c>
      <c r="H7" s="25" t="s">
        <v>46</v>
      </c>
      <c r="I7" s="27">
        <v>0.25</v>
      </c>
      <c r="J7" s="30"/>
      <c r="K7" s="27"/>
      <c r="L7" s="25"/>
      <c r="M7" s="26"/>
      <c r="N7" s="6"/>
      <c r="P7" s="31" t="s">
        <v>21</v>
      </c>
      <c r="Q7" s="32">
        <f>49.59%*3+173.55%*2</f>
        <v>4.9587</v>
      </c>
      <c r="R7" s="33" t="s">
        <v>21</v>
      </c>
      <c r="S7" s="33">
        <f t="shared" si="0"/>
        <v>1011</v>
      </c>
      <c r="T7" s="32">
        <f t="shared" si="4"/>
        <v>1.9581918892186</v>
      </c>
      <c r="U7" s="32">
        <f t="shared" si="5"/>
        <v>1.84</v>
      </c>
      <c r="V7" s="34">
        <f t="shared" si="6"/>
        <v>2.72</v>
      </c>
      <c r="W7" s="35">
        <v>0.35</v>
      </c>
      <c r="X7" s="33">
        <f t="shared" si="1"/>
        <v>0.50131926121372</v>
      </c>
      <c r="Y7" s="33">
        <v>0.8</v>
      </c>
      <c r="Z7" s="36">
        <v>0</v>
      </c>
      <c r="AA7" s="36">
        <v>0</v>
      </c>
      <c r="AB7" s="36">
        <v>0</v>
      </c>
      <c r="AC7" s="37">
        <f t="shared" si="2"/>
        <v>62025.564071571</v>
      </c>
      <c r="AD7" s="13">
        <v>36</v>
      </c>
      <c r="AE7" s="14">
        <f t="shared" si="3"/>
        <v>0.611011062516079</v>
      </c>
      <c r="AF7" s="24">
        <v>90</v>
      </c>
    </row>
    <row r="8" s="1" customFormat="1" spans="2:32">
      <c r="B8" s="25" t="s">
        <v>47</v>
      </c>
      <c r="C8" s="26">
        <v>350</v>
      </c>
      <c r="D8" s="25" t="s">
        <v>48</v>
      </c>
      <c r="E8" s="27">
        <f>48%+M4+12%</f>
        <v>0.772</v>
      </c>
      <c r="F8" s="39" t="s">
        <v>49</v>
      </c>
      <c r="G8" s="40">
        <f>MIN(100%,SUM(G3:G7))</f>
        <v>1</v>
      </c>
      <c r="H8" s="39" t="s">
        <v>50</v>
      </c>
      <c r="I8" s="41">
        <f>SUM(I3:I7)</f>
        <v>2.72</v>
      </c>
      <c r="J8" s="30"/>
      <c r="K8" s="27"/>
      <c r="L8" s="25"/>
      <c r="M8" s="26"/>
      <c r="N8" s="6"/>
      <c r="P8" s="31" t="s">
        <v>51</v>
      </c>
      <c r="Q8" s="32">
        <f>21.87%*4+65.61%*2</f>
        <v>2.187</v>
      </c>
      <c r="R8" s="33" t="s">
        <v>43</v>
      </c>
      <c r="S8" s="33">
        <f t="shared" si="0"/>
        <v>1011</v>
      </c>
      <c r="T8" s="32">
        <f t="shared" si="4"/>
        <v>1.9581918892186</v>
      </c>
      <c r="U8" s="32">
        <f t="shared" si="7"/>
        <v>2.612</v>
      </c>
      <c r="V8" s="34">
        <f t="shared" si="6"/>
        <v>2.72</v>
      </c>
      <c r="W8" s="35">
        <f t="shared" si="8"/>
        <v>0.8</v>
      </c>
      <c r="X8" s="33">
        <f t="shared" si="1"/>
        <v>0.50131926121372</v>
      </c>
      <c r="Y8" s="33">
        <v>0.8</v>
      </c>
      <c r="Z8" s="36">
        <v>0</v>
      </c>
      <c r="AA8" s="36">
        <v>0</v>
      </c>
      <c r="AB8" s="36">
        <v>0</v>
      </c>
      <c r="AC8" s="37">
        <f t="shared" si="2"/>
        <v>46389.5125806568</v>
      </c>
    </row>
    <row r="9" s="1" customFormat="1" spans="2:32">
      <c r="B9" s="42" t="s">
        <v>52</v>
      </c>
      <c r="C9" s="43"/>
      <c r="D9" s="42"/>
      <c r="E9" s="44"/>
      <c r="F9" s="42"/>
      <c r="G9" s="45"/>
      <c r="H9" s="42"/>
      <c r="I9" s="43"/>
      <c r="J9" s="46"/>
      <c r="K9" s="45"/>
      <c r="L9" s="42"/>
      <c r="M9" s="43"/>
      <c r="N9" s="6"/>
      <c r="P9" s="31" t="s">
        <v>53</v>
      </c>
      <c r="Q9" s="32">
        <f t="shared" ref="Q9:Q14" si="9">95.73%*4+255.28%</f>
        <v>6.382</v>
      </c>
      <c r="R9" s="33" t="s">
        <v>43</v>
      </c>
      <c r="S9" s="33">
        <f t="shared" si="0"/>
        <v>1011</v>
      </c>
      <c r="T9" s="32">
        <f t="shared" si="4"/>
        <v>1.9581918892186</v>
      </c>
      <c r="U9" s="32">
        <f t="shared" si="7"/>
        <v>2.612</v>
      </c>
      <c r="V9" s="34">
        <f t="shared" si="6"/>
        <v>2.72</v>
      </c>
      <c r="W9" s="35">
        <f t="shared" si="8"/>
        <v>0.8</v>
      </c>
      <c r="X9" s="33">
        <f t="shared" si="1"/>
        <v>0.50131926121372</v>
      </c>
      <c r="Y9" s="33">
        <v>0.8</v>
      </c>
      <c r="Z9" s="36">
        <v>0</v>
      </c>
      <c r="AA9" s="36">
        <v>0</v>
      </c>
      <c r="AB9" s="36">
        <v>0</v>
      </c>
      <c r="AC9" s="37">
        <f t="shared" si="2"/>
        <v>135371.682345565</v>
      </c>
    </row>
    <row r="10" s="1" customFormat="1" spans="2:32">
      <c r="B10" s="6"/>
      <c r="C10" s="6"/>
      <c r="D10" s="6"/>
      <c r="E10" s="6"/>
      <c r="F10" s="6" t="s">
        <v>54</v>
      </c>
      <c r="G10" s="47"/>
      <c r="H10" s="6"/>
      <c r="I10" s="6"/>
      <c r="J10" s="6"/>
      <c r="K10" s="6"/>
      <c r="L10" s="6"/>
      <c r="M10" s="6"/>
      <c r="N10" s="6"/>
      <c r="P10" s="31" t="s">
        <v>55</v>
      </c>
      <c r="Q10" s="32">
        <f>119.67%+60.92%*4+133.25%*2</f>
        <v>6.2985</v>
      </c>
      <c r="R10" s="33" t="s">
        <v>51</v>
      </c>
      <c r="S10" s="33">
        <f t="shared" si="0"/>
        <v>1011</v>
      </c>
      <c r="T10" s="32">
        <f t="shared" si="4"/>
        <v>1.9581918892186</v>
      </c>
      <c r="U10" s="32">
        <f t="shared" si="5"/>
        <v>1.84</v>
      </c>
      <c r="V10" s="34">
        <f t="shared" si="6"/>
        <v>2.72</v>
      </c>
      <c r="W10" s="35">
        <v>0.35</v>
      </c>
      <c r="X10" s="33">
        <f t="shared" si="1"/>
        <v>0.50131926121372</v>
      </c>
      <c r="Y10" s="33">
        <v>0.8</v>
      </c>
      <c r="Z10" s="36"/>
      <c r="AA10" s="36"/>
      <c r="AB10" s="36"/>
      <c r="AC10" s="37">
        <f t="shared" si="2"/>
        <v>78784.3618901708</v>
      </c>
    </row>
    <row r="11" s="1" customFormat="1" spans="2:32">
      <c r="B11" s="6"/>
      <c r="C11" s="6"/>
      <c r="D11" s="6"/>
      <c r="E11" s="6"/>
      <c r="F11" s="6"/>
      <c r="G11" s="47"/>
      <c r="H11" s="6"/>
      <c r="I11" s="6"/>
      <c r="J11" s="6"/>
      <c r="K11" s="6"/>
      <c r="L11" s="6"/>
      <c r="M11" s="6"/>
      <c r="N11" s="6"/>
      <c r="P11" s="31" t="s">
        <v>53</v>
      </c>
      <c r="Q11" s="32">
        <f t="shared" si="9"/>
        <v>6.382</v>
      </c>
      <c r="R11" s="33" t="s">
        <v>43</v>
      </c>
      <c r="S11" s="33">
        <f t="shared" si="0"/>
        <v>1011</v>
      </c>
      <c r="T11" s="32">
        <f t="shared" si="4"/>
        <v>1.9581918892186</v>
      </c>
      <c r="U11" s="32">
        <f t="shared" ref="U11:U15" si="10">SUM($E$3:$E$8)</f>
        <v>2.612</v>
      </c>
      <c r="V11" s="34">
        <f t="shared" si="6"/>
        <v>2.72</v>
      </c>
      <c r="W11" s="35">
        <f t="shared" ref="W11:W14" si="11">K$3+K$5</f>
        <v>0.8</v>
      </c>
      <c r="X11" s="33">
        <f t="shared" si="1"/>
        <v>0.50131926121372</v>
      </c>
      <c r="Y11" s="33">
        <v>0.8</v>
      </c>
      <c r="Z11" s="36"/>
      <c r="AA11" s="36"/>
      <c r="AB11" s="36"/>
      <c r="AC11" s="37">
        <f t="shared" si="2"/>
        <v>135371.682345565</v>
      </c>
    </row>
    <row r="12" s="1" customFormat="1" ht="14.75" spans="2:32">
      <c r="B12" s="6"/>
      <c r="C12" s="6"/>
      <c r="D12" s="6"/>
      <c r="E12" s="6"/>
      <c r="F12" s="6"/>
      <c r="G12" s="47"/>
      <c r="H12" s="6"/>
      <c r="I12" s="6"/>
      <c r="J12" s="6"/>
      <c r="K12" s="6"/>
      <c r="L12" s="6"/>
      <c r="M12" s="6"/>
      <c r="N12" s="6"/>
      <c r="P12" s="31" t="s">
        <v>21</v>
      </c>
      <c r="Q12" s="32">
        <f>49.59%*3+173.55%*2</f>
        <v>4.9587</v>
      </c>
      <c r="R12" s="33" t="s">
        <v>21</v>
      </c>
      <c r="S12" s="33">
        <f t="shared" si="0"/>
        <v>1011</v>
      </c>
      <c r="T12" s="32">
        <f t="shared" si="4"/>
        <v>1.9581918892186</v>
      </c>
      <c r="U12" s="32">
        <f>SUM($E$3:$E$7)</f>
        <v>1.84</v>
      </c>
      <c r="V12" s="34">
        <f t="shared" si="6"/>
        <v>2.72</v>
      </c>
      <c r="W12" s="35">
        <v>0.35</v>
      </c>
      <c r="X12" s="33">
        <f t="shared" si="1"/>
        <v>0.50131926121372</v>
      </c>
      <c r="Y12" s="33">
        <v>0.8</v>
      </c>
      <c r="Z12" s="36"/>
      <c r="AA12" s="36"/>
      <c r="AB12" s="36"/>
      <c r="AC12" s="37">
        <f t="shared" si="2"/>
        <v>62025.564071571</v>
      </c>
    </row>
    <row r="13" s="1" customFormat="1" ht="15" spans="2:32">
      <c r="B13" s="48" t="s">
        <v>56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0"/>
      <c r="N13" s="6"/>
      <c r="P13" s="31" t="s">
        <v>51</v>
      </c>
      <c r="Q13" s="32">
        <f>21.87%*4+65.61%*2</f>
        <v>2.187</v>
      </c>
      <c r="R13" s="33" t="s">
        <v>43</v>
      </c>
      <c r="S13" s="33">
        <f t="shared" si="0"/>
        <v>1011</v>
      </c>
      <c r="T13" s="32">
        <f t="shared" si="4"/>
        <v>1.9581918892186</v>
      </c>
      <c r="U13" s="32">
        <f t="shared" si="10"/>
        <v>2.612</v>
      </c>
      <c r="V13" s="34">
        <f t="shared" si="6"/>
        <v>2.72</v>
      </c>
      <c r="W13" s="35">
        <f t="shared" si="11"/>
        <v>0.8</v>
      </c>
      <c r="X13" s="33">
        <f t="shared" si="1"/>
        <v>0.50131926121372</v>
      </c>
      <c r="Y13" s="33">
        <v>0.8</v>
      </c>
      <c r="Z13" s="36"/>
      <c r="AA13" s="36"/>
      <c r="AB13" s="36"/>
      <c r="AC13" s="37">
        <f t="shared" si="2"/>
        <v>46389.5125806568</v>
      </c>
    </row>
    <row r="14" s="1" customFormat="1" spans="2:32">
      <c r="B14" s="51" t="s">
        <v>17</v>
      </c>
      <c r="C14" s="52"/>
      <c r="D14" s="51" t="s">
        <v>6</v>
      </c>
      <c r="E14" s="52"/>
      <c r="F14" s="51" t="s">
        <v>18</v>
      </c>
      <c r="G14" s="52"/>
      <c r="H14" s="51" t="s">
        <v>19</v>
      </c>
      <c r="I14" s="52"/>
      <c r="J14" s="53" t="s">
        <v>8</v>
      </c>
      <c r="K14" s="53"/>
      <c r="L14" s="51" t="s">
        <v>20</v>
      </c>
      <c r="M14" s="52"/>
      <c r="N14" s="6"/>
      <c r="P14" s="31" t="s">
        <v>53</v>
      </c>
      <c r="Q14" s="32">
        <f t="shared" si="9"/>
        <v>6.382</v>
      </c>
      <c r="R14" s="33" t="s">
        <v>43</v>
      </c>
      <c r="S14" s="33">
        <f t="shared" si="0"/>
        <v>1011</v>
      </c>
      <c r="T14" s="32">
        <f t="shared" si="4"/>
        <v>1.9581918892186</v>
      </c>
      <c r="U14" s="32">
        <f t="shared" si="10"/>
        <v>2.612</v>
      </c>
      <c r="V14" s="34">
        <f t="shared" si="6"/>
        <v>2.72</v>
      </c>
      <c r="W14" s="35">
        <f t="shared" si="11"/>
        <v>0.8</v>
      </c>
      <c r="X14" s="33">
        <f t="shared" si="1"/>
        <v>0.50131926121372</v>
      </c>
      <c r="Y14" s="33">
        <v>0.8</v>
      </c>
      <c r="Z14" s="36">
        <v>0</v>
      </c>
      <c r="AA14" s="36">
        <v>0</v>
      </c>
      <c r="AB14" s="36">
        <v>0</v>
      </c>
      <c r="AC14" s="37">
        <f t="shared" si="2"/>
        <v>135371.682345565</v>
      </c>
    </row>
    <row r="15" s="1" customFormat="1" spans="2:32">
      <c r="B15" s="25" t="s">
        <v>22</v>
      </c>
      <c r="C15" s="26">
        <f>375+500</f>
        <v>875</v>
      </c>
      <c r="D15" s="25" t="s">
        <v>23</v>
      </c>
      <c r="E15" s="28">
        <v>0.6</v>
      </c>
      <c r="F15" s="25" t="s">
        <v>24</v>
      </c>
      <c r="G15" s="27">
        <v>0.13</v>
      </c>
      <c r="H15" s="25" t="s">
        <v>24</v>
      </c>
      <c r="I15" s="28">
        <v>1.5</v>
      </c>
      <c r="J15" s="54" t="s">
        <v>25</v>
      </c>
      <c r="K15" s="55">
        <v>0.15</v>
      </c>
      <c r="L15" s="25" t="s">
        <v>26</v>
      </c>
      <c r="M15" s="27">
        <f>8.6%*2</f>
        <v>0.172</v>
      </c>
      <c r="N15" s="6"/>
      <c r="P15" s="31" t="s">
        <v>57</v>
      </c>
      <c r="Q15" s="32">
        <f>397.82%</f>
        <v>3.9782</v>
      </c>
      <c r="R15" s="33" t="s">
        <v>43</v>
      </c>
      <c r="S15" s="33">
        <f t="shared" si="0"/>
        <v>1011</v>
      </c>
      <c r="T15" s="32">
        <f t="shared" si="4"/>
        <v>1.9581918892186</v>
      </c>
      <c r="U15" s="32">
        <f t="shared" si="10"/>
        <v>2.612</v>
      </c>
      <c r="V15" s="34">
        <f t="shared" si="6"/>
        <v>2.72</v>
      </c>
      <c r="W15" s="35">
        <v>0.15</v>
      </c>
      <c r="X15" s="33">
        <f t="shared" si="1"/>
        <v>0.50131926121372</v>
      </c>
      <c r="Y15" s="33">
        <v>0.8</v>
      </c>
      <c r="Z15" s="36"/>
      <c r="AA15" s="36"/>
      <c r="AB15" s="36"/>
      <c r="AC15" s="37">
        <f t="shared" si="2"/>
        <v>53911.6935402693</v>
      </c>
    </row>
    <row r="16" s="1" customFormat="1" spans="2:32">
      <c r="B16" s="25" t="s">
        <v>28</v>
      </c>
      <c r="C16" s="28">
        <f>12%+53.9%</f>
        <v>0.659</v>
      </c>
      <c r="D16" s="25" t="s">
        <v>29</v>
      </c>
      <c r="E16" s="28"/>
      <c r="F16" s="25" t="s">
        <v>30</v>
      </c>
      <c r="G16" s="56">
        <v>0</v>
      </c>
      <c r="H16" s="25" t="s">
        <v>31</v>
      </c>
      <c r="I16" s="27">
        <f>M18</f>
        <v>0.81</v>
      </c>
      <c r="J16" s="30" t="s">
        <v>58</v>
      </c>
      <c r="K16" s="27"/>
      <c r="L16" s="25" t="s">
        <v>59</v>
      </c>
      <c r="M16" s="27">
        <f>8.6%*2</f>
        <v>0.172</v>
      </c>
      <c r="N16" s="6"/>
      <c r="P16" s="31" t="s">
        <v>60</v>
      </c>
      <c r="Q16" s="32">
        <f>237.63%*2</f>
        <v>4.7526</v>
      </c>
      <c r="R16" s="33" t="s">
        <v>61</v>
      </c>
      <c r="S16" s="33">
        <f t="shared" si="0"/>
        <v>1011</v>
      </c>
      <c r="T16" s="32">
        <f t="shared" si="4"/>
        <v>1.9581918892186</v>
      </c>
      <c r="U16" s="32">
        <f>SUM($E$3:$E$7)</f>
        <v>1.84</v>
      </c>
      <c r="V16" s="34">
        <f t="shared" si="6"/>
        <v>2.72</v>
      </c>
      <c r="W16" s="35">
        <v>0.15</v>
      </c>
      <c r="X16" s="33">
        <f t="shared" si="1"/>
        <v>0.50131926121372</v>
      </c>
      <c r="Y16" s="33">
        <v>0.8</v>
      </c>
      <c r="Z16" s="36">
        <v>0</v>
      </c>
      <c r="AA16" s="36">
        <v>0</v>
      </c>
      <c r="AB16" s="36">
        <v>0</v>
      </c>
      <c r="AC16" s="37">
        <f t="shared" si="2"/>
        <v>50640.5278231571</v>
      </c>
    </row>
    <row r="17" s="1" customFormat="1" spans="2:29">
      <c r="B17" s="25" t="s">
        <v>34</v>
      </c>
      <c r="C17" s="28">
        <f>18%+18%+M15</f>
        <v>0.532</v>
      </c>
      <c r="D17" s="25" t="s">
        <v>35</v>
      </c>
      <c r="E17" s="28"/>
      <c r="F17" s="25" t="s">
        <v>36</v>
      </c>
      <c r="G17" s="27"/>
      <c r="H17" s="25" t="s">
        <v>36</v>
      </c>
      <c r="I17" s="27"/>
      <c r="J17" s="30"/>
      <c r="K17" s="27"/>
      <c r="L17" s="25" t="s">
        <v>18</v>
      </c>
      <c r="M17" s="27">
        <f>8.1*5%</f>
        <v>0.405</v>
      </c>
      <c r="N17" s="6"/>
      <c r="P17" s="57" t="s">
        <v>55</v>
      </c>
      <c r="Q17" s="58">
        <f>41.76%*2+20.55%*5+133.61%</f>
        <v>3.1988</v>
      </c>
      <c r="R17" s="59" t="s">
        <v>51</v>
      </c>
      <c r="S17" s="59">
        <f t="shared" ref="S17:S26" si="12">C$15</f>
        <v>875</v>
      </c>
      <c r="T17" s="58">
        <f t="shared" ref="T17:T26" si="13">(C$16+C$17+C$18+C$19)+(C$20+C$21)/C$15</f>
        <v>2.161</v>
      </c>
      <c r="U17" s="58">
        <f t="shared" ref="U17:U26" si="14">E$15+E$20</f>
        <v>0.94</v>
      </c>
      <c r="V17" s="60">
        <f t="shared" ref="V17:V19" si="15">G$20*(I$20-1)+1</f>
        <v>2.1528</v>
      </c>
      <c r="W17" s="61">
        <f t="shared" ref="W17:W26" si="16">K$15</f>
        <v>0.15</v>
      </c>
      <c r="X17" s="59">
        <f t="shared" ref="X17:X26" si="17">AE$2</f>
        <v>0.50131926121372</v>
      </c>
      <c r="Y17" s="59">
        <v>0.8</v>
      </c>
      <c r="Z17" s="61"/>
      <c r="AA17" s="61"/>
      <c r="AB17" s="62"/>
      <c r="AC17" s="63">
        <f t="shared" si="2"/>
        <v>17042.2632382797</v>
      </c>
    </row>
    <row r="18" s="1" customFormat="1" spans="2:29">
      <c r="B18" s="25" t="s">
        <v>40</v>
      </c>
      <c r="C18" s="38">
        <v>0.18</v>
      </c>
      <c r="D18" s="25" t="s">
        <v>41</v>
      </c>
      <c r="E18" s="28"/>
      <c r="F18" s="25" t="s">
        <v>31</v>
      </c>
      <c r="G18" s="27">
        <f>M17+22%</f>
        <v>0.625</v>
      </c>
      <c r="H18" s="25"/>
      <c r="I18" s="27"/>
      <c r="J18" s="30"/>
      <c r="K18" s="27"/>
      <c r="L18" s="25" t="s">
        <v>42</v>
      </c>
      <c r="M18" s="28">
        <f>16.2%*5</f>
        <v>0.81</v>
      </c>
      <c r="N18" s="6"/>
      <c r="P18" s="57" t="s">
        <v>62</v>
      </c>
      <c r="Q18" s="58">
        <f>86.16%*3</f>
        <v>2.5848</v>
      </c>
      <c r="R18" s="59" t="s">
        <v>39</v>
      </c>
      <c r="S18" s="59">
        <f t="shared" si="12"/>
        <v>875</v>
      </c>
      <c r="T18" s="58">
        <f t="shared" si="13"/>
        <v>2.161</v>
      </c>
      <c r="U18" s="58">
        <f t="shared" si="14"/>
        <v>0.94</v>
      </c>
      <c r="V18" s="60">
        <f t="shared" si="15"/>
        <v>2.1528</v>
      </c>
      <c r="W18" s="61">
        <f t="shared" si="16"/>
        <v>0.15</v>
      </c>
      <c r="X18" s="59">
        <f t="shared" si="17"/>
        <v>0.50131926121372</v>
      </c>
      <c r="Y18" s="59">
        <v>0.8</v>
      </c>
      <c r="Z18" s="61"/>
      <c r="AA18" s="61"/>
      <c r="AB18" s="62"/>
      <c r="AC18" s="63">
        <f t="shared" si="2"/>
        <v>13771.0522753237</v>
      </c>
    </row>
    <row r="19" s="1" customFormat="1" spans="2:29">
      <c r="B19" s="25" t="s">
        <v>44</v>
      </c>
      <c r="C19" s="38">
        <v>0.39</v>
      </c>
      <c r="D19" s="25" t="s">
        <v>63</v>
      </c>
      <c r="E19" s="56"/>
      <c r="F19" s="25" t="s">
        <v>46</v>
      </c>
      <c r="G19" s="27">
        <v>0.125</v>
      </c>
      <c r="H19" s="25" t="s">
        <v>46</v>
      </c>
      <c r="I19" s="27">
        <v>0</v>
      </c>
      <c r="J19" s="30"/>
      <c r="K19" s="27"/>
      <c r="L19" s="25"/>
      <c r="M19" s="26"/>
      <c r="N19" s="6"/>
      <c r="P19" s="57" t="s">
        <v>64</v>
      </c>
      <c r="Q19" s="58">
        <f>98.42%*3</f>
        <v>2.9526</v>
      </c>
      <c r="R19" s="59" t="s">
        <v>21</v>
      </c>
      <c r="S19" s="59">
        <f t="shared" si="12"/>
        <v>875</v>
      </c>
      <c r="T19" s="58">
        <f t="shared" si="13"/>
        <v>2.161</v>
      </c>
      <c r="U19" s="58">
        <f t="shared" si="14"/>
        <v>0.94</v>
      </c>
      <c r="V19" s="60">
        <f t="shared" si="15"/>
        <v>2.1528</v>
      </c>
      <c r="W19" s="61">
        <f t="shared" si="16"/>
        <v>0.15</v>
      </c>
      <c r="X19" s="59">
        <f t="shared" si="17"/>
        <v>0.50131926121372</v>
      </c>
      <c r="Y19" s="59">
        <v>0.8</v>
      </c>
      <c r="Z19" s="61"/>
      <c r="AA19" s="61"/>
      <c r="AB19" s="62"/>
      <c r="AC19" s="63">
        <f t="shared" si="2"/>
        <v>15730.5822300065</v>
      </c>
    </row>
    <row r="20" s="1" customFormat="1" spans="2:29">
      <c r="B20" s="25" t="s">
        <v>47</v>
      </c>
      <c r="C20" s="26">
        <v>350</v>
      </c>
      <c r="D20" s="25" t="s">
        <v>65</v>
      </c>
      <c r="E20" s="28">
        <f>18%+16%</f>
        <v>0.34</v>
      </c>
      <c r="F20" s="39" t="s">
        <v>49</v>
      </c>
      <c r="G20" s="40">
        <f>MIN(100%,SUM(G15:G19))</f>
        <v>0.88</v>
      </c>
      <c r="H20" s="39" t="s">
        <v>50</v>
      </c>
      <c r="I20" s="41">
        <f>SUM(I15:I19)</f>
        <v>2.31</v>
      </c>
      <c r="J20" s="30"/>
      <c r="K20" s="27"/>
      <c r="L20" s="25"/>
      <c r="M20" s="26"/>
      <c r="N20" s="6"/>
      <c r="P20" s="57" t="s">
        <v>66</v>
      </c>
      <c r="Q20" s="58">
        <f>65.21%*2</f>
        <v>1.3042</v>
      </c>
      <c r="R20" s="59" t="s">
        <v>51</v>
      </c>
      <c r="S20" s="59">
        <f t="shared" si="12"/>
        <v>875</v>
      </c>
      <c r="T20" s="58">
        <f t="shared" si="13"/>
        <v>2.161</v>
      </c>
      <c r="U20" s="58">
        <f t="shared" si="14"/>
        <v>0.94</v>
      </c>
      <c r="V20" s="60">
        <f>(G$20-0.125)*(I$20-1)+1</f>
        <v>1.98905</v>
      </c>
      <c r="W20" s="61">
        <f t="shared" si="16"/>
        <v>0.15</v>
      </c>
      <c r="X20" s="59">
        <f t="shared" si="17"/>
        <v>0.50131926121372</v>
      </c>
      <c r="Y20" s="59">
        <v>0.8</v>
      </c>
      <c r="Z20" s="61"/>
      <c r="AA20" s="61"/>
      <c r="AB20" s="62"/>
      <c r="AC20" s="63">
        <f t="shared" si="2"/>
        <v>6419.87235828066</v>
      </c>
    </row>
    <row r="21" s="1" customFormat="1" spans="2:29">
      <c r="B21" s="42" t="s">
        <v>52</v>
      </c>
      <c r="C21" s="43"/>
      <c r="D21" s="42"/>
      <c r="E21" s="44"/>
      <c r="F21" s="42"/>
      <c r="G21" s="44"/>
      <c r="H21" s="42"/>
      <c r="I21" s="43"/>
      <c r="J21" s="46"/>
      <c r="K21" s="45"/>
      <c r="L21" s="42"/>
      <c r="M21" s="43"/>
      <c r="N21" s="6"/>
      <c r="P21" s="57" t="s">
        <v>67</v>
      </c>
      <c r="Q21" s="58">
        <f>65.21%*4</f>
        <v>2.6084</v>
      </c>
      <c r="R21" s="59" t="s">
        <v>51</v>
      </c>
      <c r="S21" s="59">
        <f t="shared" si="12"/>
        <v>875</v>
      </c>
      <c r="T21" s="58">
        <f t="shared" si="13"/>
        <v>2.161</v>
      </c>
      <c r="U21" s="58">
        <f t="shared" si="14"/>
        <v>0.94</v>
      </c>
      <c r="V21" s="60">
        <f t="shared" ref="V21:V26" si="18">G$20*(I$20-1)+1</f>
        <v>2.1528</v>
      </c>
      <c r="W21" s="61">
        <f t="shared" si="16"/>
        <v>0.15</v>
      </c>
      <c r="X21" s="59">
        <f t="shared" si="17"/>
        <v>0.50131926121372</v>
      </c>
      <c r="Y21" s="59">
        <v>0.8</v>
      </c>
      <c r="Z21" s="61"/>
      <c r="AA21" s="61"/>
      <c r="AB21" s="62"/>
      <c r="AC21" s="63">
        <f t="shared" si="2"/>
        <v>13896.7861168966</v>
      </c>
    </row>
    <row r="22" s="1" customFormat="1" ht="15" spans="2:29">
      <c r="B22" s="64" t="s">
        <v>68</v>
      </c>
      <c r="C22" s="6"/>
      <c r="D22" s="6"/>
      <c r="E22" s="6"/>
      <c r="F22" s="6"/>
      <c r="G22" s="47"/>
      <c r="H22" s="6"/>
      <c r="I22" s="6"/>
      <c r="J22" s="6"/>
      <c r="K22" s="6"/>
      <c r="L22" s="6"/>
      <c r="M22" s="6"/>
      <c r="N22" s="6"/>
      <c r="P22" s="57" t="s">
        <v>69</v>
      </c>
      <c r="Q22" s="58">
        <f>65.21%*15</f>
        <v>9.7815</v>
      </c>
      <c r="R22" s="59" t="s">
        <v>51</v>
      </c>
      <c r="S22" s="59">
        <f t="shared" si="12"/>
        <v>875</v>
      </c>
      <c r="T22" s="58">
        <f t="shared" si="13"/>
        <v>2.161</v>
      </c>
      <c r="U22" s="58">
        <f t="shared" si="14"/>
        <v>0.94</v>
      </c>
      <c r="V22" s="60">
        <f>G$20*(I$20-1+25%)+1</f>
        <v>2.3728</v>
      </c>
      <c r="W22" s="61">
        <f t="shared" si="16"/>
        <v>0.15</v>
      </c>
      <c r="X22" s="59">
        <f t="shared" si="17"/>
        <v>0.50131926121372</v>
      </c>
      <c r="Y22" s="59">
        <v>0.8</v>
      </c>
      <c r="Z22" s="61"/>
      <c r="AA22" s="61"/>
      <c r="AB22" s="62"/>
      <c r="AC22" s="63">
        <f t="shared" si="2"/>
        <v>57438.5000316546</v>
      </c>
    </row>
    <row r="23" s="1" customFormat="1" spans="2:29">
      <c r="B23" s="65"/>
      <c r="C23" s="65" t="s">
        <v>70</v>
      </c>
      <c r="D23" s="65" t="s">
        <v>71</v>
      </c>
      <c r="E23" s="65" t="s">
        <v>72</v>
      </c>
      <c r="F23" s="66"/>
      <c r="G23" s="47"/>
      <c r="H23" s="6"/>
      <c r="I23" s="6"/>
      <c r="J23" s="6"/>
      <c r="K23" s="6"/>
      <c r="L23" s="6"/>
      <c r="M23" s="6"/>
      <c r="N23" s="6"/>
      <c r="P23" s="57" t="s">
        <v>73</v>
      </c>
      <c r="Q23" s="58">
        <f>83.01%*3</f>
        <v>2.4903</v>
      </c>
      <c r="R23" s="59" t="s">
        <v>74</v>
      </c>
      <c r="S23" s="59">
        <f t="shared" si="12"/>
        <v>875</v>
      </c>
      <c r="T23" s="58">
        <f t="shared" si="13"/>
        <v>2.161</v>
      </c>
      <c r="U23" s="58">
        <f t="shared" si="14"/>
        <v>0.94</v>
      </c>
      <c r="V23" s="60">
        <f t="shared" si="18"/>
        <v>2.1528</v>
      </c>
      <c r="W23" s="61">
        <f t="shared" si="16"/>
        <v>0.15</v>
      </c>
      <c r="X23" s="59">
        <f t="shared" si="17"/>
        <v>0.50131926121372</v>
      </c>
      <c r="Y23" s="59">
        <v>0.8</v>
      </c>
      <c r="Z23" s="61"/>
      <c r="AA23" s="61"/>
      <c r="AB23" s="62"/>
      <c r="AC23" s="63">
        <f t="shared" si="2"/>
        <v>13267.584138517</v>
      </c>
    </row>
    <row r="24" s="1" customFormat="1" spans="2:29">
      <c r="B24" s="67" t="s">
        <v>75</v>
      </c>
      <c r="C24" s="67">
        <f>SUM(AC2:AC16)</f>
        <v>1202761.66506607</v>
      </c>
      <c r="D24" s="67">
        <f>C24/E24</f>
        <v>48110.4666026428</v>
      </c>
      <c r="E24" s="66">
        <v>25</v>
      </c>
      <c r="F24" s="66"/>
      <c r="G24" s="47"/>
      <c r="H24" s="6"/>
      <c r="I24" s="6"/>
      <c r="J24" s="6"/>
      <c r="K24" s="6"/>
      <c r="L24" s="6"/>
      <c r="M24" s="6"/>
      <c r="N24" s="6"/>
      <c r="P24" s="68" t="s">
        <v>76</v>
      </c>
      <c r="Q24" s="58">
        <v>2.9822</v>
      </c>
      <c r="R24" s="59" t="s">
        <v>51</v>
      </c>
      <c r="S24" s="59">
        <f t="shared" si="12"/>
        <v>875</v>
      </c>
      <c r="T24" s="58">
        <f t="shared" si="13"/>
        <v>2.161</v>
      </c>
      <c r="U24" s="58">
        <f t="shared" si="14"/>
        <v>0.94</v>
      </c>
      <c r="V24" s="60">
        <f t="shared" si="18"/>
        <v>2.1528</v>
      </c>
      <c r="W24" s="61">
        <f t="shared" si="16"/>
        <v>0.15</v>
      </c>
      <c r="X24" s="59">
        <f t="shared" si="17"/>
        <v>0.50131926121372</v>
      </c>
      <c r="Y24" s="59">
        <v>0.8</v>
      </c>
      <c r="Z24" s="61"/>
      <c r="AA24" s="61"/>
      <c r="AB24" s="62"/>
      <c r="AC24" s="63">
        <f t="shared" si="2"/>
        <v>15888.2823024878</v>
      </c>
    </row>
    <row r="25" s="1" customFormat="1" spans="2:29">
      <c r="B25" s="67"/>
      <c r="C25" s="67">
        <v>518659</v>
      </c>
      <c r="D25" s="67"/>
      <c r="E25" s="47"/>
      <c r="F25" s="6"/>
      <c r="G25" s="47"/>
      <c r="H25" s="6"/>
      <c r="I25" s="6"/>
      <c r="J25" s="6"/>
      <c r="K25" s="6"/>
      <c r="L25" s="6"/>
      <c r="M25" s="6"/>
      <c r="N25" s="6"/>
      <c r="P25" s="57" t="s">
        <v>78</v>
      </c>
      <c r="Q25" s="58">
        <f>119.29%*3</f>
        <v>3.5787</v>
      </c>
      <c r="R25" s="59" t="s">
        <v>51</v>
      </c>
      <c r="S25" s="59">
        <f t="shared" si="12"/>
        <v>875</v>
      </c>
      <c r="T25" s="58">
        <f t="shared" si="13"/>
        <v>2.161</v>
      </c>
      <c r="U25" s="58">
        <f t="shared" si="14"/>
        <v>0.94</v>
      </c>
      <c r="V25" s="60">
        <f t="shared" si="18"/>
        <v>2.1528</v>
      </c>
      <c r="W25" s="61">
        <f t="shared" si="16"/>
        <v>0.15</v>
      </c>
      <c r="X25" s="59">
        <f t="shared" si="17"/>
        <v>0.50131926121372</v>
      </c>
      <c r="Y25" s="59">
        <v>0.8</v>
      </c>
      <c r="Z25" s="61"/>
      <c r="AA25" s="61"/>
      <c r="AB25" s="62"/>
      <c r="AC25" s="63">
        <f t="shared" si="2"/>
        <v>19066.2584252944</v>
      </c>
    </row>
    <row r="26" s="1" customFormat="1" spans="2:29">
      <c r="B26" s="67" t="s">
        <v>79</v>
      </c>
      <c r="C26" s="67">
        <v>50000</v>
      </c>
      <c r="D26" s="67">
        <f>C26/E24</f>
        <v>2000</v>
      </c>
      <c r="E26" s="6"/>
      <c r="F26" s="6"/>
      <c r="G26" s="47"/>
      <c r="H26" s="6"/>
      <c r="I26" s="6"/>
      <c r="J26" s="6"/>
      <c r="K26" s="6"/>
      <c r="L26" s="6"/>
      <c r="M26" s="6"/>
      <c r="N26" s="6"/>
      <c r="P26" s="57" t="s">
        <v>27</v>
      </c>
      <c r="Q26" s="58">
        <v>3.1</v>
      </c>
      <c r="R26" s="59" t="s">
        <v>27</v>
      </c>
      <c r="S26" s="59">
        <f t="shared" si="12"/>
        <v>875</v>
      </c>
      <c r="T26" s="58">
        <f t="shared" si="13"/>
        <v>2.161</v>
      </c>
      <c r="U26" s="58">
        <f t="shared" si="14"/>
        <v>0.94</v>
      </c>
      <c r="V26" s="60">
        <f t="shared" si="18"/>
        <v>2.1528</v>
      </c>
      <c r="W26" s="61">
        <f t="shared" si="16"/>
        <v>0.15</v>
      </c>
      <c r="X26" s="59">
        <f t="shared" si="17"/>
        <v>0.50131926121372</v>
      </c>
      <c r="Y26" s="59">
        <v>0.8</v>
      </c>
      <c r="Z26" s="61"/>
      <c r="AA26" s="61"/>
      <c r="AB26" s="62"/>
      <c r="AC26" s="63">
        <f t="shared" si="2"/>
        <v>16515.885969322</v>
      </c>
    </row>
    <row r="27" s="1" customFormat="1" spans="2:29">
      <c r="B27" s="67" t="s">
        <v>80</v>
      </c>
      <c r="C27" s="67">
        <f>C24+C25+C26</f>
        <v>1771420.66506607</v>
      </c>
      <c r="D27" s="67">
        <f>C27/E24</f>
        <v>70856.8266026428</v>
      </c>
      <c r="E27" s="6"/>
      <c r="F27" s="6"/>
      <c r="G27" s="47"/>
      <c r="H27" s="6"/>
      <c r="I27" s="6"/>
      <c r="J27" s="6"/>
      <c r="K27" s="6"/>
      <c r="L27" s="6"/>
      <c r="M27" s="6"/>
      <c r="N27" s="6"/>
      <c r="Q27" s="69"/>
      <c r="U27" s="2"/>
      <c r="V27" s="69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H28" s="59" t="s">
        <v>82</v>
      </c>
      <c r="I28" s="59" t="s">
        <v>71</v>
      </c>
      <c r="J28" s="59" t="s">
        <v>83</v>
      </c>
      <c r="K28" s="59" t="s">
        <v>84</v>
      </c>
      <c r="N28" s="6"/>
      <c r="Q28" s="69"/>
      <c r="U28" s="2"/>
      <c r="V28" s="69"/>
      <c r="AB28" s="4"/>
      <c r="AC28" s="4"/>
    </row>
    <row r="29" s="1" customFormat="1" ht="20" customHeight="1" spans="2:29">
      <c r="B29" s="67"/>
      <c r="C29" s="67"/>
      <c r="D29" s="67"/>
      <c r="E29" s="6">
        <f t="shared" ref="E29:E33" si="19">F29*81+G29*54</f>
        <v>351</v>
      </c>
      <c r="F29" s="67">
        <v>3</v>
      </c>
      <c r="G29" s="70">
        <v>2</v>
      </c>
      <c r="H29" s="6" t="s">
        <v>85</v>
      </c>
      <c r="I29" s="71">
        <v>46524</v>
      </c>
      <c r="J29" s="71"/>
      <c r="K29" s="72">
        <f t="shared" ref="K29:K33" si="20">I29/E29</f>
        <v>132.547008547009</v>
      </c>
      <c r="N29" s="6"/>
      <c r="Q29" s="69"/>
      <c r="V29" s="69"/>
      <c r="AB29" s="4"/>
      <c r="AC29" s="4"/>
    </row>
    <row r="30" s="1" customFormat="1" ht="20" customHeight="1" spans="2:29">
      <c r="B30" s="67"/>
      <c r="C30" s="67"/>
      <c r="D30" s="67"/>
      <c r="E30" s="6">
        <f t="shared" si="19"/>
        <v>405</v>
      </c>
      <c r="F30" s="70">
        <v>3</v>
      </c>
      <c r="G30" s="70">
        <v>3</v>
      </c>
      <c r="H30" s="6" t="s">
        <v>86</v>
      </c>
      <c r="I30" s="71">
        <v>49720</v>
      </c>
      <c r="J30" s="73">
        <f t="shared" ref="J30:J33" si="21">I30/I$29-1</f>
        <v>0.0686957269366348</v>
      </c>
      <c r="K30" s="72">
        <f t="shared" si="20"/>
        <v>122.765432098765</v>
      </c>
      <c r="N30" s="6"/>
      <c r="Q30" s="74"/>
      <c r="U30" s="2"/>
      <c r="V30" s="2"/>
      <c r="AB30" s="4"/>
      <c r="AC30" s="4"/>
    </row>
    <row r="31" s="1" customFormat="1" ht="20" customHeight="1" spans="2:29">
      <c r="B31" s="6"/>
      <c r="C31" s="6"/>
      <c r="D31" s="6"/>
      <c r="E31" s="6">
        <f t="shared" si="19"/>
        <v>351</v>
      </c>
      <c r="F31" s="70">
        <v>3</v>
      </c>
      <c r="G31" s="70">
        <v>2</v>
      </c>
      <c r="H31" s="6" t="s">
        <v>87</v>
      </c>
      <c r="I31" s="71">
        <v>57490</v>
      </c>
      <c r="J31" s="75">
        <f t="shared" si="21"/>
        <v>0.235706302123635</v>
      </c>
      <c r="K31" s="72">
        <f t="shared" si="20"/>
        <v>163.789173789174</v>
      </c>
      <c r="N31" s="6"/>
      <c r="Q31" s="2"/>
      <c r="U31" s="2"/>
      <c r="V31" s="3"/>
      <c r="AB31" s="4"/>
      <c r="AC31" s="4"/>
    </row>
    <row r="32" s="1" customFormat="1" ht="20" customHeight="1" spans="2:29">
      <c r="B32" s="67"/>
      <c r="C32" s="67"/>
      <c r="D32" s="67"/>
      <c r="E32" s="6">
        <f t="shared" si="19"/>
        <v>405</v>
      </c>
      <c r="F32" s="70">
        <v>3</v>
      </c>
      <c r="G32" s="70">
        <v>3</v>
      </c>
      <c r="H32" s="6" t="s">
        <v>88</v>
      </c>
      <c r="I32" s="71">
        <v>61325</v>
      </c>
      <c r="J32" s="75">
        <f t="shared" si="21"/>
        <v>0.318136875591093</v>
      </c>
      <c r="K32" s="72">
        <f t="shared" si="20"/>
        <v>151.41975308642</v>
      </c>
      <c r="N32" s="6"/>
      <c r="Q32" s="2"/>
      <c r="U32" s="2"/>
      <c r="V32" s="3"/>
      <c r="AB32" s="4"/>
      <c r="AC32" s="4"/>
    </row>
    <row r="33" s="1" customFormat="1" ht="20" customHeight="1" spans="2:29">
      <c r="B33" s="67"/>
      <c r="C33" s="67"/>
      <c r="D33" s="67"/>
      <c r="E33" s="6">
        <f t="shared" si="19"/>
        <v>567</v>
      </c>
      <c r="F33" s="70">
        <v>5</v>
      </c>
      <c r="G33" s="70">
        <v>3</v>
      </c>
      <c r="H33" s="6" t="s">
        <v>89</v>
      </c>
      <c r="I33" s="71">
        <v>70857</v>
      </c>
      <c r="J33" s="75">
        <f t="shared" si="21"/>
        <v>0.52302037657983</v>
      </c>
      <c r="K33" s="72">
        <f t="shared" si="20"/>
        <v>124.968253968254</v>
      </c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I34" s="77"/>
      <c r="J34" s="77"/>
      <c r="N34" s="6"/>
      <c r="Q34" s="2"/>
      <c r="U34" s="2"/>
      <c r="V34" s="3"/>
      <c r="AB34" s="4"/>
      <c r="AC34" s="4"/>
    </row>
    <row r="35" s="1" customFormat="1" spans="2:29">
      <c r="B35" s="67"/>
      <c r="C35" s="67"/>
      <c r="D35" s="67"/>
      <c r="E35" s="6"/>
      <c r="F35" s="67"/>
      <c r="G35" s="2"/>
      <c r="N35" s="6"/>
      <c r="Q35" s="2"/>
      <c r="U35" s="2"/>
      <c r="V35" s="3"/>
      <c r="AB35" s="4"/>
      <c r="AC35" s="4"/>
    </row>
    <row r="36" s="1" customFormat="1" spans="2:29">
      <c r="G36" s="2"/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conditionalFormatting sqref="K29:K33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tabSelected="1" workbookViewId="0">
      <selection activeCell="K6" sqref="K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4" width="9.69090909090909" style="1"/>
    <col min="15" max="15" width="12.8181818181818" style="1"/>
    <col min="16" max="16" width="9.54545454545454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198.81%</f>
        <v>1.9881</v>
      </c>
      <c r="R2" s="19" t="s">
        <v>21</v>
      </c>
      <c r="S2" s="19">
        <f t="shared" ref="S2:S16" si="0">$C$3</f>
        <v>1011</v>
      </c>
      <c r="T2" s="18">
        <f>(C$4+C$5+C$6+C$7)+(C$8+C$9)/S$2-22.5%</f>
        <v>1.1631918892186</v>
      </c>
      <c r="U2" s="18">
        <f>SUM($E$3:$E$5)-12%</f>
        <v>1.12</v>
      </c>
      <c r="V2" s="20">
        <f>1+$G$8*($I$8-1-0.25)</f>
        <v>2.47</v>
      </c>
      <c r="W2" s="21">
        <v>0.15</v>
      </c>
      <c r="X2" s="19">
        <f t="shared" ref="X2:X16" si="1">AE$3</f>
        <v>0.50131926121372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6" si="2">Q2*S2*(1+T2)*(1+U2)*V2*(1+W2)*X2*Y2*(1+Z2)*(1+AA2)*(1+AB2)</f>
        <v>10500.7292139971</v>
      </c>
      <c r="AD2" s="13">
        <v>0</v>
      </c>
      <c r="AE2" s="14">
        <f t="shared" ref="AE2:AE7" si="3">1520/(1520+(792+8*AF2)*(1-AD2/100))</f>
        <v>0.50131926121372</v>
      </c>
      <c r="AF2" s="24">
        <v>90</v>
      </c>
    </row>
    <row r="3" s="1" customFormat="1" spans="2:32">
      <c r="B3" s="25" t="s">
        <v>22</v>
      </c>
      <c r="C3" s="26">
        <f>424+587</f>
        <v>1011</v>
      </c>
      <c r="D3" s="25" t="s">
        <v>23</v>
      </c>
      <c r="E3" s="27">
        <f>30%+12%+30%</f>
        <v>0.72</v>
      </c>
      <c r="F3" s="25" t="s">
        <v>24</v>
      </c>
      <c r="G3" s="27">
        <v>0.05</v>
      </c>
      <c r="H3" s="25" t="s">
        <v>24</v>
      </c>
      <c r="I3" s="28">
        <f>150%+16%</f>
        <v>1.66</v>
      </c>
      <c r="J3" s="29" t="s">
        <v>25</v>
      </c>
      <c r="K3" s="28">
        <v>0.15</v>
      </c>
      <c r="L3" s="25" t="s">
        <v>26</v>
      </c>
      <c r="M3" s="27">
        <f>8.6%*2</f>
        <v>0.172</v>
      </c>
      <c r="N3" s="6"/>
      <c r="P3" s="17" t="s">
        <v>27</v>
      </c>
      <c r="Q3" s="18">
        <f>405%</f>
        <v>4.05</v>
      </c>
      <c r="R3" s="19" t="s">
        <v>27</v>
      </c>
      <c r="S3" s="19">
        <f t="shared" si="0"/>
        <v>1011</v>
      </c>
      <c r="T3" s="18">
        <f>(C$4+C$5+C$6+C$7)+(C$8+C$9)/S$2-22.5%</f>
        <v>1.1631918892186</v>
      </c>
      <c r="U3" s="18">
        <f>SUM($E$3:$E$5)-12%</f>
        <v>1.12</v>
      </c>
      <c r="V3" s="20">
        <f>1+$G$8*($I$8-1-0.25)</f>
        <v>2.47</v>
      </c>
      <c r="W3" s="21">
        <v>0.15</v>
      </c>
      <c r="X3" s="19">
        <f t="shared" si="1"/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si="2"/>
        <v>21391.254623353</v>
      </c>
      <c r="AD3" s="13">
        <v>0</v>
      </c>
      <c r="AE3" s="14">
        <f t="shared" si="3"/>
        <v>0.50131926121372</v>
      </c>
      <c r="AF3" s="24">
        <v>90</v>
      </c>
    </row>
    <row r="4" s="1" customFormat="1" spans="2:32">
      <c r="B4" s="25" t="s">
        <v>28</v>
      </c>
      <c r="C4" s="28">
        <f>12%</f>
        <v>0.12</v>
      </c>
      <c r="D4" s="25" t="s">
        <v>29</v>
      </c>
      <c r="E4" s="27">
        <v>0.12</v>
      </c>
      <c r="F4" s="25" t="s">
        <v>30</v>
      </c>
      <c r="G4" s="27">
        <v>0.243</v>
      </c>
      <c r="H4" s="25" t="s">
        <v>31</v>
      </c>
      <c r="I4" s="27">
        <f>M6</f>
        <v>0.81</v>
      </c>
      <c r="J4" s="30" t="s">
        <v>32</v>
      </c>
      <c r="K4" s="27"/>
      <c r="L4" s="25" t="s">
        <v>33</v>
      </c>
      <c r="M4" s="27">
        <f>8.6%*2</f>
        <v>0.172</v>
      </c>
      <c r="N4" s="6"/>
      <c r="P4" s="17" t="s">
        <v>21</v>
      </c>
      <c r="Q4" s="18">
        <f>198.81%</f>
        <v>1.9881</v>
      </c>
      <c r="R4" s="19" t="s">
        <v>21</v>
      </c>
      <c r="S4" s="19">
        <f t="shared" si="0"/>
        <v>1011</v>
      </c>
      <c r="T4" s="18">
        <f>(C$4+C$5+C$6+C$7)+(C$8+C$9)/S$2-22.5%</f>
        <v>1.1631918892186</v>
      </c>
      <c r="U4" s="18">
        <f>SUM($E$3:$E$5)-12%</f>
        <v>1.12</v>
      </c>
      <c r="V4" s="20">
        <f>1+$G$8*($I$8-1-0.25)</f>
        <v>2.47</v>
      </c>
      <c r="W4" s="21">
        <v>0.15</v>
      </c>
      <c r="X4" s="19">
        <f t="shared" si="1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2"/>
        <v>10500.7292139971</v>
      </c>
      <c r="AD4" s="13">
        <v>14.4</v>
      </c>
      <c r="AE4" s="14">
        <f t="shared" si="3"/>
        <v>0.540104154822277</v>
      </c>
      <c r="AF4" s="24">
        <v>90</v>
      </c>
    </row>
    <row r="5" s="1" customFormat="1" spans="2:32">
      <c r="B5" s="25" t="s">
        <v>34</v>
      </c>
      <c r="C5" s="28">
        <f>18%+18%+M3</f>
        <v>0.532</v>
      </c>
      <c r="D5" s="25" t="s">
        <v>35</v>
      </c>
      <c r="E5" s="27">
        <v>0.4</v>
      </c>
      <c r="F5" s="25" t="s">
        <v>36</v>
      </c>
      <c r="G5" s="27"/>
      <c r="H5" s="25" t="s">
        <v>30</v>
      </c>
      <c r="I5" s="27"/>
      <c r="J5" s="30" t="s">
        <v>37</v>
      </c>
      <c r="K5" s="27"/>
      <c r="L5" s="25" t="s">
        <v>18</v>
      </c>
      <c r="M5" s="27">
        <f>8.1*5%</f>
        <v>0.405</v>
      </c>
      <c r="N5" s="6"/>
      <c r="P5" s="31" t="s">
        <v>38</v>
      </c>
      <c r="Q5" s="32">
        <f>99.41%*2</f>
        <v>1.9882</v>
      </c>
      <c r="R5" s="33" t="s">
        <v>39</v>
      </c>
      <c r="S5" s="33">
        <f t="shared" si="0"/>
        <v>1011</v>
      </c>
      <c r="T5" s="32">
        <f t="shared" ref="T5:T16" si="4">(C$4+C$5+C$6+C$7)+(C$8+C$9)/S$2</f>
        <v>1.3881918892186</v>
      </c>
      <c r="U5" s="32">
        <f t="shared" ref="U5:U10" si="5">SUM($E$3:$E$7)</f>
        <v>1.56</v>
      </c>
      <c r="V5" s="34">
        <f t="shared" ref="V5:V16" si="6">1+$G$8*($I$8-1)</f>
        <v>2.72</v>
      </c>
      <c r="W5" s="35">
        <v>0.35</v>
      </c>
      <c r="X5" s="33">
        <f t="shared" si="1"/>
        <v>0.50131926121372</v>
      </c>
      <c r="Y5" s="33">
        <v>0.8</v>
      </c>
      <c r="Z5" s="36">
        <v>0</v>
      </c>
      <c r="AA5" s="36">
        <v>0</v>
      </c>
      <c r="AB5" s="36">
        <v>0</v>
      </c>
      <c r="AC5" s="37">
        <f t="shared" si="2"/>
        <v>18097.8698186596</v>
      </c>
      <c r="AD5" s="13">
        <v>21.6</v>
      </c>
      <c r="AE5" s="14">
        <f t="shared" si="3"/>
        <v>0.561837623012869</v>
      </c>
      <c r="AF5" s="24">
        <v>90</v>
      </c>
    </row>
    <row r="6" s="1" customFormat="1" spans="2:32">
      <c r="B6" s="25" t="s">
        <v>40</v>
      </c>
      <c r="C6" s="38"/>
      <c r="D6" s="25" t="s">
        <v>41</v>
      </c>
      <c r="E6" s="27"/>
      <c r="F6" s="25" t="s">
        <v>31</v>
      </c>
      <c r="G6" s="27">
        <f>M5+22%</f>
        <v>0.625</v>
      </c>
      <c r="H6" s="25"/>
      <c r="I6" s="27"/>
      <c r="J6" s="30"/>
      <c r="K6" s="27"/>
      <c r="L6" s="25" t="s">
        <v>42</v>
      </c>
      <c r="M6" s="28">
        <f>16.2%*5</f>
        <v>0.81</v>
      </c>
      <c r="N6" s="6"/>
      <c r="P6" s="31" t="s">
        <v>43</v>
      </c>
      <c r="Q6" s="32">
        <f>1466.06%</f>
        <v>14.6606</v>
      </c>
      <c r="R6" s="33" t="s">
        <v>43</v>
      </c>
      <c r="S6" s="33">
        <f t="shared" si="0"/>
        <v>1011</v>
      </c>
      <c r="T6" s="32">
        <f t="shared" si="4"/>
        <v>1.3881918892186</v>
      </c>
      <c r="U6" s="32">
        <f t="shared" ref="U6:U9" si="7">SUM($E$3:$E$8)</f>
        <v>2.332</v>
      </c>
      <c r="V6" s="34">
        <f t="shared" si="6"/>
        <v>2.72</v>
      </c>
      <c r="W6" s="35">
        <f t="shared" ref="W6:W9" si="8">K$3+K$5</f>
        <v>0.15</v>
      </c>
      <c r="X6" s="33">
        <f t="shared" si="1"/>
        <v>0.50131926121372</v>
      </c>
      <c r="Y6" s="33">
        <v>0.8</v>
      </c>
      <c r="Z6" s="36">
        <v>0</v>
      </c>
      <c r="AA6" s="36">
        <v>0</v>
      </c>
      <c r="AB6" s="36">
        <v>0</v>
      </c>
      <c r="AC6" s="37">
        <f t="shared" si="2"/>
        <v>147961.332690922</v>
      </c>
      <c r="AD6" s="13">
        <v>28.8</v>
      </c>
      <c r="AE6" s="14">
        <f t="shared" si="3"/>
        <v>0.585393507677898</v>
      </c>
      <c r="AF6" s="24">
        <v>90</v>
      </c>
    </row>
    <row r="7" s="1" customFormat="1" spans="2:32">
      <c r="B7" s="25" t="s">
        <v>44</v>
      </c>
      <c r="C7" s="38">
        <f>39%</f>
        <v>0.39</v>
      </c>
      <c r="D7" s="25" t="s">
        <v>45</v>
      </c>
      <c r="E7" s="27">
        <v>0.32</v>
      </c>
      <c r="F7" s="25" t="s">
        <v>46</v>
      </c>
      <c r="G7" s="27">
        <v>0.125</v>
      </c>
      <c r="H7" s="25" t="s">
        <v>46</v>
      </c>
      <c r="I7" s="27">
        <v>0.25</v>
      </c>
      <c r="J7" s="30"/>
      <c r="K7" s="27"/>
      <c r="L7" s="25"/>
      <c r="M7" s="26"/>
      <c r="N7" s="6"/>
      <c r="P7" s="31" t="s">
        <v>21</v>
      </c>
      <c r="Q7" s="32">
        <f>49.59%*3+173.55%*2</f>
        <v>4.9587</v>
      </c>
      <c r="R7" s="33" t="s">
        <v>21</v>
      </c>
      <c r="S7" s="33">
        <f t="shared" si="0"/>
        <v>1011</v>
      </c>
      <c r="T7" s="32">
        <f t="shared" si="4"/>
        <v>1.3881918892186</v>
      </c>
      <c r="U7" s="32">
        <f t="shared" si="5"/>
        <v>1.56</v>
      </c>
      <c r="V7" s="34">
        <f t="shared" si="6"/>
        <v>2.72</v>
      </c>
      <c r="W7" s="35">
        <v>0.35</v>
      </c>
      <c r="X7" s="33">
        <f t="shared" si="1"/>
        <v>0.50131926121372</v>
      </c>
      <c r="Y7" s="33">
        <v>0.8</v>
      </c>
      <c r="Z7" s="36">
        <v>0</v>
      </c>
      <c r="AA7" s="36">
        <v>0</v>
      </c>
      <c r="AB7" s="36">
        <v>0</v>
      </c>
      <c r="AC7" s="37">
        <f t="shared" si="2"/>
        <v>45137.2633888881</v>
      </c>
      <c r="AD7" s="13">
        <v>36</v>
      </c>
      <c r="AE7" s="14">
        <f t="shared" si="3"/>
        <v>0.611011062516079</v>
      </c>
      <c r="AF7" s="24">
        <v>90</v>
      </c>
    </row>
    <row r="8" s="1" customFormat="1" spans="2:32">
      <c r="B8" s="25" t="s">
        <v>47</v>
      </c>
      <c r="C8" s="26">
        <v>350</v>
      </c>
      <c r="D8" s="25" t="s">
        <v>48</v>
      </c>
      <c r="E8" s="27">
        <f>48%+M4+12%</f>
        <v>0.772</v>
      </c>
      <c r="F8" s="39" t="s">
        <v>49</v>
      </c>
      <c r="G8" s="40">
        <f>MIN(100%,SUM(G3:G7))</f>
        <v>1</v>
      </c>
      <c r="H8" s="39" t="s">
        <v>50</v>
      </c>
      <c r="I8" s="41">
        <f>SUM(I3:I7)</f>
        <v>2.72</v>
      </c>
      <c r="J8" s="30"/>
      <c r="K8" s="27"/>
      <c r="L8" s="25"/>
      <c r="M8" s="26"/>
      <c r="N8" s="6"/>
      <c r="P8" s="31" t="s">
        <v>51</v>
      </c>
      <c r="Q8" s="32">
        <f>21.87%*4+65.61%*2</f>
        <v>2.187</v>
      </c>
      <c r="R8" s="33" t="s">
        <v>43</v>
      </c>
      <c r="S8" s="33">
        <f t="shared" si="0"/>
        <v>1011</v>
      </c>
      <c r="T8" s="32">
        <f t="shared" si="4"/>
        <v>1.3881918892186</v>
      </c>
      <c r="U8" s="32">
        <f t="shared" si="7"/>
        <v>2.332</v>
      </c>
      <c r="V8" s="34">
        <f t="shared" si="6"/>
        <v>2.72</v>
      </c>
      <c r="W8" s="35">
        <f t="shared" si="8"/>
        <v>0.15</v>
      </c>
      <c r="X8" s="33">
        <f t="shared" si="1"/>
        <v>0.50131926121372</v>
      </c>
      <c r="Y8" s="33">
        <v>0.8</v>
      </c>
      <c r="Z8" s="36">
        <v>0</v>
      </c>
      <c r="AA8" s="36">
        <v>0</v>
      </c>
      <c r="AB8" s="36">
        <v>0</v>
      </c>
      <c r="AC8" s="37">
        <f t="shared" si="2"/>
        <v>22072.1822159425</v>
      </c>
    </row>
    <row r="9" s="1" customFormat="1" spans="2:32">
      <c r="B9" s="42" t="s">
        <v>52</v>
      </c>
      <c r="C9" s="43"/>
      <c r="D9" s="42"/>
      <c r="E9" s="44"/>
      <c r="F9" s="42"/>
      <c r="G9" s="45"/>
      <c r="H9" s="42"/>
      <c r="I9" s="43"/>
      <c r="J9" s="46"/>
      <c r="K9" s="45"/>
      <c r="L9" s="42"/>
      <c r="M9" s="43"/>
      <c r="N9" s="6"/>
      <c r="P9" s="31" t="s">
        <v>53</v>
      </c>
      <c r="Q9" s="32">
        <f t="shared" ref="Q9:Q14" si="9">95.73%*4+255.28%</f>
        <v>6.382</v>
      </c>
      <c r="R9" s="33" t="s">
        <v>43</v>
      </c>
      <c r="S9" s="33">
        <f t="shared" si="0"/>
        <v>1011</v>
      </c>
      <c r="T9" s="32">
        <f t="shared" si="4"/>
        <v>1.3881918892186</v>
      </c>
      <c r="U9" s="32">
        <f t="shared" si="7"/>
        <v>2.332</v>
      </c>
      <c r="V9" s="34">
        <f t="shared" si="6"/>
        <v>2.72</v>
      </c>
      <c r="W9" s="35">
        <f t="shared" si="8"/>
        <v>0.15</v>
      </c>
      <c r="X9" s="33">
        <f t="shared" si="1"/>
        <v>0.50131926121372</v>
      </c>
      <c r="Y9" s="33">
        <v>0.8</v>
      </c>
      <c r="Z9" s="36">
        <v>0</v>
      </c>
      <c r="AA9" s="36">
        <v>0</v>
      </c>
      <c r="AB9" s="36">
        <v>0</v>
      </c>
      <c r="AC9" s="37">
        <f t="shared" si="2"/>
        <v>64409.998583514</v>
      </c>
    </row>
    <row r="10" s="1" customFormat="1" spans="2:32">
      <c r="B10" s="6"/>
      <c r="C10" s="6"/>
      <c r="D10" s="6"/>
      <c r="E10" s="6"/>
      <c r="F10" s="6" t="s">
        <v>54</v>
      </c>
      <c r="G10" s="47"/>
      <c r="H10" s="6"/>
      <c r="I10" s="6"/>
      <c r="J10" s="6"/>
      <c r="K10" s="6"/>
      <c r="L10" s="6"/>
      <c r="M10" s="6"/>
      <c r="N10" s="6"/>
      <c r="P10" s="31" t="s">
        <v>55</v>
      </c>
      <c r="Q10" s="32">
        <f>119.67%+60.92%*4+133.25%*2</f>
        <v>6.2985</v>
      </c>
      <c r="R10" s="33" t="s">
        <v>51</v>
      </c>
      <c r="S10" s="33">
        <f t="shared" si="0"/>
        <v>1011</v>
      </c>
      <c r="T10" s="32">
        <f t="shared" si="4"/>
        <v>1.3881918892186</v>
      </c>
      <c r="U10" s="32">
        <f t="shared" si="5"/>
        <v>1.56</v>
      </c>
      <c r="V10" s="34">
        <f t="shared" si="6"/>
        <v>2.72</v>
      </c>
      <c r="W10" s="35">
        <v>0.35</v>
      </c>
      <c r="X10" s="33">
        <f t="shared" si="1"/>
        <v>0.50131926121372</v>
      </c>
      <c r="Y10" s="33">
        <v>0.8</v>
      </c>
      <c r="Z10" s="36"/>
      <c r="AA10" s="36"/>
      <c r="AB10" s="36"/>
      <c r="AC10" s="37">
        <f t="shared" si="2"/>
        <v>57332.9811149922</v>
      </c>
    </row>
    <row r="11" s="1" customFormat="1" spans="2:32">
      <c r="B11" s="6"/>
      <c r="C11" s="6"/>
      <c r="D11" s="6"/>
      <c r="E11" s="6"/>
      <c r="F11" s="6"/>
      <c r="G11" s="47"/>
      <c r="H11" s="6"/>
      <c r="I11" s="6"/>
      <c r="J11" s="6"/>
      <c r="K11" s="6"/>
      <c r="L11" s="6"/>
      <c r="M11" s="6"/>
      <c r="N11" s="6"/>
      <c r="P11" s="31" t="s">
        <v>53</v>
      </c>
      <c r="Q11" s="32">
        <f t="shared" si="9"/>
        <v>6.382</v>
      </c>
      <c r="R11" s="33" t="s">
        <v>43</v>
      </c>
      <c r="S11" s="33">
        <f t="shared" si="0"/>
        <v>1011</v>
      </c>
      <c r="T11" s="32">
        <f t="shared" si="4"/>
        <v>1.3881918892186</v>
      </c>
      <c r="U11" s="32">
        <f t="shared" ref="U11:U15" si="10">SUM($E$3:$E$8)</f>
        <v>2.332</v>
      </c>
      <c r="V11" s="34">
        <f t="shared" si="6"/>
        <v>2.72</v>
      </c>
      <c r="W11" s="35">
        <f t="shared" ref="W11:W14" si="11">K$3+K$5</f>
        <v>0.15</v>
      </c>
      <c r="X11" s="33">
        <f t="shared" si="1"/>
        <v>0.50131926121372</v>
      </c>
      <c r="Y11" s="33">
        <v>0.8</v>
      </c>
      <c r="Z11" s="36"/>
      <c r="AA11" s="36"/>
      <c r="AB11" s="36"/>
      <c r="AC11" s="37">
        <f t="shared" si="2"/>
        <v>64409.998583514</v>
      </c>
    </row>
    <row r="12" s="1" customFormat="1" ht="14.75" spans="2:32">
      <c r="B12" s="6"/>
      <c r="C12" s="6"/>
      <c r="D12" s="6"/>
      <c r="E12" s="6"/>
      <c r="F12" s="6"/>
      <c r="G12" s="47"/>
      <c r="H12" s="6"/>
      <c r="I12" s="6"/>
      <c r="J12" s="6"/>
      <c r="K12" s="6"/>
      <c r="L12" s="6"/>
      <c r="M12" s="6"/>
      <c r="N12" s="6"/>
      <c r="P12" s="31" t="s">
        <v>21</v>
      </c>
      <c r="Q12" s="32">
        <f>49.59%*3+173.55%*2</f>
        <v>4.9587</v>
      </c>
      <c r="R12" s="33" t="s">
        <v>21</v>
      </c>
      <c r="S12" s="33">
        <f t="shared" si="0"/>
        <v>1011</v>
      </c>
      <c r="T12" s="32">
        <f t="shared" si="4"/>
        <v>1.3881918892186</v>
      </c>
      <c r="U12" s="32">
        <f>SUM($E$3:$E$7)</f>
        <v>1.56</v>
      </c>
      <c r="V12" s="34">
        <f t="shared" si="6"/>
        <v>2.72</v>
      </c>
      <c r="W12" s="35">
        <v>0.35</v>
      </c>
      <c r="X12" s="33">
        <f t="shared" si="1"/>
        <v>0.50131926121372</v>
      </c>
      <c r="Y12" s="33">
        <v>0.8</v>
      </c>
      <c r="Z12" s="36"/>
      <c r="AA12" s="36"/>
      <c r="AB12" s="36"/>
      <c r="AC12" s="37">
        <f t="shared" si="2"/>
        <v>45137.2633888881</v>
      </c>
    </row>
    <row r="13" s="1" customFormat="1" ht="15" spans="2:32">
      <c r="B13" s="48" t="s">
        <v>56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0"/>
      <c r="N13" s="6"/>
      <c r="P13" s="31" t="s">
        <v>51</v>
      </c>
      <c r="Q13" s="32">
        <f>21.87%*4+65.61%*2</f>
        <v>2.187</v>
      </c>
      <c r="R13" s="33" t="s">
        <v>43</v>
      </c>
      <c r="S13" s="33">
        <f t="shared" si="0"/>
        <v>1011</v>
      </c>
      <c r="T13" s="32">
        <f t="shared" si="4"/>
        <v>1.3881918892186</v>
      </c>
      <c r="U13" s="32">
        <f t="shared" si="10"/>
        <v>2.332</v>
      </c>
      <c r="V13" s="34">
        <f t="shared" si="6"/>
        <v>2.72</v>
      </c>
      <c r="W13" s="35">
        <f t="shared" si="11"/>
        <v>0.15</v>
      </c>
      <c r="X13" s="33">
        <f t="shared" si="1"/>
        <v>0.50131926121372</v>
      </c>
      <c r="Y13" s="33">
        <v>0.8</v>
      </c>
      <c r="Z13" s="36"/>
      <c r="AA13" s="36"/>
      <c r="AB13" s="36"/>
      <c r="AC13" s="37">
        <f t="shared" si="2"/>
        <v>22072.1822159425</v>
      </c>
    </row>
    <row r="14" s="1" customFormat="1" spans="2:32">
      <c r="B14" s="51" t="s">
        <v>17</v>
      </c>
      <c r="C14" s="52"/>
      <c r="D14" s="51" t="s">
        <v>6</v>
      </c>
      <c r="E14" s="52"/>
      <c r="F14" s="51" t="s">
        <v>18</v>
      </c>
      <c r="G14" s="52"/>
      <c r="H14" s="51" t="s">
        <v>19</v>
      </c>
      <c r="I14" s="52"/>
      <c r="J14" s="53" t="s">
        <v>8</v>
      </c>
      <c r="K14" s="53"/>
      <c r="L14" s="51" t="s">
        <v>20</v>
      </c>
      <c r="M14" s="52"/>
      <c r="N14" s="6"/>
      <c r="P14" s="31" t="s">
        <v>53</v>
      </c>
      <c r="Q14" s="32">
        <f t="shared" si="9"/>
        <v>6.382</v>
      </c>
      <c r="R14" s="33" t="s">
        <v>43</v>
      </c>
      <c r="S14" s="33">
        <f t="shared" si="0"/>
        <v>1011</v>
      </c>
      <c r="T14" s="32">
        <f t="shared" si="4"/>
        <v>1.3881918892186</v>
      </c>
      <c r="U14" s="32">
        <f t="shared" si="10"/>
        <v>2.332</v>
      </c>
      <c r="V14" s="34">
        <f t="shared" si="6"/>
        <v>2.72</v>
      </c>
      <c r="W14" s="35">
        <f t="shared" si="11"/>
        <v>0.15</v>
      </c>
      <c r="X14" s="33">
        <f t="shared" si="1"/>
        <v>0.50131926121372</v>
      </c>
      <c r="Y14" s="33">
        <v>0.8</v>
      </c>
      <c r="Z14" s="36">
        <v>0</v>
      </c>
      <c r="AA14" s="36">
        <v>0</v>
      </c>
      <c r="AB14" s="36">
        <v>0</v>
      </c>
      <c r="AC14" s="37">
        <f t="shared" si="2"/>
        <v>64409.998583514</v>
      </c>
    </row>
    <row r="15" s="1" customFormat="1" spans="2:32">
      <c r="B15" s="25" t="s">
        <v>22</v>
      </c>
      <c r="C15" s="26">
        <f>375+500</f>
        <v>875</v>
      </c>
      <c r="D15" s="25" t="s">
        <v>23</v>
      </c>
      <c r="E15" s="28">
        <v>0.6</v>
      </c>
      <c r="F15" s="25" t="s">
        <v>24</v>
      </c>
      <c r="G15" s="27">
        <v>0.13</v>
      </c>
      <c r="H15" s="25" t="s">
        <v>24</v>
      </c>
      <c r="I15" s="28">
        <v>1.5</v>
      </c>
      <c r="J15" s="54" t="s">
        <v>25</v>
      </c>
      <c r="K15" s="55">
        <v>0.15</v>
      </c>
      <c r="L15" s="25" t="s">
        <v>26</v>
      </c>
      <c r="M15" s="27">
        <f>8.6%*2</f>
        <v>0.172</v>
      </c>
      <c r="N15" s="6"/>
      <c r="P15" s="31" t="s">
        <v>57</v>
      </c>
      <c r="Q15" s="32">
        <f>397.82%</f>
        <v>3.9782</v>
      </c>
      <c r="R15" s="33" t="s">
        <v>43</v>
      </c>
      <c r="S15" s="33">
        <f t="shared" si="0"/>
        <v>1011</v>
      </c>
      <c r="T15" s="32">
        <f t="shared" si="4"/>
        <v>1.3881918892186</v>
      </c>
      <c r="U15" s="32">
        <f t="shared" si="10"/>
        <v>2.332</v>
      </c>
      <c r="V15" s="34">
        <f t="shared" si="6"/>
        <v>2.72</v>
      </c>
      <c r="W15" s="35">
        <v>0.15</v>
      </c>
      <c r="X15" s="33">
        <f t="shared" si="1"/>
        <v>0.50131926121372</v>
      </c>
      <c r="Y15" s="33">
        <v>0.8</v>
      </c>
      <c r="Z15" s="36"/>
      <c r="AA15" s="36"/>
      <c r="AB15" s="36"/>
      <c r="AC15" s="37">
        <f t="shared" si="2"/>
        <v>40149.7737958219</v>
      </c>
    </row>
    <row r="16" s="1" customFormat="1" spans="2:32">
      <c r="B16" s="25" t="s">
        <v>28</v>
      </c>
      <c r="C16" s="28">
        <f>12%+53.9%</f>
        <v>0.659</v>
      </c>
      <c r="D16" s="25" t="s">
        <v>29</v>
      </c>
      <c r="E16" s="28"/>
      <c r="F16" s="25" t="s">
        <v>30</v>
      </c>
      <c r="G16" s="56">
        <v>0</v>
      </c>
      <c r="H16" s="25" t="s">
        <v>31</v>
      </c>
      <c r="I16" s="27">
        <f>M18</f>
        <v>0.81</v>
      </c>
      <c r="J16" s="30" t="s">
        <v>58</v>
      </c>
      <c r="K16" s="27"/>
      <c r="L16" s="25" t="s">
        <v>59</v>
      </c>
      <c r="M16" s="27">
        <f>8.6%*2</f>
        <v>0.172</v>
      </c>
      <c r="N16" s="6"/>
      <c r="P16" s="31" t="s">
        <v>60</v>
      </c>
      <c r="Q16" s="32">
        <f>237.63%*2</f>
        <v>4.7526</v>
      </c>
      <c r="R16" s="33" t="s">
        <v>61</v>
      </c>
      <c r="S16" s="33">
        <f t="shared" si="0"/>
        <v>1011</v>
      </c>
      <c r="T16" s="32">
        <f t="shared" si="4"/>
        <v>1.3881918892186</v>
      </c>
      <c r="U16" s="32">
        <f>SUM($E$3:$E$7)</f>
        <v>1.56</v>
      </c>
      <c r="V16" s="34">
        <f t="shared" si="6"/>
        <v>2.72</v>
      </c>
      <c r="W16" s="35">
        <v>0.15</v>
      </c>
      <c r="X16" s="33">
        <f t="shared" si="1"/>
        <v>0.50131926121372</v>
      </c>
      <c r="Y16" s="33">
        <v>0.8</v>
      </c>
      <c r="Z16" s="36">
        <v>0</v>
      </c>
      <c r="AA16" s="36">
        <v>0</v>
      </c>
      <c r="AB16" s="36">
        <v>0</v>
      </c>
      <c r="AC16" s="37">
        <f t="shared" si="2"/>
        <v>36852.141156969</v>
      </c>
    </row>
    <row r="17" s="1" customFormat="1" spans="2:29">
      <c r="B17" s="25" t="s">
        <v>34</v>
      </c>
      <c r="C17" s="28">
        <f>18%+18%+M15</f>
        <v>0.532</v>
      </c>
      <c r="D17" s="25" t="s">
        <v>35</v>
      </c>
      <c r="E17" s="28"/>
      <c r="F17" s="25" t="s">
        <v>36</v>
      </c>
      <c r="G17" s="27"/>
      <c r="H17" s="25" t="s">
        <v>36</v>
      </c>
      <c r="I17" s="27"/>
      <c r="J17" s="30"/>
      <c r="K17" s="27"/>
      <c r="L17" s="25" t="s">
        <v>18</v>
      </c>
      <c r="M17" s="27">
        <f>8.1*5%</f>
        <v>0.405</v>
      </c>
      <c r="N17" s="6"/>
      <c r="P17" s="57" t="s">
        <v>55</v>
      </c>
      <c r="Q17" s="58">
        <f>41.76%*2+20.55%*5+133.61%</f>
        <v>3.1988</v>
      </c>
      <c r="R17" s="59" t="s">
        <v>51</v>
      </c>
      <c r="S17" s="59">
        <f t="shared" ref="S17:S26" si="12">C$15</f>
        <v>875</v>
      </c>
      <c r="T17" s="58">
        <f t="shared" ref="T17:T26" si="13">(C$16+C$17+C$18+C$19)+(C$20+C$21)/C$15</f>
        <v>2.161</v>
      </c>
      <c r="U17" s="58">
        <f t="shared" ref="U17:U26" si="14">E$15+E$20</f>
        <v>0.94</v>
      </c>
      <c r="V17" s="60">
        <f t="shared" ref="V17:V19" si="15">G$20*(I$20-1)+1</f>
        <v>2.1528</v>
      </c>
      <c r="W17" s="61">
        <f t="shared" ref="W17:W26" si="16">K$15</f>
        <v>0.15</v>
      </c>
      <c r="X17" s="59">
        <f t="shared" ref="X17:X26" si="17">AE$2</f>
        <v>0.50131926121372</v>
      </c>
      <c r="Y17" s="59">
        <v>0.8</v>
      </c>
      <c r="Z17" s="61"/>
      <c r="AA17" s="61"/>
      <c r="AB17" s="62"/>
      <c r="AC17" s="63">
        <f t="shared" si="2"/>
        <v>17042.2632382797</v>
      </c>
    </row>
    <row r="18" s="1" customFormat="1" spans="2:29">
      <c r="B18" s="25" t="s">
        <v>40</v>
      </c>
      <c r="C18" s="38">
        <v>0.18</v>
      </c>
      <c r="D18" s="25" t="s">
        <v>41</v>
      </c>
      <c r="E18" s="28"/>
      <c r="F18" s="25" t="s">
        <v>31</v>
      </c>
      <c r="G18" s="27">
        <f>M17+22%</f>
        <v>0.625</v>
      </c>
      <c r="H18" s="25"/>
      <c r="I18" s="27"/>
      <c r="J18" s="30"/>
      <c r="K18" s="27"/>
      <c r="L18" s="25" t="s">
        <v>42</v>
      </c>
      <c r="M18" s="28">
        <f>16.2%*5</f>
        <v>0.81</v>
      </c>
      <c r="N18" s="6"/>
      <c r="P18" s="57" t="s">
        <v>62</v>
      </c>
      <c r="Q18" s="58">
        <f>86.16%*3</f>
        <v>2.5848</v>
      </c>
      <c r="R18" s="59" t="s">
        <v>39</v>
      </c>
      <c r="S18" s="59">
        <f t="shared" si="12"/>
        <v>875</v>
      </c>
      <c r="T18" s="58">
        <f t="shared" si="13"/>
        <v>2.161</v>
      </c>
      <c r="U18" s="58">
        <f t="shared" si="14"/>
        <v>0.94</v>
      </c>
      <c r="V18" s="60">
        <f t="shared" si="15"/>
        <v>2.1528</v>
      </c>
      <c r="W18" s="61">
        <f t="shared" si="16"/>
        <v>0.15</v>
      </c>
      <c r="X18" s="59">
        <f t="shared" si="17"/>
        <v>0.50131926121372</v>
      </c>
      <c r="Y18" s="59">
        <v>0.8</v>
      </c>
      <c r="Z18" s="61"/>
      <c r="AA18" s="61"/>
      <c r="AB18" s="62"/>
      <c r="AC18" s="63">
        <f t="shared" si="2"/>
        <v>13771.0522753237</v>
      </c>
    </row>
    <row r="19" s="1" customFormat="1" spans="2:29">
      <c r="B19" s="25" t="s">
        <v>44</v>
      </c>
      <c r="C19" s="38">
        <v>0.39</v>
      </c>
      <c r="D19" s="25" t="s">
        <v>63</v>
      </c>
      <c r="E19" s="56"/>
      <c r="F19" s="25" t="s">
        <v>46</v>
      </c>
      <c r="G19" s="27">
        <v>0.125</v>
      </c>
      <c r="H19" s="25" t="s">
        <v>46</v>
      </c>
      <c r="I19" s="27">
        <v>0</v>
      </c>
      <c r="J19" s="30"/>
      <c r="K19" s="27"/>
      <c r="L19" s="25"/>
      <c r="M19" s="26"/>
      <c r="N19" s="6"/>
      <c r="P19" s="57" t="s">
        <v>64</v>
      </c>
      <c r="Q19" s="58">
        <f>98.42%*3</f>
        <v>2.9526</v>
      </c>
      <c r="R19" s="59" t="s">
        <v>21</v>
      </c>
      <c r="S19" s="59">
        <f t="shared" si="12"/>
        <v>875</v>
      </c>
      <c r="T19" s="58">
        <f t="shared" si="13"/>
        <v>2.161</v>
      </c>
      <c r="U19" s="58">
        <f t="shared" si="14"/>
        <v>0.94</v>
      </c>
      <c r="V19" s="60">
        <f t="shared" si="15"/>
        <v>2.1528</v>
      </c>
      <c r="W19" s="61">
        <f t="shared" si="16"/>
        <v>0.15</v>
      </c>
      <c r="X19" s="59">
        <f t="shared" si="17"/>
        <v>0.50131926121372</v>
      </c>
      <c r="Y19" s="59">
        <v>0.8</v>
      </c>
      <c r="Z19" s="61"/>
      <c r="AA19" s="61"/>
      <c r="AB19" s="62"/>
      <c r="AC19" s="63">
        <f t="shared" si="2"/>
        <v>15730.5822300065</v>
      </c>
    </row>
    <row r="20" s="1" customFormat="1" spans="2:29">
      <c r="B20" s="25" t="s">
        <v>47</v>
      </c>
      <c r="C20" s="26">
        <v>350</v>
      </c>
      <c r="D20" s="25" t="s">
        <v>65</v>
      </c>
      <c r="E20" s="28">
        <f>18%+16%</f>
        <v>0.34</v>
      </c>
      <c r="F20" s="39" t="s">
        <v>49</v>
      </c>
      <c r="G20" s="40">
        <f>MIN(100%,SUM(G15:G19))</f>
        <v>0.88</v>
      </c>
      <c r="H20" s="39" t="s">
        <v>50</v>
      </c>
      <c r="I20" s="41">
        <f>SUM(I15:I19)</f>
        <v>2.31</v>
      </c>
      <c r="J20" s="30"/>
      <c r="K20" s="27"/>
      <c r="L20" s="25"/>
      <c r="M20" s="26"/>
      <c r="N20" s="6"/>
      <c r="P20" s="57" t="s">
        <v>66</v>
      </c>
      <c r="Q20" s="58">
        <f>65.21%*2</f>
        <v>1.3042</v>
      </c>
      <c r="R20" s="59" t="s">
        <v>51</v>
      </c>
      <c r="S20" s="59">
        <f t="shared" si="12"/>
        <v>875</v>
      </c>
      <c r="T20" s="58">
        <f t="shared" si="13"/>
        <v>2.161</v>
      </c>
      <c r="U20" s="58">
        <f t="shared" si="14"/>
        <v>0.94</v>
      </c>
      <c r="V20" s="60">
        <f>(G$20-0.125)*(I$20-1)+1</f>
        <v>1.98905</v>
      </c>
      <c r="W20" s="61">
        <f t="shared" si="16"/>
        <v>0.15</v>
      </c>
      <c r="X20" s="59">
        <f t="shared" si="17"/>
        <v>0.50131926121372</v>
      </c>
      <c r="Y20" s="59">
        <v>0.8</v>
      </c>
      <c r="Z20" s="61"/>
      <c r="AA20" s="61"/>
      <c r="AB20" s="62"/>
      <c r="AC20" s="63">
        <f t="shared" si="2"/>
        <v>6419.87235828066</v>
      </c>
    </row>
    <row r="21" s="1" customFormat="1" spans="2:29">
      <c r="B21" s="42" t="s">
        <v>52</v>
      </c>
      <c r="C21" s="43"/>
      <c r="D21" s="42"/>
      <c r="E21" s="44"/>
      <c r="F21" s="42"/>
      <c r="G21" s="44"/>
      <c r="H21" s="42"/>
      <c r="I21" s="43"/>
      <c r="J21" s="46"/>
      <c r="K21" s="45"/>
      <c r="L21" s="42"/>
      <c r="M21" s="43"/>
      <c r="N21" s="6"/>
      <c r="P21" s="57" t="s">
        <v>67</v>
      </c>
      <c r="Q21" s="58">
        <f>65.21%*4</f>
        <v>2.6084</v>
      </c>
      <c r="R21" s="59" t="s">
        <v>51</v>
      </c>
      <c r="S21" s="59">
        <f t="shared" si="12"/>
        <v>875</v>
      </c>
      <c r="T21" s="58">
        <f t="shared" si="13"/>
        <v>2.161</v>
      </c>
      <c r="U21" s="58">
        <f t="shared" si="14"/>
        <v>0.94</v>
      </c>
      <c r="V21" s="60">
        <f t="shared" ref="V21:V26" si="18">G$20*(I$20-1)+1</f>
        <v>2.1528</v>
      </c>
      <c r="W21" s="61">
        <f t="shared" si="16"/>
        <v>0.15</v>
      </c>
      <c r="X21" s="59">
        <f t="shared" si="17"/>
        <v>0.50131926121372</v>
      </c>
      <c r="Y21" s="59">
        <v>0.8</v>
      </c>
      <c r="Z21" s="61"/>
      <c r="AA21" s="61"/>
      <c r="AB21" s="62"/>
      <c r="AC21" s="63">
        <f t="shared" si="2"/>
        <v>13896.7861168966</v>
      </c>
    </row>
    <row r="22" s="1" customFormat="1" ht="15" spans="2:29">
      <c r="B22" s="64" t="s">
        <v>68</v>
      </c>
      <c r="C22" s="6"/>
      <c r="D22" s="6"/>
      <c r="E22" s="6"/>
      <c r="F22" s="6"/>
      <c r="G22" s="47"/>
      <c r="H22" s="6"/>
      <c r="I22" s="6"/>
      <c r="J22" s="6"/>
      <c r="K22" s="6"/>
      <c r="L22" s="6"/>
      <c r="M22" s="6"/>
      <c r="N22" s="6"/>
      <c r="P22" s="57" t="s">
        <v>69</v>
      </c>
      <c r="Q22" s="58">
        <f>65.21%*15</f>
        <v>9.7815</v>
      </c>
      <c r="R22" s="59" t="s">
        <v>51</v>
      </c>
      <c r="S22" s="59">
        <f t="shared" si="12"/>
        <v>875</v>
      </c>
      <c r="T22" s="58">
        <f t="shared" si="13"/>
        <v>2.161</v>
      </c>
      <c r="U22" s="58">
        <f t="shared" si="14"/>
        <v>0.94</v>
      </c>
      <c r="V22" s="60">
        <f>G$20*(I$20-1+25%)+1</f>
        <v>2.3728</v>
      </c>
      <c r="W22" s="61">
        <f t="shared" si="16"/>
        <v>0.15</v>
      </c>
      <c r="X22" s="59">
        <f t="shared" si="17"/>
        <v>0.50131926121372</v>
      </c>
      <c r="Y22" s="59">
        <v>0.8</v>
      </c>
      <c r="Z22" s="61"/>
      <c r="AA22" s="61"/>
      <c r="AB22" s="62"/>
      <c r="AC22" s="63">
        <f t="shared" si="2"/>
        <v>57438.5000316546</v>
      </c>
    </row>
    <row r="23" s="1" customFormat="1" spans="2:29">
      <c r="B23" s="65"/>
      <c r="C23" s="65" t="s">
        <v>70</v>
      </c>
      <c r="D23" s="65" t="s">
        <v>71</v>
      </c>
      <c r="E23" s="65" t="s">
        <v>72</v>
      </c>
      <c r="F23" s="66"/>
      <c r="G23" s="47"/>
      <c r="H23" s="6"/>
      <c r="I23" s="6"/>
      <c r="J23" s="6"/>
      <c r="K23" s="6"/>
      <c r="L23" s="6"/>
      <c r="M23" s="6"/>
      <c r="N23" s="6"/>
      <c r="P23" s="57" t="s">
        <v>73</v>
      </c>
      <c r="Q23" s="58">
        <f>83.01%*3</f>
        <v>2.4903</v>
      </c>
      <c r="R23" s="59" t="s">
        <v>74</v>
      </c>
      <c r="S23" s="59">
        <f t="shared" si="12"/>
        <v>875</v>
      </c>
      <c r="T23" s="58">
        <f t="shared" si="13"/>
        <v>2.161</v>
      </c>
      <c r="U23" s="58">
        <f t="shared" si="14"/>
        <v>0.94</v>
      </c>
      <c r="V23" s="60">
        <f t="shared" si="18"/>
        <v>2.1528</v>
      </c>
      <c r="W23" s="61">
        <f t="shared" si="16"/>
        <v>0.15</v>
      </c>
      <c r="X23" s="59">
        <f t="shared" si="17"/>
        <v>0.50131926121372</v>
      </c>
      <c r="Y23" s="59">
        <v>0.8</v>
      </c>
      <c r="Z23" s="61"/>
      <c r="AA23" s="61"/>
      <c r="AB23" s="62"/>
      <c r="AC23" s="63">
        <f t="shared" si="2"/>
        <v>13267.584138517</v>
      </c>
    </row>
    <row r="24" s="1" customFormat="1" spans="2:29">
      <c r="B24" s="67" t="s">
        <v>75</v>
      </c>
      <c r="C24" s="67">
        <f>SUM(AC2:AC16)</f>
        <v>670435.698588915</v>
      </c>
      <c r="D24" s="67">
        <f>C24/E24</f>
        <v>26817.4279435566</v>
      </c>
      <c r="E24" s="66">
        <v>25</v>
      </c>
      <c r="F24" s="66"/>
      <c r="G24" s="47"/>
      <c r="H24" s="6"/>
      <c r="I24" s="6"/>
      <c r="J24" s="6"/>
      <c r="K24" s="6"/>
      <c r="L24" s="6"/>
      <c r="M24" s="6"/>
      <c r="N24" s="6"/>
      <c r="P24" s="68" t="s">
        <v>76</v>
      </c>
      <c r="Q24" s="58">
        <v>2.9822</v>
      </c>
      <c r="R24" s="59" t="s">
        <v>51</v>
      </c>
      <c r="S24" s="59">
        <f t="shared" si="12"/>
        <v>875</v>
      </c>
      <c r="T24" s="58">
        <f t="shared" si="13"/>
        <v>2.161</v>
      </c>
      <c r="U24" s="58">
        <f t="shared" si="14"/>
        <v>0.94</v>
      </c>
      <c r="V24" s="60">
        <f t="shared" si="18"/>
        <v>2.1528</v>
      </c>
      <c r="W24" s="61">
        <f t="shared" si="16"/>
        <v>0.15</v>
      </c>
      <c r="X24" s="59">
        <f t="shared" si="17"/>
        <v>0.50131926121372</v>
      </c>
      <c r="Y24" s="59">
        <v>0.8</v>
      </c>
      <c r="Z24" s="61"/>
      <c r="AA24" s="61"/>
      <c r="AB24" s="62"/>
      <c r="AC24" s="63">
        <f t="shared" si="2"/>
        <v>15888.2823024878</v>
      </c>
    </row>
    <row r="25" s="1" customFormat="1" spans="2:29">
      <c r="B25" s="67"/>
      <c r="C25" s="67">
        <v>414685</v>
      </c>
      <c r="D25" s="67"/>
      <c r="E25" s="47"/>
      <c r="F25" s="6"/>
      <c r="G25" s="47"/>
      <c r="H25" s="6"/>
      <c r="I25" s="6"/>
      <c r="J25" s="6"/>
      <c r="K25" s="6"/>
      <c r="L25" s="6"/>
      <c r="M25" s="6"/>
      <c r="N25" s="6"/>
      <c r="P25" s="57" t="s">
        <v>78</v>
      </c>
      <c r="Q25" s="58">
        <f>119.29%*3</f>
        <v>3.5787</v>
      </c>
      <c r="R25" s="59" t="s">
        <v>51</v>
      </c>
      <c r="S25" s="59">
        <f t="shared" si="12"/>
        <v>875</v>
      </c>
      <c r="T25" s="58">
        <f t="shared" si="13"/>
        <v>2.161</v>
      </c>
      <c r="U25" s="58">
        <f t="shared" si="14"/>
        <v>0.94</v>
      </c>
      <c r="V25" s="60">
        <f t="shared" si="18"/>
        <v>2.1528</v>
      </c>
      <c r="W25" s="61">
        <f t="shared" si="16"/>
        <v>0.15</v>
      </c>
      <c r="X25" s="59">
        <f t="shared" si="17"/>
        <v>0.50131926121372</v>
      </c>
      <c r="Y25" s="59">
        <v>0.8</v>
      </c>
      <c r="Z25" s="61"/>
      <c r="AA25" s="61"/>
      <c r="AB25" s="62"/>
      <c r="AC25" s="63">
        <f t="shared" si="2"/>
        <v>19066.2584252944</v>
      </c>
    </row>
    <row r="26" s="1" customFormat="1" spans="2:29">
      <c r="B26" s="67" t="s">
        <v>79</v>
      </c>
      <c r="C26" s="67">
        <v>50000</v>
      </c>
      <c r="D26" s="67">
        <f>C26/E24</f>
        <v>2000</v>
      </c>
      <c r="E26" s="6"/>
      <c r="F26" s="6"/>
      <c r="G26" s="47"/>
      <c r="H26" s="6"/>
      <c r="I26" s="6"/>
      <c r="J26" s="6"/>
      <c r="K26" s="6"/>
      <c r="L26" s="6"/>
      <c r="M26" s="6"/>
      <c r="N26" s="6">
        <v>26817</v>
      </c>
      <c r="P26" s="57" t="s">
        <v>27</v>
      </c>
      <c r="Q26" s="58">
        <v>3.1</v>
      </c>
      <c r="R26" s="59" t="s">
        <v>27</v>
      </c>
      <c r="S26" s="59">
        <f t="shared" si="12"/>
        <v>875</v>
      </c>
      <c r="T26" s="58">
        <f t="shared" si="13"/>
        <v>2.161</v>
      </c>
      <c r="U26" s="58">
        <f t="shared" si="14"/>
        <v>0.94</v>
      </c>
      <c r="V26" s="60">
        <f t="shared" si="18"/>
        <v>2.1528</v>
      </c>
      <c r="W26" s="61">
        <f t="shared" si="16"/>
        <v>0.15</v>
      </c>
      <c r="X26" s="59">
        <f t="shared" si="17"/>
        <v>0.50131926121372</v>
      </c>
      <c r="Y26" s="59">
        <v>0.8</v>
      </c>
      <c r="Z26" s="61"/>
      <c r="AA26" s="61"/>
      <c r="AB26" s="62"/>
      <c r="AC26" s="63">
        <f t="shared" si="2"/>
        <v>16515.885969322</v>
      </c>
    </row>
    <row r="27" s="1" customFormat="1" spans="2:29">
      <c r="B27" s="67" t="s">
        <v>80</v>
      </c>
      <c r="C27" s="67">
        <f>C24+C25+C26</f>
        <v>1135120.69858892</v>
      </c>
      <c r="D27" s="67">
        <f>C27/E24</f>
        <v>45404.8279435566</v>
      </c>
      <c r="E27" s="6"/>
      <c r="F27" s="6"/>
      <c r="G27" s="47"/>
      <c r="H27" s="6"/>
      <c r="I27" s="6"/>
      <c r="J27" s="6"/>
      <c r="K27" s="6"/>
      <c r="L27" s="6"/>
      <c r="M27" s="6"/>
      <c r="N27" s="6">
        <v>43611</v>
      </c>
      <c r="O27" s="1">
        <f>N27/N26</f>
        <v>1.62624454636984</v>
      </c>
      <c r="Q27" s="69"/>
      <c r="U27" s="2"/>
      <c r="V27" s="69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H28" s="59" t="s">
        <v>82</v>
      </c>
      <c r="I28" s="59" t="s">
        <v>71</v>
      </c>
      <c r="J28" s="59" t="s">
        <v>83</v>
      </c>
      <c r="K28" s="59" t="s">
        <v>84</v>
      </c>
      <c r="N28" s="6"/>
      <c r="Q28" s="69"/>
      <c r="U28" s="2"/>
      <c r="V28" s="69"/>
      <c r="AB28" s="4"/>
      <c r="AC28" s="4"/>
    </row>
    <row r="29" s="1" customFormat="1" ht="20" customHeight="1" spans="2:29">
      <c r="B29" s="67"/>
      <c r="C29" s="67"/>
      <c r="D29" s="67"/>
      <c r="E29" s="6">
        <f t="shared" ref="E29:E33" si="19">F29*81+G29*54</f>
        <v>351</v>
      </c>
      <c r="F29" s="67">
        <v>3</v>
      </c>
      <c r="G29" s="70">
        <v>2</v>
      </c>
      <c r="H29" s="6" t="s">
        <v>85</v>
      </c>
      <c r="I29" s="71">
        <v>46524</v>
      </c>
      <c r="J29" s="71"/>
      <c r="K29" s="72">
        <f t="shared" ref="K29:K33" si="20">I29/E29</f>
        <v>132.547008547009</v>
      </c>
      <c r="N29" s="6"/>
      <c r="Q29" s="69"/>
      <c r="V29" s="69"/>
      <c r="AB29" s="4"/>
      <c r="AC29" s="4"/>
    </row>
    <row r="30" s="1" customFormat="1" ht="20" customHeight="1" spans="2:29">
      <c r="B30" s="67"/>
      <c r="C30" s="67"/>
      <c r="D30" s="67"/>
      <c r="E30" s="6">
        <f t="shared" si="19"/>
        <v>405</v>
      </c>
      <c r="F30" s="70">
        <v>3</v>
      </c>
      <c r="G30" s="70">
        <v>3</v>
      </c>
      <c r="H30" s="6" t="s">
        <v>86</v>
      </c>
      <c r="I30" s="71">
        <v>49720</v>
      </c>
      <c r="J30" s="73">
        <f t="shared" ref="J30:J33" si="21">I30/I$29-1</f>
        <v>0.0686957269366348</v>
      </c>
      <c r="K30" s="72">
        <f t="shared" si="20"/>
        <v>122.765432098765</v>
      </c>
      <c r="N30" s="6"/>
      <c r="Q30" s="74"/>
      <c r="U30" s="2"/>
      <c r="V30" s="2"/>
      <c r="AB30" s="4"/>
      <c r="AC30" s="4"/>
    </row>
    <row r="31" s="1" customFormat="1" ht="20" customHeight="1" spans="2:29">
      <c r="B31" s="6"/>
      <c r="C31" s="6"/>
      <c r="D31" s="6"/>
      <c r="E31" s="6">
        <f t="shared" si="19"/>
        <v>351</v>
      </c>
      <c r="F31" s="70">
        <v>3</v>
      </c>
      <c r="G31" s="70">
        <v>2</v>
      </c>
      <c r="H31" s="6" t="s">
        <v>87</v>
      </c>
      <c r="I31" s="71">
        <v>57490</v>
      </c>
      <c r="J31" s="75">
        <f t="shared" si="21"/>
        <v>0.235706302123635</v>
      </c>
      <c r="K31" s="72">
        <f t="shared" si="20"/>
        <v>163.789173789174</v>
      </c>
      <c r="N31" s="6"/>
      <c r="Q31" s="2"/>
      <c r="U31" s="2"/>
      <c r="V31" s="3"/>
      <c r="AB31" s="4"/>
      <c r="AC31" s="4"/>
    </row>
    <row r="32" s="1" customFormat="1" ht="20" customHeight="1" spans="2:29">
      <c r="B32" s="67"/>
      <c r="C32" s="67"/>
      <c r="D32" s="67"/>
      <c r="E32" s="6">
        <f t="shared" si="19"/>
        <v>405</v>
      </c>
      <c r="F32" s="70">
        <v>3</v>
      </c>
      <c r="G32" s="70">
        <v>3</v>
      </c>
      <c r="H32" s="6" t="s">
        <v>88</v>
      </c>
      <c r="I32" s="71">
        <v>62199</v>
      </c>
      <c r="J32" s="75">
        <f t="shared" si="21"/>
        <v>0.336922878514315</v>
      </c>
      <c r="K32" s="72">
        <f t="shared" si="20"/>
        <v>153.577777777778</v>
      </c>
      <c r="N32" s="6"/>
      <c r="Q32" s="2"/>
      <c r="U32" s="2"/>
      <c r="V32" s="3"/>
      <c r="AB32" s="4"/>
      <c r="AC32" s="4"/>
    </row>
    <row r="33" s="1" customFormat="1" ht="20" customHeight="1" spans="2:29">
      <c r="B33" s="67"/>
      <c r="C33" s="67"/>
      <c r="D33" s="67"/>
      <c r="E33" s="6">
        <f t="shared" si="19"/>
        <v>567</v>
      </c>
      <c r="F33" s="70">
        <v>5</v>
      </c>
      <c r="G33" s="70">
        <v>3</v>
      </c>
      <c r="H33" s="6" t="s">
        <v>89</v>
      </c>
      <c r="I33" s="71">
        <v>70857</v>
      </c>
      <c r="J33" s="75">
        <f t="shared" si="21"/>
        <v>0.52302037657983</v>
      </c>
      <c r="K33" s="72">
        <f t="shared" si="20"/>
        <v>124.968253968254</v>
      </c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I34" s="77"/>
      <c r="J34" s="77"/>
      <c r="N34" s="6"/>
      <c r="Q34" s="2"/>
      <c r="U34" s="2"/>
      <c r="V34" s="3"/>
      <c r="AB34" s="4"/>
      <c r="AC34" s="4"/>
    </row>
    <row r="35" s="1" customFormat="1" spans="2:29">
      <c r="B35" s="67"/>
      <c r="C35" s="67"/>
      <c r="D35" s="67"/>
      <c r="E35" s="6"/>
      <c r="F35" s="67"/>
      <c r="G35" s="2"/>
      <c r="N35" s="6"/>
      <c r="Q35" s="2"/>
      <c r="U35" s="2"/>
      <c r="V35" s="3"/>
      <c r="AB35" s="4"/>
      <c r="AC35" s="4"/>
    </row>
    <row r="36" s="1" customFormat="1" spans="2:29">
      <c r="G36" s="2"/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conditionalFormatting sqref="K29:K33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topLeftCell="A10" workbookViewId="0">
      <selection activeCell="A10" sqref="$A1:$XFD104857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9.54545454545454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198.81%</f>
        <v>1.9881</v>
      </c>
      <c r="R2" s="19" t="s">
        <v>21</v>
      </c>
      <c r="S2" s="19">
        <f t="shared" ref="S2:S16" si="0">$C$3</f>
        <v>1011</v>
      </c>
      <c r="T2" s="18">
        <f>(C$4+C$5+C$6+C$7)+(C$8+C$9)/S$2-22.5%</f>
        <v>1.7331918892186</v>
      </c>
      <c r="U2" s="18">
        <f>SUM($E$3:$E$5)-12%</f>
        <v>1.4</v>
      </c>
      <c r="V2" s="20">
        <f>1+$G$8*($I$8-1-0.25)</f>
        <v>2.47</v>
      </c>
      <c r="W2" s="21">
        <v>0.15</v>
      </c>
      <c r="X2" s="19">
        <f t="shared" ref="X2:X16" si="1">AE$3</f>
        <v>0.50131926121372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6" si="2">Q2*S2*(1+T2)*(1+U2)*V2*(1+W2)*X2*Y2*(1+Z2)*(1+AA2)*(1+AB2)</f>
        <v>15019.9994747742</v>
      </c>
      <c r="AD2" s="13">
        <v>0</v>
      </c>
      <c r="AE2" s="14">
        <f t="shared" ref="AE2:AE7" si="3">1520/(1520+(792+8*AF2)*(1-AD2/100))</f>
        <v>0.50131926121372</v>
      </c>
      <c r="AF2" s="24">
        <v>90</v>
      </c>
    </row>
    <row r="3" s="1" customFormat="1" spans="2:32">
      <c r="B3" s="25" t="s">
        <v>22</v>
      </c>
      <c r="C3" s="26">
        <f>424+587</f>
        <v>1011</v>
      </c>
      <c r="D3" s="25" t="s">
        <v>23</v>
      </c>
      <c r="E3" s="27">
        <f>30%+12%+34%+24%</f>
        <v>1</v>
      </c>
      <c r="F3" s="25" t="s">
        <v>24</v>
      </c>
      <c r="G3" s="27">
        <v>0.05</v>
      </c>
      <c r="H3" s="25" t="s">
        <v>24</v>
      </c>
      <c r="I3" s="28">
        <f>150%+16%</f>
        <v>1.66</v>
      </c>
      <c r="J3" s="29" t="s">
        <v>25</v>
      </c>
      <c r="K3" s="28">
        <f>15%+15%</f>
        <v>0.3</v>
      </c>
      <c r="L3" s="25" t="s">
        <v>26</v>
      </c>
      <c r="M3" s="27">
        <f>8.6%*2</f>
        <v>0.172</v>
      </c>
      <c r="N3" s="6"/>
      <c r="P3" s="17" t="s">
        <v>27</v>
      </c>
      <c r="Q3" s="18">
        <f>405%</f>
        <v>4.05</v>
      </c>
      <c r="R3" s="19" t="s">
        <v>27</v>
      </c>
      <c r="S3" s="19">
        <f t="shared" si="0"/>
        <v>1011</v>
      </c>
      <c r="T3" s="18">
        <f>(C$4+C$5+C$6+C$7)+(C$8+C$9)/S$2-22.5%</f>
        <v>1.7331918892186</v>
      </c>
      <c r="U3" s="18">
        <f>SUM($E$3:$E$5)-12%</f>
        <v>1.4</v>
      </c>
      <c r="V3" s="20">
        <f>1+$G$8*($I$8-1-0.25)</f>
        <v>2.47</v>
      </c>
      <c r="W3" s="21">
        <v>0.15</v>
      </c>
      <c r="X3" s="19">
        <f t="shared" si="1"/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si="2"/>
        <v>30597.5543850085</v>
      </c>
      <c r="AD3" s="13">
        <v>0</v>
      </c>
      <c r="AE3" s="14">
        <f t="shared" si="3"/>
        <v>0.50131926121372</v>
      </c>
      <c r="AF3" s="24">
        <v>90</v>
      </c>
    </row>
    <row r="4" s="1" customFormat="1" spans="2:32">
      <c r="B4" s="25" t="s">
        <v>28</v>
      </c>
      <c r="C4" s="28">
        <f>12%</f>
        <v>0.12</v>
      </c>
      <c r="D4" s="25" t="s">
        <v>29</v>
      </c>
      <c r="E4" s="27">
        <v>0.12</v>
      </c>
      <c r="F4" s="25" t="s">
        <v>30</v>
      </c>
      <c r="G4" s="27">
        <v>0.243</v>
      </c>
      <c r="H4" s="25" t="s">
        <v>31</v>
      </c>
      <c r="I4" s="27">
        <f>M6</f>
        <v>0.81</v>
      </c>
      <c r="J4" s="30" t="s">
        <v>32</v>
      </c>
      <c r="K4" s="27"/>
      <c r="L4" s="25" t="s">
        <v>33</v>
      </c>
      <c r="M4" s="27">
        <f>8.6%*2</f>
        <v>0.172</v>
      </c>
      <c r="N4" s="6"/>
      <c r="P4" s="17" t="s">
        <v>21</v>
      </c>
      <c r="Q4" s="18">
        <f>198.81%</f>
        <v>1.9881</v>
      </c>
      <c r="R4" s="19" t="s">
        <v>21</v>
      </c>
      <c r="S4" s="19">
        <f t="shared" si="0"/>
        <v>1011</v>
      </c>
      <c r="T4" s="18">
        <f>(C$4+C$5+C$6+C$7)+(C$8+C$9)/S$2-22.5%</f>
        <v>1.7331918892186</v>
      </c>
      <c r="U4" s="18">
        <f>SUM($E$3:$E$5)-12%</f>
        <v>1.4</v>
      </c>
      <c r="V4" s="20">
        <f>1+$G$8*($I$8-1-0.25)</f>
        <v>2.47</v>
      </c>
      <c r="W4" s="21">
        <v>0.15</v>
      </c>
      <c r="X4" s="19">
        <f t="shared" si="1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2"/>
        <v>15019.9994747742</v>
      </c>
      <c r="AD4" s="13">
        <v>14.4</v>
      </c>
      <c r="AE4" s="14">
        <f t="shared" si="3"/>
        <v>0.540104154822277</v>
      </c>
      <c r="AF4" s="24">
        <v>90</v>
      </c>
    </row>
    <row r="5" s="1" customFormat="1" spans="2:32">
      <c r="B5" s="25" t="s">
        <v>34</v>
      </c>
      <c r="C5" s="28">
        <f>18%+18%+M3</f>
        <v>0.532</v>
      </c>
      <c r="D5" s="25" t="s">
        <v>35</v>
      </c>
      <c r="E5" s="27">
        <v>0.4</v>
      </c>
      <c r="F5" s="25" t="s">
        <v>36</v>
      </c>
      <c r="G5" s="27"/>
      <c r="H5" s="25" t="s">
        <v>30</v>
      </c>
      <c r="I5" s="27"/>
      <c r="J5" s="30" t="s">
        <v>37</v>
      </c>
      <c r="K5" s="27">
        <v>0.25</v>
      </c>
      <c r="L5" s="25" t="s">
        <v>18</v>
      </c>
      <c r="M5" s="27">
        <f>8.1*5%</f>
        <v>0.405</v>
      </c>
      <c r="N5" s="6"/>
      <c r="P5" s="31" t="s">
        <v>38</v>
      </c>
      <c r="Q5" s="32">
        <f>99.41%*2</f>
        <v>1.9882</v>
      </c>
      <c r="R5" s="33" t="s">
        <v>39</v>
      </c>
      <c r="S5" s="33">
        <f t="shared" si="0"/>
        <v>1011</v>
      </c>
      <c r="T5" s="32">
        <f t="shared" ref="T5:T16" si="4">(C$4+C$5+C$6+C$7)+(C$8+C$9)/S$2</f>
        <v>1.9581918892186</v>
      </c>
      <c r="U5" s="32">
        <f t="shared" ref="U5:U10" si="5">SUM($E$3:$E$7)</f>
        <v>1.84</v>
      </c>
      <c r="V5" s="34">
        <f t="shared" ref="V5:V16" si="6">1+$G$8*($I$8-1)</f>
        <v>2.72</v>
      </c>
      <c r="W5" s="35">
        <v>0.35</v>
      </c>
      <c r="X5" s="33">
        <f t="shared" si="1"/>
        <v>0.50131926121372</v>
      </c>
      <c r="Y5" s="33">
        <v>0.8</v>
      </c>
      <c r="Z5" s="36">
        <v>0</v>
      </c>
      <c r="AA5" s="36">
        <v>0</v>
      </c>
      <c r="AB5" s="36">
        <v>0</v>
      </c>
      <c r="AC5" s="37">
        <f t="shared" si="2"/>
        <v>24869.2654298702</v>
      </c>
      <c r="AD5" s="13">
        <v>21.6</v>
      </c>
      <c r="AE5" s="14">
        <f t="shared" si="3"/>
        <v>0.561837623012869</v>
      </c>
      <c r="AF5" s="24">
        <v>90</v>
      </c>
    </row>
    <row r="6" s="1" customFormat="1" spans="2:32">
      <c r="B6" s="25" t="s">
        <v>40</v>
      </c>
      <c r="C6" s="38"/>
      <c r="D6" s="25" t="s">
        <v>41</v>
      </c>
      <c r="E6" s="27"/>
      <c r="F6" s="25" t="s">
        <v>31</v>
      </c>
      <c r="G6" s="27">
        <f>M5+22%</f>
        <v>0.625</v>
      </c>
      <c r="H6" s="25"/>
      <c r="I6" s="27"/>
      <c r="J6" s="30"/>
      <c r="K6" s="27"/>
      <c r="L6" s="25" t="s">
        <v>42</v>
      </c>
      <c r="M6" s="28">
        <f>16.2%*5</f>
        <v>0.81</v>
      </c>
      <c r="N6" s="6"/>
      <c r="P6" s="31" t="s">
        <v>43</v>
      </c>
      <c r="Q6" s="32">
        <f>1466.06%</f>
        <v>14.6606</v>
      </c>
      <c r="R6" s="33" t="s">
        <v>43</v>
      </c>
      <c r="S6" s="33">
        <f t="shared" si="0"/>
        <v>1011</v>
      </c>
      <c r="T6" s="32">
        <f t="shared" si="4"/>
        <v>1.9581918892186</v>
      </c>
      <c r="U6" s="32">
        <f t="shared" ref="U6:U9" si="7">SUM($E$3:$E$8)</f>
        <v>2.612</v>
      </c>
      <c r="V6" s="34">
        <f t="shared" si="6"/>
        <v>2.72</v>
      </c>
      <c r="W6" s="35">
        <f t="shared" ref="W6:W9" si="8">K$3+K$5</f>
        <v>0.55</v>
      </c>
      <c r="X6" s="33">
        <f t="shared" si="1"/>
        <v>0.50131926121372</v>
      </c>
      <c r="Y6" s="33">
        <v>0.8</v>
      </c>
      <c r="Z6" s="36">
        <v>0</v>
      </c>
      <c r="AA6" s="36">
        <v>0</v>
      </c>
      <c r="AB6" s="36">
        <v>0</v>
      </c>
      <c r="AC6" s="37">
        <f t="shared" si="2"/>
        <v>267782.359553159</v>
      </c>
      <c r="AD6" s="13">
        <v>28.8</v>
      </c>
      <c r="AE6" s="14">
        <f t="shared" si="3"/>
        <v>0.585393507677898</v>
      </c>
      <c r="AF6" s="24">
        <v>90</v>
      </c>
    </row>
    <row r="7" s="1" customFormat="1" spans="2:32">
      <c r="B7" s="25" t="s">
        <v>44</v>
      </c>
      <c r="C7" s="38">
        <f>27%+39%+30%</f>
        <v>0.96</v>
      </c>
      <c r="D7" s="25" t="s">
        <v>45</v>
      </c>
      <c r="E7" s="27">
        <v>0.32</v>
      </c>
      <c r="F7" s="25" t="s">
        <v>46</v>
      </c>
      <c r="G7" s="27">
        <v>0.125</v>
      </c>
      <c r="H7" s="25" t="s">
        <v>46</v>
      </c>
      <c r="I7" s="27">
        <v>0.25</v>
      </c>
      <c r="J7" s="30"/>
      <c r="K7" s="27"/>
      <c r="L7" s="25"/>
      <c r="M7" s="26"/>
      <c r="N7" s="6"/>
      <c r="P7" s="31" t="s">
        <v>21</v>
      </c>
      <c r="Q7" s="32">
        <f>49.59%*3+173.55%*2</f>
        <v>4.9587</v>
      </c>
      <c r="R7" s="33" t="s">
        <v>21</v>
      </c>
      <c r="S7" s="33">
        <f t="shared" si="0"/>
        <v>1011</v>
      </c>
      <c r="T7" s="32">
        <f t="shared" si="4"/>
        <v>1.9581918892186</v>
      </c>
      <c r="U7" s="32">
        <f t="shared" si="5"/>
        <v>1.84</v>
      </c>
      <c r="V7" s="34">
        <f t="shared" si="6"/>
        <v>2.72</v>
      </c>
      <c r="W7" s="35">
        <v>0.35</v>
      </c>
      <c r="X7" s="33">
        <f t="shared" si="1"/>
        <v>0.50131926121372</v>
      </c>
      <c r="Y7" s="33">
        <v>0.8</v>
      </c>
      <c r="Z7" s="36">
        <v>0</v>
      </c>
      <c r="AA7" s="36">
        <v>0</v>
      </c>
      <c r="AB7" s="36">
        <v>0</v>
      </c>
      <c r="AC7" s="37">
        <f t="shared" si="2"/>
        <v>62025.564071571</v>
      </c>
      <c r="AD7" s="13">
        <v>36</v>
      </c>
      <c r="AE7" s="14">
        <f t="shared" si="3"/>
        <v>0.611011062516079</v>
      </c>
      <c r="AF7" s="24">
        <v>90</v>
      </c>
    </row>
    <row r="8" s="1" customFormat="1" spans="2:32">
      <c r="B8" s="25" t="s">
        <v>47</v>
      </c>
      <c r="C8" s="26">
        <v>350</v>
      </c>
      <c r="D8" s="25" t="s">
        <v>48</v>
      </c>
      <c r="E8" s="27">
        <f>48%+M4+12%</f>
        <v>0.772</v>
      </c>
      <c r="F8" s="39" t="s">
        <v>49</v>
      </c>
      <c r="G8" s="40">
        <f>MIN(100%,SUM(G3:G7))</f>
        <v>1</v>
      </c>
      <c r="H8" s="39" t="s">
        <v>50</v>
      </c>
      <c r="I8" s="41">
        <f>SUM(I3:I7)</f>
        <v>2.72</v>
      </c>
      <c r="J8" s="30"/>
      <c r="K8" s="27"/>
      <c r="L8" s="25"/>
      <c r="M8" s="26"/>
      <c r="N8" s="6"/>
      <c r="P8" s="31" t="s">
        <v>51</v>
      </c>
      <c r="Q8" s="32">
        <f>21.87%*4+65.61%*2</f>
        <v>2.187</v>
      </c>
      <c r="R8" s="33" t="s">
        <v>43</v>
      </c>
      <c r="S8" s="33">
        <f t="shared" si="0"/>
        <v>1011</v>
      </c>
      <c r="T8" s="32">
        <f t="shared" si="4"/>
        <v>1.9581918892186</v>
      </c>
      <c r="U8" s="32">
        <f t="shared" si="7"/>
        <v>2.612</v>
      </c>
      <c r="V8" s="34">
        <f t="shared" si="6"/>
        <v>2.72</v>
      </c>
      <c r="W8" s="35">
        <f t="shared" si="8"/>
        <v>0.55</v>
      </c>
      <c r="X8" s="33">
        <f t="shared" si="1"/>
        <v>0.50131926121372</v>
      </c>
      <c r="Y8" s="33">
        <v>0.8</v>
      </c>
      <c r="Z8" s="36">
        <v>0</v>
      </c>
      <c r="AA8" s="36">
        <v>0</v>
      </c>
      <c r="AB8" s="36">
        <v>0</v>
      </c>
      <c r="AC8" s="37">
        <f t="shared" si="2"/>
        <v>39946.5247222323</v>
      </c>
    </row>
    <row r="9" s="1" customFormat="1" spans="2:32">
      <c r="B9" s="42" t="s">
        <v>52</v>
      </c>
      <c r="C9" s="43"/>
      <c r="D9" s="42"/>
      <c r="E9" s="44"/>
      <c r="F9" s="42"/>
      <c r="G9" s="45"/>
      <c r="H9" s="42"/>
      <c r="I9" s="43"/>
      <c r="J9" s="46"/>
      <c r="K9" s="45"/>
      <c r="L9" s="42"/>
      <c r="M9" s="43"/>
      <c r="N9" s="6"/>
      <c r="P9" s="31" t="s">
        <v>53</v>
      </c>
      <c r="Q9" s="32">
        <f t="shared" ref="Q9:Q14" si="9">95.73%*4+255.28%</f>
        <v>6.382</v>
      </c>
      <c r="R9" s="33" t="s">
        <v>43</v>
      </c>
      <c r="S9" s="33">
        <f t="shared" si="0"/>
        <v>1011</v>
      </c>
      <c r="T9" s="32">
        <f t="shared" si="4"/>
        <v>1.9581918892186</v>
      </c>
      <c r="U9" s="32">
        <f t="shared" si="7"/>
        <v>2.612</v>
      </c>
      <c r="V9" s="34">
        <f t="shared" si="6"/>
        <v>2.72</v>
      </c>
      <c r="W9" s="35">
        <f t="shared" si="8"/>
        <v>0.55</v>
      </c>
      <c r="X9" s="33">
        <f t="shared" si="1"/>
        <v>0.50131926121372</v>
      </c>
      <c r="Y9" s="33">
        <v>0.8</v>
      </c>
      <c r="Z9" s="36">
        <v>0</v>
      </c>
      <c r="AA9" s="36">
        <v>0</v>
      </c>
      <c r="AB9" s="36">
        <v>0.48</v>
      </c>
      <c r="AC9" s="37">
        <f t="shared" si="2"/>
        <v>172523.688500404</v>
      </c>
    </row>
    <row r="10" s="1" customFormat="1" spans="2:32">
      <c r="B10" s="6"/>
      <c r="C10" s="6"/>
      <c r="D10" s="6"/>
      <c r="E10" s="6"/>
      <c r="F10" s="6" t="s">
        <v>54</v>
      </c>
      <c r="G10" s="47"/>
      <c r="H10" s="6"/>
      <c r="I10" s="6"/>
      <c r="J10" s="6"/>
      <c r="K10" s="6"/>
      <c r="L10" s="6"/>
      <c r="M10" s="6"/>
      <c r="N10" s="6"/>
      <c r="P10" s="31" t="s">
        <v>55</v>
      </c>
      <c r="Q10" s="32">
        <f>119.67%+60.92%*4+133.25%*2</f>
        <v>6.2985</v>
      </c>
      <c r="R10" s="33" t="s">
        <v>51</v>
      </c>
      <c r="S10" s="33">
        <f t="shared" si="0"/>
        <v>1011</v>
      </c>
      <c r="T10" s="32">
        <f t="shared" si="4"/>
        <v>1.9581918892186</v>
      </c>
      <c r="U10" s="32">
        <f t="shared" si="5"/>
        <v>1.84</v>
      </c>
      <c r="V10" s="34">
        <f t="shared" si="6"/>
        <v>2.72</v>
      </c>
      <c r="W10" s="35">
        <v>0.35</v>
      </c>
      <c r="X10" s="33">
        <f t="shared" si="1"/>
        <v>0.50131926121372</v>
      </c>
      <c r="Y10" s="33">
        <v>0.8</v>
      </c>
      <c r="Z10" s="36"/>
      <c r="AA10" s="36"/>
      <c r="AB10" s="36"/>
      <c r="AC10" s="37">
        <f t="shared" si="2"/>
        <v>78784.3618901708</v>
      </c>
    </row>
    <row r="11" s="1" customFormat="1" spans="2:32">
      <c r="B11" s="6"/>
      <c r="C11" s="6"/>
      <c r="D11" s="6"/>
      <c r="E11" s="6"/>
      <c r="F11" s="6"/>
      <c r="G11" s="47"/>
      <c r="H11" s="6"/>
      <c r="I11" s="6"/>
      <c r="J11" s="6"/>
      <c r="K11" s="6"/>
      <c r="L11" s="6"/>
      <c r="M11" s="6"/>
      <c r="N11" s="6"/>
      <c r="P11" s="31" t="s">
        <v>53</v>
      </c>
      <c r="Q11" s="32">
        <f t="shared" si="9"/>
        <v>6.382</v>
      </c>
      <c r="R11" s="33" t="s">
        <v>43</v>
      </c>
      <c r="S11" s="33">
        <f t="shared" si="0"/>
        <v>1011</v>
      </c>
      <c r="T11" s="32">
        <f t="shared" si="4"/>
        <v>1.9581918892186</v>
      </c>
      <c r="U11" s="32">
        <f t="shared" ref="U11:U15" si="10">SUM($E$3:$E$8)</f>
        <v>2.612</v>
      </c>
      <c r="V11" s="34">
        <f t="shared" si="6"/>
        <v>2.72</v>
      </c>
      <c r="W11" s="35">
        <f t="shared" ref="W11:W14" si="11">K$3+K$5</f>
        <v>0.55</v>
      </c>
      <c r="X11" s="33">
        <f t="shared" si="1"/>
        <v>0.50131926121372</v>
      </c>
      <c r="Y11" s="33">
        <v>0.8</v>
      </c>
      <c r="Z11" s="36"/>
      <c r="AA11" s="36"/>
      <c r="AB11" s="36">
        <v>0.48</v>
      </c>
      <c r="AC11" s="37">
        <f t="shared" si="2"/>
        <v>172523.688500404</v>
      </c>
    </row>
    <row r="12" s="1" customFormat="1" ht="14.75" spans="2:32">
      <c r="B12" s="6"/>
      <c r="C12" s="6"/>
      <c r="D12" s="6"/>
      <c r="E12" s="6"/>
      <c r="F12" s="6"/>
      <c r="G12" s="47"/>
      <c r="H12" s="6"/>
      <c r="I12" s="6"/>
      <c r="J12" s="6"/>
      <c r="K12" s="6"/>
      <c r="L12" s="6"/>
      <c r="M12" s="6"/>
      <c r="N12" s="6"/>
      <c r="P12" s="31" t="s">
        <v>21</v>
      </c>
      <c r="Q12" s="32">
        <f>49.59%*3+173.55%*2</f>
        <v>4.9587</v>
      </c>
      <c r="R12" s="33" t="s">
        <v>21</v>
      </c>
      <c r="S12" s="33">
        <f t="shared" si="0"/>
        <v>1011</v>
      </c>
      <c r="T12" s="32">
        <f t="shared" si="4"/>
        <v>1.9581918892186</v>
      </c>
      <c r="U12" s="32">
        <f>SUM($E$3:$E$7)</f>
        <v>1.84</v>
      </c>
      <c r="V12" s="34">
        <f t="shared" si="6"/>
        <v>2.72</v>
      </c>
      <c r="W12" s="35">
        <v>0.35</v>
      </c>
      <c r="X12" s="33">
        <f t="shared" si="1"/>
        <v>0.50131926121372</v>
      </c>
      <c r="Y12" s="33">
        <v>0.8</v>
      </c>
      <c r="Z12" s="36"/>
      <c r="AA12" s="36"/>
      <c r="AB12" s="36"/>
      <c r="AC12" s="37">
        <f t="shared" si="2"/>
        <v>62025.564071571</v>
      </c>
    </row>
    <row r="13" s="1" customFormat="1" ht="15" spans="2:32">
      <c r="B13" s="48" t="s">
        <v>56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0"/>
      <c r="N13" s="6"/>
      <c r="P13" s="31" t="s">
        <v>51</v>
      </c>
      <c r="Q13" s="32">
        <f>21.87%*4+65.61%*2</f>
        <v>2.187</v>
      </c>
      <c r="R13" s="33" t="s">
        <v>43</v>
      </c>
      <c r="S13" s="33">
        <f t="shared" si="0"/>
        <v>1011</v>
      </c>
      <c r="T13" s="32">
        <f t="shared" si="4"/>
        <v>1.9581918892186</v>
      </c>
      <c r="U13" s="32">
        <f t="shared" si="10"/>
        <v>2.612</v>
      </c>
      <c r="V13" s="34">
        <f t="shared" si="6"/>
        <v>2.72</v>
      </c>
      <c r="W13" s="35">
        <f t="shared" si="11"/>
        <v>0.55</v>
      </c>
      <c r="X13" s="33">
        <f t="shared" si="1"/>
        <v>0.50131926121372</v>
      </c>
      <c r="Y13" s="33">
        <v>0.8</v>
      </c>
      <c r="Z13" s="36"/>
      <c r="AA13" s="36"/>
      <c r="AB13" s="36"/>
      <c r="AC13" s="37">
        <f t="shared" si="2"/>
        <v>39946.5247222323</v>
      </c>
    </row>
    <row r="14" s="1" customFormat="1" spans="2:32">
      <c r="B14" s="51" t="s">
        <v>17</v>
      </c>
      <c r="C14" s="52"/>
      <c r="D14" s="51" t="s">
        <v>6</v>
      </c>
      <c r="E14" s="52"/>
      <c r="F14" s="51" t="s">
        <v>18</v>
      </c>
      <c r="G14" s="52"/>
      <c r="H14" s="51" t="s">
        <v>19</v>
      </c>
      <c r="I14" s="52"/>
      <c r="J14" s="53" t="s">
        <v>8</v>
      </c>
      <c r="K14" s="53"/>
      <c r="L14" s="51" t="s">
        <v>20</v>
      </c>
      <c r="M14" s="52"/>
      <c r="N14" s="6"/>
      <c r="P14" s="31" t="s">
        <v>53</v>
      </c>
      <c r="Q14" s="32">
        <f t="shared" si="9"/>
        <v>6.382</v>
      </c>
      <c r="R14" s="33" t="s">
        <v>43</v>
      </c>
      <c r="S14" s="33">
        <f t="shared" si="0"/>
        <v>1011</v>
      </c>
      <c r="T14" s="32">
        <f t="shared" si="4"/>
        <v>1.9581918892186</v>
      </c>
      <c r="U14" s="32">
        <f t="shared" si="10"/>
        <v>2.612</v>
      </c>
      <c r="V14" s="34">
        <f t="shared" si="6"/>
        <v>2.72</v>
      </c>
      <c r="W14" s="35">
        <f t="shared" si="11"/>
        <v>0.55</v>
      </c>
      <c r="X14" s="33">
        <f t="shared" si="1"/>
        <v>0.50131926121372</v>
      </c>
      <c r="Y14" s="33">
        <v>0.8</v>
      </c>
      <c r="Z14" s="36">
        <v>0</v>
      </c>
      <c r="AA14" s="36">
        <v>0</v>
      </c>
      <c r="AB14" s="36">
        <v>0.48</v>
      </c>
      <c r="AC14" s="37">
        <f t="shared" si="2"/>
        <v>172523.688500404</v>
      </c>
    </row>
    <row r="15" s="1" customFormat="1" spans="2:32">
      <c r="B15" s="25" t="s">
        <v>22</v>
      </c>
      <c r="C15" s="26">
        <f>375+500</f>
        <v>875</v>
      </c>
      <c r="D15" s="25" t="s">
        <v>23</v>
      </c>
      <c r="E15" s="28">
        <v>0.6</v>
      </c>
      <c r="F15" s="25" t="s">
        <v>24</v>
      </c>
      <c r="G15" s="27">
        <v>0.13</v>
      </c>
      <c r="H15" s="25" t="s">
        <v>24</v>
      </c>
      <c r="I15" s="28">
        <v>1.5</v>
      </c>
      <c r="J15" s="54" t="s">
        <v>25</v>
      </c>
      <c r="K15" s="55">
        <v>0.15</v>
      </c>
      <c r="L15" s="25" t="s">
        <v>26</v>
      </c>
      <c r="M15" s="27">
        <f>8.6%*2</f>
        <v>0.172</v>
      </c>
      <c r="N15" s="6"/>
      <c r="P15" s="31" t="s">
        <v>57</v>
      </c>
      <c r="Q15" s="32">
        <f>397.82%</f>
        <v>3.9782</v>
      </c>
      <c r="R15" s="33" t="s">
        <v>43</v>
      </c>
      <c r="S15" s="33">
        <f t="shared" si="0"/>
        <v>1011</v>
      </c>
      <c r="T15" s="32">
        <f t="shared" si="4"/>
        <v>1.9581918892186</v>
      </c>
      <c r="U15" s="32">
        <f t="shared" si="10"/>
        <v>2.612</v>
      </c>
      <c r="V15" s="34">
        <f t="shared" si="6"/>
        <v>2.72</v>
      </c>
      <c r="W15" s="35">
        <v>0.15</v>
      </c>
      <c r="X15" s="33">
        <f t="shared" si="1"/>
        <v>0.50131926121372</v>
      </c>
      <c r="Y15" s="33">
        <v>0.8</v>
      </c>
      <c r="Z15" s="36"/>
      <c r="AA15" s="36"/>
      <c r="AB15" s="36"/>
      <c r="AC15" s="37">
        <f t="shared" si="2"/>
        <v>53911.6935402693</v>
      </c>
    </row>
    <row r="16" s="1" customFormat="1" spans="2:32">
      <c r="B16" s="25" t="s">
        <v>28</v>
      </c>
      <c r="C16" s="28">
        <f>12%+53.9%</f>
        <v>0.659</v>
      </c>
      <c r="D16" s="25" t="s">
        <v>29</v>
      </c>
      <c r="E16" s="28"/>
      <c r="F16" s="25" t="s">
        <v>30</v>
      </c>
      <c r="G16" s="56">
        <v>0</v>
      </c>
      <c r="H16" s="25" t="s">
        <v>31</v>
      </c>
      <c r="I16" s="27">
        <f>M18</f>
        <v>0.81</v>
      </c>
      <c r="J16" s="30" t="s">
        <v>58</v>
      </c>
      <c r="K16" s="27"/>
      <c r="L16" s="25" t="s">
        <v>59</v>
      </c>
      <c r="M16" s="27">
        <f>8.6%*2</f>
        <v>0.172</v>
      </c>
      <c r="N16" s="6"/>
      <c r="P16" s="31" t="s">
        <v>60</v>
      </c>
      <c r="Q16" s="32">
        <f>237.63%*2</f>
        <v>4.7526</v>
      </c>
      <c r="R16" s="33" t="s">
        <v>61</v>
      </c>
      <c r="S16" s="33">
        <f t="shared" si="0"/>
        <v>1011</v>
      </c>
      <c r="T16" s="32">
        <f t="shared" si="4"/>
        <v>1.9581918892186</v>
      </c>
      <c r="U16" s="32">
        <f>SUM($E$3:$E$7)</f>
        <v>1.84</v>
      </c>
      <c r="V16" s="34">
        <f t="shared" si="6"/>
        <v>2.72</v>
      </c>
      <c r="W16" s="35">
        <v>0.15</v>
      </c>
      <c r="X16" s="33">
        <f t="shared" si="1"/>
        <v>0.50131926121372</v>
      </c>
      <c r="Y16" s="33">
        <v>0.8</v>
      </c>
      <c r="Z16" s="36">
        <v>0</v>
      </c>
      <c r="AA16" s="36">
        <v>0</v>
      </c>
      <c r="AB16" s="36">
        <v>0</v>
      </c>
      <c r="AC16" s="37">
        <f t="shared" si="2"/>
        <v>50640.5278231571</v>
      </c>
    </row>
    <row r="17" s="1" customFormat="1" spans="2:29">
      <c r="B17" s="25" t="s">
        <v>34</v>
      </c>
      <c r="C17" s="28">
        <f>18%+18%+M15</f>
        <v>0.532</v>
      </c>
      <c r="D17" s="25" t="s">
        <v>35</v>
      </c>
      <c r="E17" s="28"/>
      <c r="F17" s="25" t="s">
        <v>36</v>
      </c>
      <c r="G17" s="27"/>
      <c r="H17" s="25" t="s">
        <v>36</v>
      </c>
      <c r="I17" s="27"/>
      <c r="J17" s="30"/>
      <c r="K17" s="27"/>
      <c r="L17" s="25" t="s">
        <v>18</v>
      </c>
      <c r="M17" s="27">
        <f>8.1*5%</f>
        <v>0.405</v>
      </c>
      <c r="N17" s="6"/>
      <c r="P17" s="57" t="s">
        <v>55</v>
      </c>
      <c r="Q17" s="58">
        <f>41.76%*2+20.55%*5+133.61%</f>
        <v>3.1988</v>
      </c>
      <c r="R17" s="59" t="s">
        <v>51</v>
      </c>
      <c r="S17" s="59">
        <f t="shared" ref="S17:S26" si="12">C$15</f>
        <v>875</v>
      </c>
      <c r="T17" s="58">
        <f t="shared" ref="T17:T26" si="13">(C$16+C$17+C$18+C$19)+(C$20+C$21)/C$15</f>
        <v>2.161</v>
      </c>
      <c r="U17" s="58">
        <f t="shared" ref="U17:U26" si="14">E$15+E$20</f>
        <v>0.94</v>
      </c>
      <c r="V17" s="60">
        <f t="shared" ref="V17:V19" si="15">G$20*(I$20-1)+1</f>
        <v>2.1528</v>
      </c>
      <c r="W17" s="61">
        <f t="shared" ref="W17:W26" si="16">K$15</f>
        <v>0.15</v>
      </c>
      <c r="X17" s="59">
        <f t="shared" ref="X17:X26" si="17">AE$2</f>
        <v>0.50131926121372</v>
      </c>
      <c r="Y17" s="59">
        <v>0.8</v>
      </c>
      <c r="Z17" s="61"/>
      <c r="AA17" s="61"/>
      <c r="AB17" s="62"/>
      <c r="AC17" s="63">
        <f t="shared" si="2"/>
        <v>17042.2632382797</v>
      </c>
    </row>
    <row r="18" s="1" customFormat="1" spans="2:29">
      <c r="B18" s="25" t="s">
        <v>40</v>
      </c>
      <c r="C18" s="38">
        <v>0.18</v>
      </c>
      <c r="D18" s="25" t="s">
        <v>41</v>
      </c>
      <c r="E18" s="28"/>
      <c r="F18" s="25" t="s">
        <v>31</v>
      </c>
      <c r="G18" s="27">
        <f>M17+22%</f>
        <v>0.625</v>
      </c>
      <c r="H18" s="25"/>
      <c r="I18" s="27"/>
      <c r="J18" s="30"/>
      <c r="K18" s="27"/>
      <c r="L18" s="25" t="s">
        <v>42</v>
      </c>
      <c r="M18" s="28">
        <f>16.2%*5</f>
        <v>0.81</v>
      </c>
      <c r="N18" s="6"/>
      <c r="P18" s="57" t="s">
        <v>62</v>
      </c>
      <c r="Q18" s="58">
        <f>86.16%*3</f>
        <v>2.5848</v>
      </c>
      <c r="R18" s="59" t="s">
        <v>39</v>
      </c>
      <c r="S18" s="59">
        <f t="shared" si="12"/>
        <v>875</v>
      </c>
      <c r="T18" s="58">
        <f t="shared" si="13"/>
        <v>2.161</v>
      </c>
      <c r="U18" s="58">
        <f t="shared" si="14"/>
        <v>0.94</v>
      </c>
      <c r="V18" s="60">
        <f t="shared" si="15"/>
        <v>2.1528</v>
      </c>
      <c r="W18" s="61">
        <f t="shared" si="16"/>
        <v>0.15</v>
      </c>
      <c r="X18" s="59">
        <f t="shared" si="17"/>
        <v>0.50131926121372</v>
      </c>
      <c r="Y18" s="59">
        <v>0.8</v>
      </c>
      <c r="Z18" s="61"/>
      <c r="AA18" s="61"/>
      <c r="AB18" s="62"/>
      <c r="AC18" s="63">
        <f t="shared" si="2"/>
        <v>13771.0522753237</v>
      </c>
    </row>
    <row r="19" s="1" customFormat="1" spans="2:29">
      <c r="B19" s="25" t="s">
        <v>44</v>
      </c>
      <c r="C19" s="38">
        <v>0.39</v>
      </c>
      <c r="D19" s="25" t="s">
        <v>63</v>
      </c>
      <c r="E19" s="56"/>
      <c r="F19" s="25" t="s">
        <v>46</v>
      </c>
      <c r="G19" s="27">
        <v>0.125</v>
      </c>
      <c r="H19" s="25" t="s">
        <v>46</v>
      </c>
      <c r="I19" s="27">
        <v>0</v>
      </c>
      <c r="J19" s="30"/>
      <c r="K19" s="27"/>
      <c r="L19" s="25"/>
      <c r="M19" s="26"/>
      <c r="N19" s="6"/>
      <c r="P19" s="57" t="s">
        <v>64</v>
      </c>
      <c r="Q19" s="58">
        <f>98.42%*3</f>
        <v>2.9526</v>
      </c>
      <c r="R19" s="59" t="s">
        <v>21</v>
      </c>
      <c r="S19" s="59">
        <f t="shared" si="12"/>
        <v>875</v>
      </c>
      <c r="T19" s="58">
        <f t="shared" si="13"/>
        <v>2.161</v>
      </c>
      <c r="U19" s="58">
        <f t="shared" si="14"/>
        <v>0.94</v>
      </c>
      <c r="V19" s="60">
        <f t="shared" si="15"/>
        <v>2.1528</v>
      </c>
      <c r="W19" s="61">
        <f t="shared" si="16"/>
        <v>0.15</v>
      </c>
      <c r="X19" s="59">
        <f t="shared" si="17"/>
        <v>0.50131926121372</v>
      </c>
      <c r="Y19" s="59">
        <v>0.8</v>
      </c>
      <c r="Z19" s="61"/>
      <c r="AA19" s="61"/>
      <c r="AB19" s="62"/>
      <c r="AC19" s="63">
        <f t="shared" si="2"/>
        <v>15730.5822300065</v>
      </c>
    </row>
    <row r="20" s="1" customFormat="1" spans="2:29">
      <c r="B20" s="25" t="s">
        <v>47</v>
      </c>
      <c r="C20" s="26">
        <v>350</v>
      </c>
      <c r="D20" s="25" t="s">
        <v>65</v>
      </c>
      <c r="E20" s="28">
        <f>18%+16%</f>
        <v>0.34</v>
      </c>
      <c r="F20" s="39" t="s">
        <v>49</v>
      </c>
      <c r="G20" s="40">
        <f>MIN(100%,SUM(G15:G19))</f>
        <v>0.88</v>
      </c>
      <c r="H20" s="39" t="s">
        <v>50</v>
      </c>
      <c r="I20" s="41">
        <f>SUM(I15:I19)</f>
        <v>2.31</v>
      </c>
      <c r="J20" s="30"/>
      <c r="K20" s="27"/>
      <c r="L20" s="25"/>
      <c r="M20" s="26"/>
      <c r="N20" s="6"/>
      <c r="P20" s="57" t="s">
        <v>66</v>
      </c>
      <c r="Q20" s="58">
        <f>65.21%*2</f>
        <v>1.3042</v>
      </c>
      <c r="R20" s="59" t="s">
        <v>51</v>
      </c>
      <c r="S20" s="59">
        <f t="shared" si="12"/>
        <v>875</v>
      </c>
      <c r="T20" s="58">
        <f t="shared" si="13"/>
        <v>2.161</v>
      </c>
      <c r="U20" s="58">
        <f t="shared" si="14"/>
        <v>0.94</v>
      </c>
      <c r="V20" s="60">
        <f>(G$20-0.125)*(I$20-1)+1</f>
        <v>1.98905</v>
      </c>
      <c r="W20" s="61">
        <f t="shared" si="16"/>
        <v>0.15</v>
      </c>
      <c r="X20" s="59">
        <f t="shared" si="17"/>
        <v>0.50131926121372</v>
      </c>
      <c r="Y20" s="59">
        <v>0.8</v>
      </c>
      <c r="Z20" s="61"/>
      <c r="AA20" s="61"/>
      <c r="AB20" s="62"/>
      <c r="AC20" s="63">
        <f t="shared" si="2"/>
        <v>6419.87235828066</v>
      </c>
    </row>
    <row r="21" s="1" customFormat="1" spans="2:29">
      <c r="B21" s="42" t="s">
        <v>52</v>
      </c>
      <c r="C21" s="43"/>
      <c r="D21" s="42"/>
      <c r="E21" s="44"/>
      <c r="F21" s="42"/>
      <c r="G21" s="44"/>
      <c r="H21" s="42"/>
      <c r="I21" s="43"/>
      <c r="J21" s="46"/>
      <c r="K21" s="45"/>
      <c r="L21" s="42"/>
      <c r="M21" s="43"/>
      <c r="N21" s="6"/>
      <c r="P21" s="57" t="s">
        <v>67</v>
      </c>
      <c r="Q21" s="58">
        <f>65.21%*4</f>
        <v>2.6084</v>
      </c>
      <c r="R21" s="59" t="s">
        <v>51</v>
      </c>
      <c r="S21" s="59">
        <f t="shared" si="12"/>
        <v>875</v>
      </c>
      <c r="T21" s="58">
        <f t="shared" si="13"/>
        <v>2.161</v>
      </c>
      <c r="U21" s="58">
        <f t="shared" si="14"/>
        <v>0.94</v>
      </c>
      <c r="V21" s="60">
        <f t="shared" ref="V21:V26" si="18">G$20*(I$20-1)+1</f>
        <v>2.1528</v>
      </c>
      <c r="W21" s="61">
        <f t="shared" si="16"/>
        <v>0.15</v>
      </c>
      <c r="X21" s="59">
        <f t="shared" si="17"/>
        <v>0.50131926121372</v>
      </c>
      <c r="Y21" s="59">
        <v>0.8</v>
      </c>
      <c r="Z21" s="61"/>
      <c r="AA21" s="61"/>
      <c r="AB21" s="62"/>
      <c r="AC21" s="63">
        <f t="shared" si="2"/>
        <v>13896.7861168966</v>
      </c>
    </row>
    <row r="22" s="1" customFormat="1" ht="15" spans="2:29">
      <c r="B22" s="64" t="s">
        <v>68</v>
      </c>
      <c r="C22" s="6"/>
      <c r="D22" s="6"/>
      <c r="E22" s="6"/>
      <c r="F22" s="6"/>
      <c r="G22" s="47"/>
      <c r="H22" s="6"/>
      <c r="I22" s="6"/>
      <c r="J22" s="6"/>
      <c r="K22" s="6"/>
      <c r="L22" s="6"/>
      <c r="M22" s="6"/>
      <c r="N22" s="6"/>
      <c r="P22" s="57" t="s">
        <v>69</v>
      </c>
      <c r="Q22" s="58">
        <f>65.21%*15</f>
        <v>9.7815</v>
      </c>
      <c r="R22" s="59" t="s">
        <v>51</v>
      </c>
      <c r="S22" s="59">
        <f t="shared" si="12"/>
        <v>875</v>
      </c>
      <c r="T22" s="58">
        <f t="shared" si="13"/>
        <v>2.161</v>
      </c>
      <c r="U22" s="58">
        <f t="shared" si="14"/>
        <v>0.94</v>
      </c>
      <c r="V22" s="60">
        <f>G$20*(I$20-1+25%)+1</f>
        <v>2.3728</v>
      </c>
      <c r="W22" s="61">
        <f t="shared" si="16"/>
        <v>0.15</v>
      </c>
      <c r="X22" s="59">
        <f t="shared" si="17"/>
        <v>0.50131926121372</v>
      </c>
      <c r="Y22" s="59">
        <v>0.8</v>
      </c>
      <c r="Z22" s="61"/>
      <c r="AA22" s="61"/>
      <c r="AB22" s="62"/>
      <c r="AC22" s="63">
        <f t="shared" si="2"/>
        <v>57438.5000316546</v>
      </c>
    </row>
    <row r="23" s="1" customFormat="1" spans="2:29">
      <c r="B23" s="65"/>
      <c r="C23" s="65" t="s">
        <v>70</v>
      </c>
      <c r="D23" s="65" t="s">
        <v>71</v>
      </c>
      <c r="E23" s="65" t="s">
        <v>72</v>
      </c>
      <c r="F23" s="66"/>
      <c r="G23" s="47"/>
      <c r="H23" s="6"/>
      <c r="I23" s="6"/>
      <c r="J23" s="6"/>
      <c r="K23" s="6"/>
      <c r="L23" s="6"/>
      <c r="M23" s="6"/>
      <c r="N23" s="6"/>
      <c r="P23" s="57" t="s">
        <v>73</v>
      </c>
      <c r="Q23" s="58">
        <f>83.01%*3</f>
        <v>2.4903</v>
      </c>
      <c r="R23" s="59" t="s">
        <v>74</v>
      </c>
      <c r="S23" s="59">
        <f t="shared" si="12"/>
        <v>875</v>
      </c>
      <c r="T23" s="58">
        <f t="shared" si="13"/>
        <v>2.161</v>
      </c>
      <c r="U23" s="58">
        <f t="shared" si="14"/>
        <v>0.94</v>
      </c>
      <c r="V23" s="60">
        <f t="shared" si="18"/>
        <v>2.1528</v>
      </c>
      <c r="W23" s="61">
        <f t="shared" si="16"/>
        <v>0.15</v>
      </c>
      <c r="X23" s="59">
        <f t="shared" si="17"/>
        <v>0.50131926121372</v>
      </c>
      <c r="Y23" s="59">
        <v>0.8</v>
      </c>
      <c r="Z23" s="61"/>
      <c r="AA23" s="61"/>
      <c r="AB23" s="62"/>
      <c r="AC23" s="63">
        <f t="shared" si="2"/>
        <v>13267.584138517</v>
      </c>
    </row>
    <row r="24" s="1" customFormat="1" spans="2:29">
      <c r="B24" s="67" t="s">
        <v>75</v>
      </c>
      <c r="C24" s="67">
        <f>SUM(AC2:AC16)</f>
        <v>1258141.00466</v>
      </c>
      <c r="D24" s="67">
        <f>C24/E24</f>
        <v>50325.6401864001</v>
      </c>
      <c r="E24" s="66">
        <v>25</v>
      </c>
      <c r="F24" s="66"/>
      <c r="G24" s="47"/>
      <c r="H24" s="6"/>
      <c r="I24" s="6"/>
      <c r="J24" s="6"/>
      <c r="K24" s="6"/>
      <c r="L24" s="6"/>
      <c r="M24" s="6"/>
      <c r="N24" s="6"/>
      <c r="P24" s="68" t="s">
        <v>76</v>
      </c>
      <c r="Q24" s="58">
        <v>2.9822</v>
      </c>
      <c r="R24" s="59" t="s">
        <v>51</v>
      </c>
      <c r="S24" s="59">
        <f t="shared" si="12"/>
        <v>875</v>
      </c>
      <c r="T24" s="58">
        <f t="shared" si="13"/>
        <v>2.161</v>
      </c>
      <c r="U24" s="58">
        <f t="shared" si="14"/>
        <v>0.94</v>
      </c>
      <c r="V24" s="60">
        <f t="shared" si="18"/>
        <v>2.1528</v>
      </c>
      <c r="W24" s="61">
        <f t="shared" si="16"/>
        <v>0.15</v>
      </c>
      <c r="X24" s="59">
        <f t="shared" si="17"/>
        <v>0.50131926121372</v>
      </c>
      <c r="Y24" s="59">
        <v>0.8</v>
      </c>
      <c r="Z24" s="61"/>
      <c r="AA24" s="61"/>
      <c r="AB24" s="62"/>
      <c r="AC24" s="63">
        <f t="shared" si="2"/>
        <v>15888.2823024878</v>
      </c>
    </row>
    <row r="25" s="1" customFormat="1" spans="2:29">
      <c r="B25" s="67"/>
      <c r="C25" s="67">
        <v>414685</v>
      </c>
      <c r="D25" s="67"/>
      <c r="E25" s="47"/>
      <c r="F25" s="6"/>
      <c r="G25" s="47"/>
      <c r="H25" s="6"/>
      <c r="I25" s="6"/>
      <c r="J25" s="6"/>
      <c r="K25" s="6"/>
      <c r="L25" s="6"/>
      <c r="M25" s="6"/>
      <c r="N25" s="6"/>
      <c r="P25" s="57" t="s">
        <v>78</v>
      </c>
      <c r="Q25" s="58">
        <f>119.29%*3</f>
        <v>3.5787</v>
      </c>
      <c r="R25" s="59" t="s">
        <v>51</v>
      </c>
      <c r="S25" s="59">
        <f t="shared" si="12"/>
        <v>875</v>
      </c>
      <c r="T25" s="58">
        <f t="shared" si="13"/>
        <v>2.161</v>
      </c>
      <c r="U25" s="58">
        <f t="shared" si="14"/>
        <v>0.94</v>
      </c>
      <c r="V25" s="60">
        <f t="shared" si="18"/>
        <v>2.1528</v>
      </c>
      <c r="W25" s="61">
        <f t="shared" si="16"/>
        <v>0.15</v>
      </c>
      <c r="X25" s="59">
        <f t="shared" si="17"/>
        <v>0.50131926121372</v>
      </c>
      <c r="Y25" s="59">
        <v>0.8</v>
      </c>
      <c r="Z25" s="61"/>
      <c r="AA25" s="61"/>
      <c r="AB25" s="62"/>
      <c r="AC25" s="63">
        <f t="shared" si="2"/>
        <v>19066.2584252944</v>
      </c>
    </row>
    <row r="26" s="1" customFormat="1" spans="2:29">
      <c r="B26" s="67" t="s">
        <v>79</v>
      </c>
      <c r="C26" s="67">
        <v>50000</v>
      </c>
      <c r="D26" s="67">
        <f>C26/E24</f>
        <v>2000</v>
      </c>
      <c r="E26" s="6"/>
      <c r="F26" s="6"/>
      <c r="G26" s="47"/>
      <c r="H26" s="6"/>
      <c r="I26" s="6"/>
      <c r="J26" s="6"/>
      <c r="K26" s="6"/>
      <c r="L26" s="6"/>
      <c r="M26" s="6"/>
      <c r="N26" s="6"/>
      <c r="P26" s="57" t="s">
        <v>27</v>
      </c>
      <c r="Q26" s="58">
        <v>3.1</v>
      </c>
      <c r="R26" s="59" t="s">
        <v>27</v>
      </c>
      <c r="S26" s="59">
        <f t="shared" si="12"/>
        <v>875</v>
      </c>
      <c r="T26" s="58">
        <f t="shared" si="13"/>
        <v>2.161</v>
      </c>
      <c r="U26" s="58">
        <f t="shared" si="14"/>
        <v>0.94</v>
      </c>
      <c r="V26" s="60">
        <f t="shared" si="18"/>
        <v>2.1528</v>
      </c>
      <c r="W26" s="61">
        <f t="shared" si="16"/>
        <v>0.15</v>
      </c>
      <c r="X26" s="59">
        <f t="shared" si="17"/>
        <v>0.50131926121372</v>
      </c>
      <c r="Y26" s="59">
        <v>0.8</v>
      </c>
      <c r="Z26" s="61"/>
      <c r="AA26" s="61"/>
      <c r="AB26" s="62"/>
      <c r="AC26" s="63">
        <f t="shared" si="2"/>
        <v>16515.885969322</v>
      </c>
    </row>
    <row r="27" s="1" customFormat="1" spans="2:29">
      <c r="B27" s="67" t="s">
        <v>80</v>
      </c>
      <c r="C27" s="67">
        <f>C24+C25+C26</f>
        <v>1722826.00466</v>
      </c>
      <c r="D27" s="67">
        <f>C27/E24</f>
        <v>68913.0401864001</v>
      </c>
      <c r="E27" s="6"/>
      <c r="F27" s="6"/>
      <c r="G27" s="47"/>
      <c r="H27" s="6"/>
      <c r="I27" s="6"/>
      <c r="J27" s="6"/>
      <c r="K27" s="6"/>
      <c r="L27" s="6"/>
      <c r="M27" s="6"/>
      <c r="N27" s="6"/>
      <c r="Q27" s="69"/>
      <c r="U27" s="2"/>
      <c r="V27" s="69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H28" s="59" t="s">
        <v>82</v>
      </c>
      <c r="I28" s="59" t="s">
        <v>71</v>
      </c>
      <c r="J28" s="59" t="s">
        <v>83</v>
      </c>
      <c r="K28" s="59" t="s">
        <v>84</v>
      </c>
      <c r="N28" s="6"/>
      <c r="Q28" s="69"/>
      <c r="U28" s="2"/>
      <c r="V28" s="69"/>
      <c r="AB28" s="4"/>
      <c r="AC28" s="4"/>
    </row>
    <row r="29" s="1" customFormat="1" ht="20" customHeight="1" spans="2:29">
      <c r="B29" s="67"/>
      <c r="C29" s="67"/>
      <c r="D29" s="67"/>
      <c r="E29" s="6">
        <f t="shared" ref="E29:E33" si="19">F29*81+G29*54</f>
        <v>351</v>
      </c>
      <c r="F29" s="67">
        <v>3</v>
      </c>
      <c r="G29" s="70">
        <v>2</v>
      </c>
      <c r="H29" s="6" t="s">
        <v>85</v>
      </c>
      <c r="I29" s="71">
        <v>46524</v>
      </c>
      <c r="J29" s="71"/>
      <c r="K29" s="72">
        <f t="shared" ref="K29:K33" si="20">I29/E29</f>
        <v>132.547008547009</v>
      </c>
      <c r="N29" s="6"/>
      <c r="Q29" s="69"/>
      <c r="V29" s="69"/>
      <c r="AB29" s="4"/>
      <c r="AC29" s="4"/>
    </row>
    <row r="30" s="1" customFormat="1" ht="20" customHeight="1" spans="2:29">
      <c r="B30" s="67"/>
      <c r="C30" s="67"/>
      <c r="D30" s="67"/>
      <c r="E30" s="6">
        <f t="shared" si="19"/>
        <v>405</v>
      </c>
      <c r="F30" s="70">
        <v>3</v>
      </c>
      <c r="G30" s="70">
        <v>3</v>
      </c>
      <c r="H30" s="6" t="s">
        <v>86</v>
      </c>
      <c r="I30" s="71">
        <v>49720</v>
      </c>
      <c r="J30" s="73">
        <f t="shared" ref="J30:J33" si="21">I30/I$29-1</f>
        <v>0.0686957269366348</v>
      </c>
      <c r="K30" s="72">
        <f t="shared" si="20"/>
        <v>122.765432098765</v>
      </c>
      <c r="N30" s="6"/>
      <c r="Q30" s="74"/>
      <c r="U30" s="2"/>
      <c r="V30" s="2"/>
      <c r="AB30" s="4"/>
      <c r="AC30" s="4"/>
    </row>
    <row r="31" s="1" customFormat="1" ht="20" customHeight="1" spans="2:29">
      <c r="B31" s="6"/>
      <c r="C31" s="6"/>
      <c r="D31" s="6"/>
      <c r="E31" s="6">
        <f t="shared" si="19"/>
        <v>351</v>
      </c>
      <c r="F31" s="70">
        <v>3</v>
      </c>
      <c r="G31" s="70">
        <v>2</v>
      </c>
      <c r="H31" s="6" t="s">
        <v>87</v>
      </c>
      <c r="I31" s="71">
        <v>57490</v>
      </c>
      <c r="J31" s="75">
        <f t="shared" si="21"/>
        <v>0.235706302123635</v>
      </c>
      <c r="K31" s="72">
        <f t="shared" si="20"/>
        <v>163.789173789174</v>
      </c>
      <c r="N31" s="6"/>
      <c r="Q31" s="2"/>
      <c r="U31" s="2"/>
      <c r="V31" s="3"/>
      <c r="AB31" s="4"/>
      <c r="AC31" s="4"/>
    </row>
    <row r="32" s="1" customFormat="1" ht="20" customHeight="1" spans="2:29">
      <c r="B32" s="67"/>
      <c r="C32" s="67"/>
      <c r="D32" s="67"/>
      <c r="E32" s="6">
        <f t="shared" si="19"/>
        <v>405</v>
      </c>
      <c r="F32" s="70">
        <v>3</v>
      </c>
      <c r="G32" s="70">
        <v>3</v>
      </c>
      <c r="H32" s="6" t="s">
        <v>88</v>
      </c>
      <c r="I32" s="71">
        <v>62199</v>
      </c>
      <c r="J32" s="75">
        <f t="shared" si="21"/>
        <v>0.336922878514315</v>
      </c>
      <c r="K32" s="72">
        <f t="shared" si="20"/>
        <v>153.577777777778</v>
      </c>
      <c r="N32" s="6"/>
      <c r="Q32" s="2"/>
      <c r="U32" s="2"/>
      <c r="V32" s="3"/>
      <c r="AB32" s="4"/>
      <c r="AC32" s="4"/>
    </row>
    <row r="33" s="1" customFormat="1" ht="20" customHeight="1" spans="2:29">
      <c r="B33" s="67"/>
      <c r="C33" s="67"/>
      <c r="D33" s="67"/>
      <c r="E33" s="6">
        <f t="shared" si="19"/>
        <v>567</v>
      </c>
      <c r="F33" s="70">
        <v>5</v>
      </c>
      <c r="G33" s="70">
        <v>3</v>
      </c>
      <c r="H33" s="6" t="s">
        <v>89</v>
      </c>
      <c r="I33" s="71">
        <v>70857</v>
      </c>
      <c r="J33" s="75">
        <f t="shared" si="21"/>
        <v>0.52302037657983</v>
      </c>
      <c r="K33" s="72">
        <f t="shared" si="20"/>
        <v>124.968253968254</v>
      </c>
      <c r="M33" s="1">
        <v>62199</v>
      </c>
      <c r="N33" s="6"/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I34" s="77"/>
      <c r="J34" s="77"/>
      <c r="M34" s="1">
        <v>68913</v>
      </c>
      <c r="N34" s="6"/>
      <c r="Q34" s="2"/>
      <c r="U34" s="2"/>
      <c r="V34" s="3"/>
      <c r="AB34" s="4"/>
      <c r="AC34" s="4"/>
    </row>
    <row r="35" s="1" customFormat="1" spans="2:29">
      <c r="B35" s="67"/>
      <c r="C35" s="67"/>
      <c r="D35" s="67"/>
      <c r="E35" s="6"/>
      <c r="F35" s="67"/>
      <c r="G35" s="2"/>
      <c r="N35" s="6"/>
      <c r="Q35" s="2"/>
      <c r="U35" s="2"/>
      <c r="V35" s="3"/>
      <c r="AB35" s="4"/>
      <c r="AC35" s="4"/>
    </row>
    <row r="36" s="1" customFormat="1" spans="2:29">
      <c r="G36" s="2"/>
      <c r="N36" s="6"/>
      <c r="Q36" s="2"/>
      <c r="U36" s="2"/>
      <c r="V36" s="3"/>
      <c r="AB36" s="4"/>
      <c r="AC36" s="4"/>
    </row>
    <row r="37" s="1" customFormat="1" spans="2:29">
      <c r="G37" s="2"/>
      <c r="N37" s="6"/>
      <c r="Q37" s="2"/>
      <c r="U37" s="2"/>
      <c r="V37" s="3"/>
      <c r="AB37" s="4"/>
      <c r="AC37" s="4"/>
    </row>
    <row r="38" s="1" customFormat="1" spans="2:29">
      <c r="G38" s="2"/>
      <c r="N38" s="6"/>
      <c r="Q38" s="2"/>
      <c r="U38" s="2"/>
      <c r="V38" s="3"/>
      <c r="AB38" s="4"/>
      <c r="AC38" s="4"/>
    </row>
    <row r="39" s="1" customFormat="1" spans="2:29">
      <c r="G39" s="2"/>
      <c r="N39" s="6"/>
      <c r="Q39" s="2"/>
      <c r="U39" s="2"/>
      <c r="V39" s="3"/>
      <c r="AB39" s="4"/>
      <c r="AC39" s="4"/>
    </row>
    <row r="40" s="1" customFormat="1" spans="2:29">
      <c r="G40" s="2"/>
      <c r="N40" s="6"/>
      <c r="Q40" s="2"/>
      <c r="U40" s="2"/>
      <c r="V40" s="3"/>
      <c r="AB40" s="4"/>
      <c r="AC40" s="4"/>
    </row>
    <row r="41" s="1" customFormat="1" spans="2:29">
      <c r="G41" s="2"/>
      <c r="N41" s="6"/>
      <c r="Q41" s="2"/>
      <c r="U41" s="2"/>
      <c r="V41" s="3"/>
      <c r="AB41" s="4"/>
      <c r="AC41" s="4"/>
    </row>
    <row r="42" s="1" customFormat="1" spans="2:29">
      <c r="G42" s="2"/>
      <c r="N42" s="6"/>
      <c r="Q42" s="2"/>
      <c r="U42" s="2"/>
      <c r="V42" s="3"/>
      <c r="AB42" s="4"/>
      <c r="AC42" s="4"/>
    </row>
    <row r="43" s="1" customFormat="1" spans="2:29">
      <c r="G43" s="2"/>
      <c r="N43" s="6"/>
      <c r="Q43" s="2"/>
      <c r="U43" s="2"/>
      <c r="V43" s="3"/>
      <c r="AB43" s="4"/>
      <c r="AC43" s="4"/>
    </row>
    <row r="44" s="1" customFormat="1" spans="2:29">
      <c r="G44" s="2"/>
      <c r="N44" s="6"/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conditionalFormatting sqref="K29:K33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9"/>
  <sheetViews>
    <sheetView topLeftCell="D16" workbookViewId="0">
      <selection activeCell="N30" sqref="N30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4" style="1" customWidth="1"/>
    <col min="13" max="13" width="7.92727272727273" style="1" customWidth="1"/>
    <col min="14" max="15" width="12.8181818181818" style="1"/>
    <col min="16" max="16" width="9.54545454545454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3" width="8.15454545454545" style="1" customWidth="1"/>
    <col min="24" max="24" width="12.9272727272727" style="1" customWidth="1"/>
    <col min="25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3" width="9.69090909090909" style="1"/>
  </cols>
  <sheetData>
    <row r="1" s="1" customFormat="1" ht="15" spans="2:3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P1" s="7" t="s">
        <v>1</v>
      </c>
      <c r="Q1" s="8" t="s">
        <v>2</v>
      </c>
      <c r="R1" s="9" t="s">
        <v>3</v>
      </c>
      <c r="S1" s="9" t="s">
        <v>4</v>
      </c>
      <c r="T1" s="9" t="s">
        <v>5</v>
      </c>
      <c r="U1" s="8" t="s">
        <v>6</v>
      </c>
      <c r="V1" s="10" t="s">
        <v>7</v>
      </c>
      <c r="W1" s="9" t="s">
        <v>8</v>
      </c>
      <c r="X1" s="9" t="s">
        <v>9</v>
      </c>
      <c r="Y1" s="9" t="s">
        <v>10</v>
      </c>
      <c r="Z1" s="9" t="s">
        <v>11</v>
      </c>
      <c r="AA1" s="9" t="s">
        <v>12</v>
      </c>
      <c r="AB1" s="11" t="s">
        <v>13</v>
      </c>
      <c r="AC1" s="12" t="s">
        <v>14</v>
      </c>
      <c r="AD1" s="13" t="s">
        <v>15</v>
      </c>
      <c r="AE1" s="14" t="s">
        <v>9</v>
      </c>
      <c r="AF1" s="14" t="s">
        <v>16</v>
      </c>
    </row>
    <row r="2" s="1" customFormat="1" spans="2:32">
      <c r="B2" s="15" t="s">
        <v>17</v>
      </c>
      <c r="C2" s="16"/>
      <c r="D2" s="15" t="s">
        <v>6</v>
      </c>
      <c r="E2" s="16"/>
      <c r="F2" s="15" t="s">
        <v>18</v>
      </c>
      <c r="G2" s="16"/>
      <c r="H2" s="15" t="s">
        <v>19</v>
      </c>
      <c r="I2" s="16"/>
      <c r="J2" s="15" t="s">
        <v>8</v>
      </c>
      <c r="K2" s="16"/>
      <c r="L2" s="15" t="s">
        <v>20</v>
      </c>
      <c r="M2" s="16"/>
      <c r="N2" s="6"/>
      <c r="P2" s="17" t="s">
        <v>21</v>
      </c>
      <c r="Q2" s="18">
        <f>198.81%</f>
        <v>1.9881</v>
      </c>
      <c r="R2" s="19" t="s">
        <v>21</v>
      </c>
      <c r="S2" s="19">
        <f t="shared" ref="S2:S16" si="0">$C$3</f>
        <v>1011</v>
      </c>
      <c r="T2" s="18">
        <f>(C$4+C$5+C$6+C$7)+(C$8+C$9)/S$2-22.5%</f>
        <v>2.5731918892186</v>
      </c>
      <c r="U2" s="18">
        <f>SUM($E$3:$E$5)-12%</f>
        <v>1.46</v>
      </c>
      <c r="V2" s="20">
        <f>1+$G$8*($I$8-1-0.25)</f>
        <v>2.77</v>
      </c>
      <c r="W2" s="21">
        <v>0.15</v>
      </c>
      <c r="X2" s="19">
        <f t="shared" ref="X2:X16" si="1">AE$3</f>
        <v>0.50131926121372</v>
      </c>
      <c r="Y2" s="19">
        <v>0.8</v>
      </c>
      <c r="Z2" s="22">
        <v>0</v>
      </c>
      <c r="AA2" s="22">
        <v>0</v>
      </c>
      <c r="AB2" s="22">
        <v>0</v>
      </c>
      <c r="AC2" s="23">
        <f t="shared" ref="AC2:AC26" si="2">Q2*S2*(1+T2)*(1+U2)*V2*(1+W2)*X2*Y2*(1+Z2)*(1+AA2)*(1+AB2)</f>
        <v>22571.6244037847</v>
      </c>
      <c r="AD2" s="13">
        <v>0</v>
      </c>
      <c r="AE2" s="14">
        <f t="shared" ref="AE2:AE7" si="3">1520/(1520+(792+8*AF2)*(1-AD2/100))</f>
        <v>0.50131926121372</v>
      </c>
      <c r="AF2" s="24">
        <v>90</v>
      </c>
    </row>
    <row r="3" s="1" customFormat="1" spans="2:32">
      <c r="B3" s="25" t="s">
        <v>22</v>
      </c>
      <c r="C3" s="26">
        <f>424+587</f>
        <v>1011</v>
      </c>
      <c r="D3" s="25" t="s">
        <v>23</v>
      </c>
      <c r="E3" s="27">
        <f>12%*2+34%+24%*2</f>
        <v>1.06</v>
      </c>
      <c r="F3" s="25" t="s">
        <v>24</v>
      </c>
      <c r="G3" s="27">
        <v>0.05</v>
      </c>
      <c r="H3" s="25" t="s">
        <v>24</v>
      </c>
      <c r="I3" s="28">
        <f>150%+16%</f>
        <v>1.66</v>
      </c>
      <c r="J3" s="29" t="s">
        <v>25</v>
      </c>
      <c r="K3" s="28">
        <f>15%+15%+25%</f>
        <v>0.55</v>
      </c>
      <c r="L3" s="25" t="s">
        <v>26</v>
      </c>
      <c r="M3" s="27">
        <f>8.6%*2</f>
        <v>0.172</v>
      </c>
      <c r="N3" s="6"/>
      <c r="P3" s="17" t="s">
        <v>27</v>
      </c>
      <c r="Q3" s="18">
        <f>405%</f>
        <v>4.05</v>
      </c>
      <c r="R3" s="19" t="s">
        <v>27</v>
      </c>
      <c r="S3" s="19">
        <f t="shared" si="0"/>
        <v>1011</v>
      </c>
      <c r="T3" s="18">
        <f>(C$4+C$5+C$6+C$7)+(C$8+C$9)/S$2-22.5%</f>
        <v>2.5731918892186</v>
      </c>
      <c r="U3" s="18">
        <f>SUM($E$3:$E$5)-12%</f>
        <v>1.46</v>
      </c>
      <c r="V3" s="20">
        <f>1+$G$8*($I$8-1-0.25)</f>
        <v>2.77</v>
      </c>
      <c r="W3" s="21">
        <v>0.15</v>
      </c>
      <c r="X3" s="19">
        <f t="shared" si="1"/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si="2"/>
        <v>45981.1271240521</v>
      </c>
      <c r="AD3" s="13">
        <v>0</v>
      </c>
      <c r="AE3" s="14">
        <f t="shared" si="3"/>
        <v>0.50131926121372</v>
      </c>
      <c r="AF3" s="24">
        <v>90</v>
      </c>
    </row>
    <row r="4" s="1" customFormat="1" spans="2:32">
      <c r="B4" s="25" t="s">
        <v>28</v>
      </c>
      <c r="C4" s="28">
        <f>12%</f>
        <v>0.12</v>
      </c>
      <c r="D4" s="25" t="s">
        <v>29</v>
      </c>
      <c r="E4" s="27">
        <v>0.12</v>
      </c>
      <c r="F4" s="25" t="s">
        <v>30</v>
      </c>
      <c r="G4" s="27">
        <v>0.243</v>
      </c>
      <c r="H4" s="25" t="s">
        <v>31</v>
      </c>
      <c r="I4" s="27">
        <f>M6</f>
        <v>0.81</v>
      </c>
      <c r="J4" s="30" t="s">
        <v>32</v>
      </c>
      <c r="K4" s="27"/>
      <c r="L4" s="25" t="s">
        <v>33</v>
      </c>
      <c r="M4" s="27">
        <f>8.6%*2</f>
        <v>0.172</v>
      </c>
      <c r="N4" s="6"/>
      <c r="P4" s="17" t="s">
        <v>21</v>
      </c>
      <c r="Q4" s="18">
        <f>198.81%</f>
        <v>1.9881</v>
      </c>
      <c r="R4" s="19" t="s">
        <v>21</v>
      </c>
      <c r="S4" s="19">
        <f t="shared" si="0"/>
        <v>1011</v>
      </c>
      <c r="T4" s="18">
        <f>(C$4+C$5+C$6+C$7)+(C$8+C$9)/S$2-22.5%</f>
        <v>2.5731918892186</v>
      </c>
      <c r="U4" s="18">
        <f>SUM($E$3:$E$5)-12%</f>
        <v>1.46</v>
      </c>
      <c r="V4" s="20">
        <f>1+$G$8*($I$8-1-0.25)</f>
        <v>2.77</v>
      </c>
      <c r="W4" s="21">
        <v>0.15</v>
      </c>
      <c r="X4" s="19">
        <f t="shared" si="1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2"/>
        <v>22571.6244037847</v>
      </c>
      <c r="AD4" s="13">
        <v>14.4</v>
      </c>
      <c r="AE4" s="14">
        <f t="shared" si="3"/>
        <v>0.540104154822277</v>
      </c>
      <c r="AF4" s="24">
        <v>90</v>
      </c>
    </row>
    <row r="5" s="1" customFormat="1" spans="2:32">
      <c r="B5" s="25" t="s">
        <v>34</v>
      </c>
      <c r="C5" s="28">
        <f>18%+18%+M3</f>
        <v>0.532</v>
      </c>
      <c r="D5" s="25" t="s">
        <v>35</v>
      </c>
      <c r="E5" s="27">
        <v>0.4</v>
      </c>
      <c r="F5" s="25" t="s">
        <v>36</v>
      </c>
      <c r="G5" s="27"/>
      <c r="H5" s="25" t="s">
        <v>30</v>
      </c>
      <c r="I5" s="27"/>
      <c r="J5" s="30" t="s">
        <v>37</v>
      </c>
      <c r="K5" s="27">
        <v>0.25</v>
      </c>
      <c r="L5" s="25" t="s">
        <v>18</v>
      </c>
      <c r="M5" s="27">
        <f>8.1*5%</f>
        <v>0.405</v>
      </c>
      <c r="N5" s="6"/>
      <c r="P5" s="31" t="s">
        <v>38</v>
      </c>
      <c r="Q5" s="32">
        <f>99.41%*2</f>
        <v>1.9882</v>
      </c>
      <c r="R5" s="33" t="s">
        <v>39</v>
      </c>
      <c r="S5" s="33">
        <f t="shared" si="0"/>
        <v>1011</v>
      </c>
      <c r="T5" s="32">
        <f t="shared" ref="T5:T16" si="4">(C$4+C$5+C$6+C$7)+(C$8+C$9)/S$2</f>
        <v>2.7981918892186</v>
      </c>
      <c r="U5" s="32">
        <f>SUM($E$3:$E$7)</f>
        <v>1.9</v>
      </c>
      <c r="V5" s="34">
        <f t="shared" ref="V5:V16" si="5">1+$G$8*($I$8-1)</f>
        <v>3.02</v>
      </c>
      <c r="W5" s="35">
        <v>0.35</v>
      </c>
      <c r="X5" s="33">
        <f t="shared" si="1"/>
        <v>0.50131926121372</v>
      </c>
      <c r="Y5" s="33">
        <v>0.8</v>
      </c>
      <c r="Z5" s="36">
        <v>0</v>
      </c>
      <c r="AA5" s="36">
        <v>0</v>
      </c>
      <c r="AB5" s="36">
        <v>0</v>
      </c>
      <c r="AC5" s="37">
        <f t="shared" si="2"/>
        <v>36201.8874978015</v>
      </c>
      <c r="AD5" s="13">
        <v>21.6</v>
      </c>
      <c r="AE5" s="14">
        <f t="shared" si="3"/>
        <v>0.561837623012869</v>
      </c>
      <c r="AF5" s="24">
        <v>90</v>
      </c>
    </row>
    <row r="6" s="1" customFormat="1" spans="2:32">
      <c r="B6" s="25" t="s">
        <v>40</v>
      </c>
      <c r="C6" s="38"/>
      <c r="D6" s="25" t="s">
        <v>41</v>
      </c>
      <c r="E6" s="27"/>
      <c r="F6" s="25" t="s">
        <v>31</v>
      </c>
      <c r="G6" s="27">
        <f>M5+22%</f>
        <v>0.625</v>
      </c>
      <c r="H6" s="25"/>
      <c r="I6" s="27">
        <v>0.3</v>
      </c>
      <c r="J6" s="30"/>
      <c r="K6" s="27"/>
      <c r="L6" s="25" t="s">
        <v>42</v>
      </c>
      <c r="M6" s="28">
        <f>16.2%*5</f>
        <v>0.81</v>
      </c>
      <c r="N6" s="6"/>
      <c r="P6" s="31" t="s">
        <v>43</v>
      </c>
      <c r="Q6" s="32">
        <f>1466.06%</f>
        <v>14.6606</v>
      </c>
      <c r="R6" s="33" t="s">
        <v>43</v>
      </c>
      <c r="S6" s="33">
        <f t="shared" si="0"/>
        <v>1011</v>
      </c>
      <c r="T6" s="32">
        <f t="shared" si="4"/>
        <v>2.7981918892186</v>
      </c>
      <c r="U6" s="32">
        <f t="shared" ref="U6:U9" si="6">SUM($E$3:$E$8)</f>
        <v>3.402</v>
      </c>
      <c r="V6" s="34">
        <f t="shared" si="5"/>
        <v>3.02</v>
      </c>
      <c r="W6" s="35">
        <f t="shared" ref="W6:W9" si="7">K$3+K$5</f>
        <v>0.8</v>
      </c>
      <c r="X6" s="33">
        <f t="shared" si="1"/>
        <v>0.50131926121372</v>
      </c>
      <c r="Y6" s="33">
        <v>0.8</v>
      </c>
      <c r="Z6" s="36">
        <v>0</v>
      </c>
      <c r="AA6" s="36">
        <v>0</v>
      </c>
      <c r="AB6" s="36">
        <v>1</v>
      </c>
      <c r="AC6" s="37">
        <f t="shared" si="2"/>
        <v>1080547.00060235</v>
      </c>
      <c r="AD6" s="13">
        <v>28.8</v>
      </c>
      <c r="AE6" s="14">
        <f t="shared" si="3"/>
        <v>0.585393507677898</v>
      </c>
      <c r="AF6" s="24">
        <v>90</v>
      </c>
    </row>
    <row r="7" s="1" customFormat="1" spans="2:32">
      <c r="B7" s="25" t="s">
        <v>44</v>
      </c>
      <c r="C7" s="38">
        <f>27%+39%+30%*2+40%+14%</f>
        <v>1.8</v>
      </c>
      <c r="D7" s="25" t="s">
        <v>45</v>
      </c>
      <c r="E7" s="27">
        <v>0.32</v>
      </c>
      <c r="F7" s="25" t="s">
        <v>46</v>
      </c>
      <c r="G7" s="27">
        <v>0.125</v>
      </c>
      <c r="H7" s="25" t="s">
        <v>46</v>
      </c>
      <c r="I7" s="27">
        <v>0.25</v>
      </c>
      <c r="J7" s="30"/>
      <c r="K7" s="27"/>
      <c r="L7" s="25"/>
      <c r="M7" s="26"/>
      <c r="N7" s="6"/>
      <c r="P7" s="31" t="s">
        <v>21</v>
      </c>
      <c r="Q7" s="32">
        <f>49.59%*3+173.55%*2</f>
        <v>4.9587</v>
      </c>
      <c r="R7" s="33" t="s">
        <v>21</v>
      </c>
      <c r="S7" s="33">
        <f t="shared" si="0"/>
        <v>1011</v>
      </c>
      <c r="T7" s="32">
        <f t="shared" si="4"/>
        <v>2.7981918892186</v>
      </c>
      <c r="U7" s="32">
        <f>SUM($E$3:$E$7)+63%</f>
        <v>2.53</v>
      </c>
      <c r="V7" s="34">
        <f t="shared" si="5"/>
        <v>3.02</v>
      </c>
      <c r="W7" s="35">
        <v>0.35</v>
      </c>
      <c r="X7" s="33">
        <f t="shared" si="1"/>
        <v>0.50131926121372</v>
      </c>
      <c r="Y7" s="33">
        <v>0.8</v>
      </c>
      <c r="Z7" s="36">
        <v>0</v>
      </c>
      <c r="AA7" s="36">
        <v>0</v>
      </c>
      <c r="AB7" s="36">
        <v>0</v>
      </c>
      <c r="AC7" s="37">
        <f t="shared" si="2"/>
        <v>109904.55365272</v>
      </c>
      <c r="AD7" s="13">
        <v>36</v>
      </c>
      <c r="AE7" s="14">
        <f t="shared" si="3"/>
        <v>0.611011062516079</v>
      </c>
      <c r="AF7" s="24">
        <v>90</v>
      </c>
    </row>
    <row r="8" s="1" customFormat="1" spans="2:32">
      <c r="B8" s="25" t="s">
        <v>47</v>
      </c>
      <c r="C8" s="26">
        <v>350</v>
      </c>
      <c r="D8" s="25" t="s">
        <v>48</v>
      </c>
      <c r="E8" s="27">
        <f>48%*2+M4+12%+25%</f>
        <v>1.502</v>
      </c>
      <c r="F8" s="39" t="s">
        <v>49</v>
      </c>
      <c r="G8" s="40">
        <f>MIN(100%,SUM(G3:G7))</f>
        <v>1</v>
      </c>
      <c r="H8" s="39" t="s">
        <v>50</v>
      </c>
      <c r="I8" s="41">
        <f>SUM(I3:I7)</f>
        <v>3.02</v>
      </c>
      <c r="J8" s="30"/>
      <c r="K8" s="27"/>
      <c r="L8" s="25"/>
      <c r="M8" s="26"/>
      <c r="N8" s="6"/>
      <c r="P8" s="31" t="s">
        <v>51</v>
      </c>
      <c r="Q8" s="32">
        <f>21.87%*4+65.61%*2</f>
        <v>2.187</v>
      </c>
      <c r="R8" s="33" t="s">
        <v>43</v>
      </c>
      <c r="S8" s="33">
        <f t="shared" si="0"/>
        <v>1011</v>
      </c>
      <c r="T8" s="32">
        <f t="shared" si="4"/>
        <v>2.7981918892186</v>
      </c>
      <c r="U8" s="32">
        <f t="shared" si="6"/>
        <v>3.402</v>
      </c>
      <c r="V8" s="34">
        <f t="shared" si="5"/>
        <v>3.02</v>
      </c>
      <c r="W8" s="35">
        <f t="shared" si="7"/>
        <v>0.8</v>
      </c>
      <c r="X8" s="33">
        <f t="shared" si="1"/>
        <v>0.50131926121372</v>
      </c>
      <c r="Y8" s="33">
        <v>0.8</v>
      </c>
      <c r="Z8" s="36">
        <v>0</v>
      </c>
      <c r="AA8" s="36">
        <v>0</v>
      </c>
      <c r="AB8" s="36">
        <v>0</v>
      </c>
      <c r="AC8" s="37">
        <f t="shared" si="2"/>
        <v>80595.4834835322</v>
      </c>
    </row>
    <row r="9" s="1" customFormat="1" spans="2:32">
      <c r="B9" s="42" t="s">
        <v>52</v>
      </c>
      <c r="C9" s="43"/>
      <c r="D9" s="42"/>
      <c r="E9" s="44"/>
      <c r="F9" s="42"/>
      <c r="G9" s="45"/>
      <c r="H9" s="42"/>
      <c r="I9" s="43"/>
      <c r="J9" s="46"/>
      <c r="K9" s="45"/>
      <c r="L9" s="42"/>
      <c r="M9" s="43"/>
      <c r="N9" s="6"/>
      <c r="P9" s="31" t="s">
        <v>53</v>
      </c>
      <c r="Q9" s="32">
        <f t="shared" ref="Q9:Q14" si="8">95.73%*4+255.28%</f>
        <v>6.382</v>
      </c>
      <c r="R9" s="33" t="s">
        <v>43</v>
      </c>
      <c r="S9" s="33">
        <f t="shared" si="0"/>
        <v>1011</v>
      </c>
      <c r="T9" s="32">
        <f t="shared" si="4"/>
        <v>2.7981918892186</v>
      </c>
      <c r="U9" s="32">
        <f>SUM($E$3:$E$8)+63%</f>
        <v>4.032</v>
      </c>
      <c r="V9" s="34">
        <f t="shared" si="5"/>
        <v>3.02</v>
      </c>
      <c r="W9" s="35">
        <f t="shared" si="7"/>
        <v>0.8</v>
      </c>
      <c r="X9" s="33">
        <f t="shared" si="1"/>
        <v>0.50131926121372</v>
      </c>
      <c r="Y9" s="33">
        <v>0.8</v>
      </c>
      <c r="Z9" s="36">
        <v>0</v>
      </c>
      <c r="AA9" s="36">
        <v>0.76</v>
      </c>
      <c r="AB9" s="36">
        <v>0.48</v>
      </c>
      <c r="AC9" s="37">
        <f t="shared" si="2"/>
        <v>700299.311169807</v>
      </c>
    </row>
    <row r="10" s="1" customFormat="1" spans="2:32">
      <c r="B10" s="6"/>
      <c r="C10" s="6"/>
      <c r="D10" s="6"/>
      <c r="E10" s="6"/>
      <c r="F10" s="6" t="s">
        <v>54</v>
      </c>
      <c r="G10" s="47"/>
      <c r="H10" s="6"/>
      <c r="I10" s="6"/>
      <c r="J10" s="6"/>
      <c r="K10" s="6"/>
      <c r="L10" s="6"/>
      <c r="M10" s="6"/>
      <c r="N10" s="6"/>
      <c r="P10" s="31" t="s">
        <v>55</v>
      </c>
      <c r="Q10" s="32">
        <f>119.67%+60.92%*4+133.25%*2</f>
        <v>6.2985</v>
      </c>
      <c r="R10" s="33" t="s">
        <v>51</v>
      </c>
      <c r="S10" s="33">
        <f t="shared" si="0"/>
        <v>1011</v>
      </c>
      <c r="T10" s="32">
        <f t="shared" si="4"/>
        <v>2.7981918892186</v>
      </c>
      <c r="U10" s="32">
        <f>SUM($E$3:$E$7)</f>
        <v>1.9</v>
      </c>
      <c r="V10" s="34">
        <f t="shared" si="5"/>
        <v>3.02</v>
      </c>
      <c r="W10" s="35">
        <v>0.35</v>
      </c>
      <c r="X10" s="33">
        <f t="shared" si="1"/>
        <v>0.50131926121372</v>
      </c>
      <c r="Y10" s="33">
        <v>0.8</v>
      </c>
      <c r="Z10" s="36"/>
      <c r="AA10" s="36"/>
      <c r="AB10" s="36"/>
      <c r="AC10" s="37">
        <f t="shared" si="2"/>
        <v>114685.438288353</v>
      </c>
    </row>
    <row r="11" s="1" customFormat="1" spans="2:32">
      <c r="B11" s="6"/>
      <c r="C11" s="6"/>
      <c r="D11" s="6"/>
      <c r="E11" s="6"/>
      <c r="F11" s="6"/>
      <c r="G11" s="47"/>
      <c r="H11" s="6"/>
      <c r="I11" s="6"/>
      <c r="J11" s="6"/>
      <c r="K11" s="6"/>
      <c r="L11" s="6"/>
      <c r="M11" s="6"/>
      <c r="N11" s="6"/>
      <c r="P11" s="31" t="s">
        <v>53</v>
      </c>
      <c r="Q11" s="32">
        <f t="shared" si="8"/>
        <v>6.382</v>
      </c>
      <c r="R11" s="33" t="s">
        <v>43</v>
      </c>
      <c r="S11" s="33">
        <f t="shared" si="0"/>
        <v>1011</v>
      </c>
      <c r="T11" s="32">
        <f t="shared" si="4"/>
        <v>2.7981918892186</v>
      </c>
      <c r="U11" s="32">
        <f>SUM($E$3:$E$8)+63%</f>
        <v>4.032</v>
      </c>
      <c r="V11" s="34">
        <f t="shared" si="5"/>
        <v>3.02</v>
      </c>
      <c r="W11" s="35">
        <f t="shared" ref="W11:W14" si="9">K$3+K$5</f>
        <v>0.8</v>
      </c>
      <c r="X11" s="33">
        <f t="shared" si="1"/>
        <v>0.50131926121372</v>
      </c>
      <c r="Y11" s="33">
        <v>0.8</v>
      </c>
      <c r="Z11" s="36"/>
      <c r="AA11" s="36">
        <v>0.76</v>
      </c>
      <c r="AB11" s="36">
        <v>0.48</v>
      </c>
      <c r="AC11" s="37">
        <f t="shared" si="2"/>
        <v>700299.311169807</v>
      </c>
    </row>
    <row r="12" s="1" customFormat="1" ht="14.75" spans="2:32">
      <c r="B12" s="6"/>
      <c r="C12" s="6"/>
      <c r="D12" s="6"/>
      <c r="E12" s="6"/>
      <c r="F12" s="6"/>
      <c r="G12" s="47"/>
      <c r="H12" s="6"/>
      <c r="I12" s="6"/>
      <c r="J12" s="6"/>
      <c r="K12" s="6"/>
      <c r="L12" s="6"/>
      <c r="M12" s="6"/>
      <c r="N12" s="6"/>
      <c r="P12" s="31" t="s">
        <v>21</v>
      </c>
      <c r="Q12" s="32">
        <f>49.59%*3+173.55%*2</f>
        <v>4.9587</v>
      </c>
      <c r="R12" s="33" t="s">
        <v>21</v>
      </c>
      <c r="S12" s="33">
        <f t="shared" si="0"/>
        <v>1011</v>
      </c>
      <c r="T12" s="32">
        <f t="shared" si="4"/>
        <v>2.7981918892186</v>
      </c>
      <c r="U12" s="32">
        <f>SUM($E$3:$E$7)+63%</f>
        <v>2.53</v>
      </c>
      <c r="V12" s="34">
        <f t="shared" si="5"/>
        <v>3.02</v>
      </c>
      <c r="W12" s="35">
        <v>0.35</v>
      </c>
      <c r="X12" s="33">
        <f t="shared" si="1"/>
        <v>0.50131926121372</v>
      </c>
      <c r="Y12" s="33">
        <v>0.8</v>
      </c>
      <c r="Z12" s="36"/>
      <c r="AA12" s="36"/>
      <c r="AB12" s="36"/>
      <c r="AC12" s="37">
        <f t="shared" si="2"/>
        <v>109904.55365272</v>
      </c>
    </row>
    <row r="13" s="1" customFormat="1" ht="15" spans="2:32">
      <c r="B13" s="48" t="s">
        <v>56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0"/>
      <c r="N13" s="6"/>
      <c r="P13" s="31" t="s">
        <v>51</v>
      </c>
      <c r="Q13" s="32">
        <f>21.87%*4+65.61%*2</f>
        <v>2.187</v>
      </c>
      <c r="R13" s="33" t="s">
        <v>43</v>
      </c>
      <c r="S13" s="33">
        <f t="shared" si="0"/>
        <v>1011</v>
      </c>
      <c r="T13" s="32">
        <f t="shared" si="4"/>
        <v>2.7981918892186</v>
      </c>
      <c r="U13" s="32">
        <f t="shared" ref="U11:U15" si="10">SUM($E$3:$E$8)</f>
        <v>3.402</v>
      </c>
      <c r="V13" s="34">
        <f t="shared" si="5"/>
        <v>3.02</v>
      </c>
      <c r="W13" s="35">
        <f t="shared" si="9"/>
        <v>0.8</v>
      </c>
      <c r="X13" s="33">
        <f t="shared" si="1"/>
        <v>0.50131926121372</v>
      </c>
      <c r="Y13" s="33">
        <v>0.8</v>
      </c>
      <c r="Z13" s="36"/>
      <c r="AA13" s="36"/>
      <c r="AB13" s="36"/>
      <c r="AC13" s="37">
        <f t="shared" si="2"/>
        <v>80595.4834835322</v>
      </c>
    </row>
    <row r="14" s="1" customFormat="1" spans="2:32">
      <c r="B14" s="51" t="s">
        <v>17</v>
      </c>
      <c r="C14" s="52"/>
      <c r="D14" s="51" t="s">
        <v>6</v>
      </c>
      <c r="E14" s="52"/>
      <c r="F14" s="51" t="s">
        <v>18</v>
      </c>
      <c r="G14" s="52"/>
      <c r="H14" s="51" t="s">
        <v>19</v>
      </c>
      <c r="I14" s="52"/>
      <c r="J14" s="53" t="s">
        <v>8</v>
      </c>
      <c r="K14" s="53"/>
      <c r="L14" s="51" t="s">
        <v>20</v>
      </c>
      <c r="M14" s="52"/>
      <c r="N14" s="6"/>
      <c r="P14" s="31" t="s">
        <v>53</v>
      </c>
      <c r="Q14" s="32">
        <f t="shared" si="8"/>
        <v>6.382</v>
      </c>
      <c r="R14" s="33" t="s">
        <v>43</v>
      </c>
      <c r="S14" s="33">
        <f t="shared" si="0"/>
        <v>1011</v>
      </c>
      <c r="T14" s="32">
        <f t="shared" si="4"/>
        <v>2.7981918892186</v>
      </c>
      <c r="U14" s="32">
        <f>SUM($E$3:$E$8)+63%</f>
        <v>4.032</v>
      </c>
      <c r="V14" s="34">
        <f t="shared" si="5"/>
        <v>3.02</v>
      </c>
      <c r="W14" s="35">
        <f t="shared" si="9"/>
        <v>0.8</v>
      </c>
      <c r="X14" s="33">
        <f t="shared" si="1"/>
        <v>0.50131926121372</v>
      </c>
      <c r="Y14" s="33">
        <v>0.8</v>
      </c>
      <c r="Z14" s="36">
        <v>0</v>
      </c>
      <c r="AA14" s="36">
        <v>0.76</v>
      </c>
      <c r="AB14" s="36">
        <v>0.48</v>
      </c>
      <c r="AC14" s="37">
        <f t="shared" si="2"/>
        <v>700299.311169807</v>
      </c>
    </row>
    <row r="15" s="1" customFormat="1" spans="2:32">
      <c r="B15" s="25" t="s">
        <v>22</v>
      </c>
      <c r="C15" s="26">
        <f>375+500</f>
        <v>875</v>
      </c>
      <c r="D15" s="25" t="s">
        <v>23</v>
      </c>
      <c r="E15" s="28">
        <v>0.6</v>
      </c>
      <c r="F15" s="25" t="s">
        <v>24</v>
      </c>
      <c r="G15" s="27">
        <v>0.13</v>
      </c>
      <c r="H15" s="25" t="s">
        <v>24</v>
      </c>
      <c r="I15" s="28">
        <v>1.5</v>
      </c>
      <c r="J15" s="54" t="s">
        <v>25</v>
      </c>
      <c r="K15" s="55">
        <v>0.15</v>
      </c>
      <c r="L15" s="25" t="s">
        <v>26</v>
      </c>
      <c r="M15" s="27">
        <f>8.6%*2</f>
        <v>0.172</v>
      </c>
      <c r="N15" s="6"/>
      <c r="P15" s="31" t="s">
        <v>57</v>
      </c>
      <c r="Q15" s="32">
        <f>397.82%</f>
        <v>3.9782</v>
      </c>
      <c r="R15" s="33" t="s">
        <v>43</v>
      </c>
      <c r="S15" s="33">
        <f t="shared" si="0"/>
        <v>1011</v>
      </c>
      <c r="T15" s="32">
        <f t="shared" si="4"/>
        <v>2.7981918892186</v>
      </c>
      <c r="U15" s="32">
        <f t="shared" si="10"/>
        <v>3.402</v>
      </c>
      <c r="V15" s="34">
        <f t="shared" si="5"/>
        <v>3.02</v>
      </c>
      <c r="W15" s="35">
        <v>0.15</v>
      </c>
      <c r="X15" s="33">
        <f t="shared" si="1"/>
        <v>0.50131926121372</v>
      </c>
      <c r="Y15" s="33">
        <v>0.8</v>
      </c>
      <c r="Z15" s="36"/>
      <c r="AA15" s="36"/>
      <c r="AB15" s="36"/>
      <c r="AC15" s="37">
        <f t="shared" si="2"/>
        <v>93664.2522108713</v>
      </c>
    </row>
    <row r="16" s="1" customFormat="1" spans="2:32">
      <c r="B16" s="25" t="s">
        <v>28</v>
      </c>
      <c r="C16" s="28">
        <f>12%+53.9%</f>
        <v>0.659</v>
      </c>
      <c r="D16" s="25" t="s">
        <v>29</v>
      </c>
      <c r="E16" s="28"/>
      <c r="F16" s="25" t="s">
        <v>30</v>
      </c>
      <c r="G16" s="56">
        <v>0</v>
      </c>
      <c r="H16" s="25" t="s">
        <v>31</v>
      </c>
      <c r="I16" s="27">
        <f>M18</f>
        <v>0.81</v>
      </c>
      <c r="J16" s="30" t="s">
        <v>58</v>
      </c>
      <c r="K16" s="27"/>
      <c r="L16" s="25" t="s">
        <v>59</v>
      </c>
      <c r="M16" s="27">
        <f>8.6%*2</f>
        <v>0.172</v>
      </c>
      <c r="N16" s="6"/>
      <c r="P16" s="31" t="s">
        <v>60</v>
      </c>
      <c r="Q16" s="32">
        <f>237.63%*2</f>
        <v>4.7526</v>
      </c>
      <c r="R16" s="33" t="s">
        <v>61</v>
      </c>
      <c r="S16" s="33">
        <f t="shared" si="0"/>
        <v>1011</v>
      </c>
      <c r="T16" s="32">
        <f t="shared" si="4"/>
        <v>2.7981918892186</v>
      </c>
      <c r="U16" s="32">
        <f>SUM($E$3:$E$7)</f>
        <v>1.9</v>
      </c>
      <c r="V16" s="34">
        <f t="shared" si="5"/>
        <v>3.02</v>
      </c>
      <c r="W16" s="35">
        <v>0.15</v>
      </c>
      <c r="X16" s="33">
        <f t="shared" si="1"/>
        <v>0.50131926121372</v>
      </c>
      <c r="Y16" s="33">
        <v>0.8</v>
      </c>
      <c r="Z16" s="36">
        <v>0</v>
      </c>
      <c r="AA16" s="36">
        <v>0</v>
      </c>
      <c r="AB16" s="36">
        <v>2.22</v>
      </c>
      <c r="AC16" s="37">
        <f t="shared" si="2"/>
        <v>237368.099268334</v>
      </c>
    </row>
    <row r="17" s="1" customFormat="1" spans="2:29">
      <c r="B17" s="25" t="s">
        <v>34</v>
      </c>
      <c r="C17" s="28">
        <f>18%+18%+M15</f>
        <v>0.532</v>
      </c>
      <c r="D17" s="25" t="s">
        <v>35</v>
      </c>
      <c r="E17" s="28"/>
      <c r="F17" s="25" t="s">
        <v>36</v>
      </c>
      <c r="G17" s="27"/>
      <c r="H17" s="25" t="s">
        <v>36</v>
      </c>
      <c r="I17" s="27"/>
      <c r="J17" s="30"/>
      <c r="K17" s="27"/>
      <c r="L17" s="25" t="s">
        <v>18</v>
      </c>
      <c r="M17" s="27">
        <f>8.1*5%</f>
        <v>0.405</v>
      </c>
      <c r="N17" s="6"/>
      <c r="P17" s="57" t="s">
        <v>55</v>
      </c>
      <c r="Q17" s="58">
        <f>41.76%*2+20.55%*5+133.61%</f>
        <v>3.1988</v>
      </c>
      <c r="R17" s="59" t="s">
        <v>51</v>
      </c>
      <c r="S17" s="59">
        <f t="shared" ref="S17:S26" si="11">C$15</f>
        <v>875</v>
      </c>
      <c r="T17" s="58">
        <f t="shared" ref="T17:T26" si="12">(C$16+C$17+C$18+C$19)+(C$20+C$21)/C$15</f>
        <v>2.161</v>
      </c>
      <c r="U17" s="58">
        <f t="shared" ref="U17:U26" si="13">E$15+E$20</f>
        <v>0.94</v>
      </c>
      <c r="V17" s="60">
        <f t="shared" ref="V17:V19" si="14">G$20*(I$20-1)+1</f>
        <v>2.1528</v>
      </c>
      <c r="W17" s="61">
        <f t="shared" ref="W17:W26" si="15">K$15</f>
        <v>0.15</v>
      </c>
      <c r="X17" s="59">
        <f t="shared" ref="X17:X26" si="16">AE$2</f>
        <v>0.50131926121372</v>
      </c>
      <c r="Y17" s="59">
        <v>0.8</v>
      </c>
      <c r="Z17" s="61"/>
      <c r="AA17" s="61"/>
      <c r="AB17" s="62"/>
      <c r="AC17" s="63">
        <f t="shared" si="2"/>
        <v>17042.2632382797</v>
      </c>
    </row>
    <row r="18" s="1" customFormat="1" spans="2:29">
      <c r="B18" s="25" t="s">
        <v>40</v>
      </c>
      <c r="C18" s="38">
        <v>0.18</v>
      </c>
      <c r="D18" s="25" t="s">
        <v>41</v>
      </c>
      <c r="E18" s="28"/>
      <c r="F18" s="25" t="s">
        <v>31</v>
      </c>
      <c r="G18" s="27">
        <f>M17+22%</f>
        <v>0.625</v>
      </c>
      <c r="H18" s="25"/>
      <c r="I18" s="27"/>
      <c r="J18" s="30"/>
      <c r="K18" s="27"/>
      <c r="L18" s="25" t="s">
        <v>42</v>
      </c>
      <c r="M18" s="28">
        <f>16.2%*5</f>
        <v>0.81</v>
      </c>
      <c r="N18" s="6"/>
      <c r="P18" s="57" t="s">
        <v>62</v>
      </c>
      <c r="Q18" s="58">
        <f>86.16%*3</f>
        <v>2.5848</v>
      </c>
      <c r="R18" s="59" t="s">
        <v>39</v>
      </c>
      <c r="S18" s="59">
        <f t="shared" si="11"/>
        <v>875</v>
      </c>
      <c r="T18" s="58">
        <f t="shared" si="12"/>
        <v>2.161</v>
      </c>
      <c r="U18" s="58">
        <f t="shared" si="13"/>
        <v>0.94</v>
      </c>
      <c r="V18" s="60">
        <f t="shared" si="14"/>
        <v>2.1528</v>
      </c>
      <c r="W18" s="61">
        <f t="shared" si="15"/>
        <v>0.15</v>
      </c>
      <c r="X18" s="59">
        <f t="shared" si="16"/>
        <v>0.50131926121372</v>
      </c>
      <c r="Y18" s="59">
        <v>0.8</v>
      </c>
      <c r="Z18" s="61"/>
      <c r="AA18" s="61"/>
      <c r="AB18" s="62"/>
      <c r="AC18" s="63">
        <f t="shared" si="2"/>
        <v>13771.0522753237</v>
      </c>
    </row>
    <row r="19" s="1" customFormat="1" spans="2:29">
      <c r="B19" s="25" t="s">
        <v>44</v>
      </c>
      <c r="C19" s="38">
        <v>0.39</v>
      </c>
      <c r="D19" s="25" t="s">
        <v>63</v>
      </c>
      <c r="E19" s="56"/>
      <c r="F19" s="25" t="s">
        <v>46</v>
      </c>
      <c r="G19" s="27">
        <v>0.125</v>
      </c>
      <c r="H19" s="25" t="s">
        <v>46</v>
      </c>
      <c r="I19" s="27">
        <v>0</v>
      </c>
      <c r="J19" s="30"/>
      <c r="K19" s="27"/>
      <c r="L19" s="25"/>
      <c r="M19" s="26"/>
      <c r="N19" s="6"/>
      <c r="P19" s="57" t="s">
        <v>64</v>
      </c>
      <c r="Q19" s="58">
        <f>98.42%*3</f>
        <v>2.9526</v>
      </c>
      <c r="R19" s="59" t="s">
        <v>21</v>
      </c>
      <c r="S19" s="59">
        <f t="shared" si="11"/>
        <v>875</v>
      </c>
      <c r="T19" s="58">
        <f t="shared" si="12"/>
        <v>2.161</v>
      </c>
      <c r="U19" s="58">
        <f t="shared" si="13"/>
        <v>0.94</v>
      </c>
      <c r="V19" s="60">
        <f t="shared" si="14"/>
        <v>2.1528</v>
      </c>
      <c r="W19" s="61">
        <f t="shared" si="15"/>
        <v>0.15</v>
      </c>
      <c r="X19" s="59">
        <f t="shared" si="16"/>
        <v>0.50131926121372</v>
      </c>
      <c r="Y19" s="59">
        <v>0.8</v>
      </c>
      <c r="Z19" s="61"/>
      <c r="AA19" s="61"/>
      <c r="AB19" s="62"/>
      <c r="AC19" s="63">
        <f t="shared" si="2"/>
        <v>15730.5822300065</v>
      </c>
    </row>
    <row r="20" s="1" customFormat="1" spans="2:29">
      <c r="B20" s="25" t="s">
        <v>47</v>
      </c>
      <c r="C20" s="26">
        <v>350</v>
      </c>
      <c r="D20" s="25" t="s">
        <v>65</v>
      </c>
      <c r="E20" s="28">
        <f>18%+16%</f>
        <v>0.34</v>
      </c>
      <c r="F20" s="39" t="s">
        <v>49</v>
      </c>
      <c r="G20" s="40">
        <f>MIN(100%,SUM(G15:G19))</f>
        <v>0.88</v>
      </c>
      <c r="H20" s="39" t="s">
        <v>50</v>
      </c>
      <c r="I20" s="41">
        <f>SUM(I15:I19)</f>
        <v>2.31</v>
      </c>
      <c r="J20" s="30"/>
      <c r="K20" s="27"/>
      <c r="L20" s="25"/>
      <c r="M20" s="26"/>
      <c r="N20" s="6"/>
      <c r="P20" s="57" t="s">
        <v>66</v>
      </c>
      <c r="Q20" s="58">
        <f>65.21%*2</f>
        <v>1.3042</v>
      </c>
      <c r="R20" s="59" t="s">
        <v>51</v>
      </c>
      <c r="S20" s="59">
        <f t="shared" si="11"/>
        <v>875</v>
      </c>
      <c r="T20" s="58">
        <f t="shared" si="12"/>
        <v>2.161</v>
      </c>
      <c r="U20" s="58">
        <f t="shared" si="13"/>
        <v>0.94</v>
      </c>
      <c r="V20" s="60">
        <f>(G$20-0.125)*(I$20-1)+1</f>
        <v>1.98905</v>
      </c>
      <c r="W20" s="61">
        <f t="shared" si="15"/>
        <v>0.15</v>
      </c>
      <c r="X20" s="59">
        <f t="shared" si="16"/>
        <v>0.50131926121372</v>
      </c>
      <c r="Y20" s="59">
        <v>0.8</v>
      </c>
      <c r="Z20" s="61"/>
      <c r="AA20" s="61"/>
      <c r="AB20" s="62"/>
      <c r="AC20" s="63">
        <f t="shared" si="2"/>
        <v>6419.87235828066</v>
      </c>
    </row>
    <row r="21" s="1" customFormat="1" spans="2:29">
      <c r="B21" s="42" t="s">
        <v>52</v>
      </c>
      <c r="C21" s="43"/>
      <c r="D21" s="42"/>
      <c r="E21" s="44"/>
      <c r="F21" s="42"/>
      <c r="G21" s="44"/>
      <c r="H21" s="42"/>
      <c r="I21" s="43"/>
      <c r="J21" s="46"/>
      <c r="K21" s="45"/>
      <c r="L21" s="42"/>
      <c r="M21" s="43"/>
      <c r="N21" s="6"/>
      <c r="P21" s="57" t="s">
        <v>67</v>
      </c>
      <c r="Q21" s="58">
        <f>65.21%*4</f>
        <v>2.6084</v>
      </c>
      <c r="R21" s="59" t="s">
        <v>51</v>
      </c>
      <c r="S21" s="59">
        <f t="shared" si="11"/>
        <v>875</v>
      </c>
      <c r="T21" s="58">
        <f t="shared" si="12"/>
        <v>2.161</v>
      </c>
      <c r="U21" s="58">
        <f t="shared" si="13"/>
        <v>0.94</v>
      </c>
      <c r="V21" s="60">
        <f t="shared" ref="V21:V26" si="17">G$20*(I$20-1)+1</f>
        <v>2.1528</v>
      </c>
      <c r="W21" s="61">
        <f t="shared" si="15"/>
        <v>0.15</v>
      </c>
      <c r="X21" s="59">
        <f t="shared" si="16"/>
        <v>0.50131926121372</v>
      </c>
      <c r="Y21" s="59">
        <v>0.8</v>
      </c>
      <c r="Z21" s="61"/>
      <c r="AA21" s="61"/>
      <c r="AB21" s="62"/>
      <c r="AC21" s="63">
        <f t="shared" si="2"/>
        <v>13896.7861168966</v>
      </c>
    </row>
    <row r="22" s="1" customFormat="1" ht="15" spans="2:29">
      <c r="B22" s="64" t="s">
        <v>68</v>
      </c>
      <c r="C22" s="6"/>
      <c r="D22" s="6"/>
      <c r="E22" s="6"/>
      <c r="F22" s="6"/>
      <c r="G22" s="47"/>
      <c r="H22" s="6"/>
      <c r="I22" s="6"/>
      <c r="J22" s="6"/>
      <c r="K22" s="6"/>
      <c r="L22" s="6"/>
      <c r="M22" s="6"/>
      <c r="N22" s="6"/>
      <c r="P22" s="57" t="s">
        <v>69</v>
      </c>
      <c r="Q22" s="58">
        <f>65.21%*15</f>
        <v>9.7815</v>
      </c>
      <c r="R22" s="59" t="s">
        <v>51</v>
      </c>
      <c r="S22" s="59">
        <f t="shared" si="11"/>
        <v>875</v>
      </c>
      <c r="T22" s="58">
        <f t="shared" si="12"/>
        <v>2.161</v>
      </c>
      <c r="U22" s="58">
        <f t="shared" si="13"/>
        <v>0.94</v>
      </c>
      <c r="V22" s="60">
        <f>G$20*(I$20-1+25%)+1</f>
        <v>2.3728</v>
      </c>
      <c r="W22" s="61">
        <f t="shared" si="15"/>
        <v>0.15</v>
      </c>
      <c r="X22" s="59">
        <f t="shared" si="16"/>
        <v>0.50131926121372</v>
      </c>
      <c r="Y22" s="59">
        <v>0.8</v>
      </c>
      <c r="Z22" s="61"/>
      <c r="AA22" s="61"/>
      <c r="AB22" s="62"/>
      <c r="AC22" s="63">
        <f t="shared" si="2"/>
        <v>57438.5000316546</v>
      </c>
    </row>
    <row r="23" s="1" customFormat="1" spans="2:29">
      <c r="B23" s="65"/>
      <c r="C23" s="65" t="s">
        <v>70</v>
      </c>
      <c r="D23" s="65" t="s">
        <v>71</v>
      </c>
      <c r="E23" s="65" t="s">
        <v>72</v>
      </c>
      <c r="F23" s="66"/>
      <c r="G23" s="47"/>
      <c r="H23" s="6"/>
      <c r="I23" s="6"/>
      <c r="J23" s="6"/>
      <c r="K23" s="6"/>
      <c r="L23" s="6"/>
      <c r="M23" s="6"/>
      <c r="N23" s="6"/>
      <c r="P23" s="57" t="s">
        <v>73</v>
      </c>
      <c r="Q23" s="58">
        <f>83.01%*3</f>
        <v>2.4903</v>
      </c>
      <c r="R23" s="59" t="s">
        <v>74</v>
      </c>
      <c r="S23" s="59">
        <f t="shared" si="11"/>
        <v>875</v>
      </c>
      <c r="T23" s="58">
        <f t="shared" si="12"/>
        <v>2.161</v>
      </c>
      <c r="U23" s="58">
        <f t="shared" si="13"/>
        <v>0.94</v>
      </c>
      <c r="V23" s="60">
        <f t="shared" si="17"/>
        <v>2.1528</v>
      </c>
      <c r="W23" s="61">
        <f t="shared" si="15"/>
        <v>0.15</v>
      </c>
      <c r="X23" s="59">
        <f t="shared" si="16"/>
        <v>0.50131926121372</v>
      </c>
      <c r="Y23" s="59">
        <v>0.8</v>
      </c>
      <c r="Z23" s="61"/>
      <c r="AA23" s="61"/>
      <c r="AB23" s="62"/>
      <c r="AC23" s="63">
        <f t="shared" si="2"/>
        <v>13267.584138517</v>
      </c>
    </row>
    <row r="24" s="1" customFormat="1" spans="2:29">
      <c r="B24" s="67" t="s">
        <v>75</v>
      </c>
      <c r="C24" s="67">
        <f>SUM(AC2:AC16)</f>
        <v>4135489.06158126</v>
      </c>
      <c r="D24" s="67">
        <f>C24/E24</f>
        <v>165419.56246325</v>
      </c>
      <c r="E24" s="66">
        <v>25</v>
      </c>
      <c r="F24" s="66"/>
      <c r="G24" s="47"/>
      <c r="H24" s="6"/>
      <c r="I24" s="6"/>
      <c r="J24" s="6"/>
      <c r="K24" s="6"/>
      <c r="L24" s="6"/>
      <c r="M24" s="6"/>
      <c r="N24" s="6"/>
      <c r="P24" s="68" t="s">
        <v>76</v>
      </c>
      <c r="Q24" s="58">
        <v>2.9822</v>
      </c>
      <c r="R24" s="59" t="s">
        <v>51</v>
      </c>
      <c r="S24" s="59">
        <f t="shared" si="11"/>
        <v>875</v>
      </c>
      <c r="T24" s="58">
        <f t="shared" si="12"/>
        <v>2.161</v>
      </c>
      <c r="U24" s="58">
        <f t="shared" si="13"/>
        <v>0.94</v>
      </c>
      <c r="V24" s="60">
        <f t="shared" si="17"/>
        <v>2.1528</v>
      </c>
      <c r="W24" s="61">
        <f t="shared" si="15"/>
        <v>0.15</v>
      </c>
      <c r="X24" s="59">
        <f t="shared" si="16"/>
        <v>0.50131926121372</v>
      </c>
      <c r="Y24" s="59">
        <v>0.8</v>
      </c>
      <c r="Z24" s="61"/>
      <c r="AA24" s="61"/>
      <c r="AB24" s="62"/>
      <c r="AC24" s="63">
        <f t="shared" si="2"/>
        <v>15888.2823024878</v>
      </c>
    </row>
    <row r="25" s="1" customFormat="1" spans="2:29">
      <c r="B25" s="67"/>
      <c r="C25" s="67">
        <v>514685</v>
      </c>
      <c r="D25" s="67"/>
      <c r="E25" s="47"/>
      <c r="F25" s="6"/>
      <c r="G25" s="47"/>
      <c r="H25" s="6"/>
      <c r="I25" s="6"/>
      <c r="J25" s="6"/>
      <c r="K25" s="6"/>
      <c r="L25" s="6"/>
      <c r="M25" s="6"/>
      <c r="N25" s="6"/>
      <c r="P25" s="57" t="s">
        <v>78</v>
      </c>
      <c r="Q25" s="58">
        <f>119.29%*3</f>
        <v>3.5787</v>
      </c>
      <c r="R25" s="59" t="s">
        <v>51</v>
      </c>
      <c r="S25" s="59">
        <f t="shared" si="11"/>
        <v>875</v>
      </c>
      <c r="T25" s="58">
        <f t="shared" si="12"/>
        <v>2.161</v>
      </c>
      <c r="U25" s="58">
        <f t="shared" si="13"/>
        <v>0.94</v>
      </c>
      <c r="V25" s="60">
        <f t="shared" si="17"/>
        <v>2.1528</v>
      </c>
      <c r="W25" s="61">
        <f t="shared" si="15"/>
        <v>0.15</v>
      </c>
      <c r="X25" s="59">
        <f t="shared" si="16"/>
        <v>0.50131926121372</v>
      </c>
      <c r="Y25" s="59">
        <v>0.8</v>
      </c>
      <c r="Z25" s="61"/>
      <c r="AA25" s="61"/>
      <c r="AB25" s="62"/>
      <c r="AC25" s="63">
        <f t="shared" si="2"/>
        <v>19066.2584252944</v>
      </c>
    </row>
    <row r="26" s="1" customFormat="1" spans="2:29">
      <c r="B26" s="67" t="s">
        <v>79</v>
      </c>
      <c r="C26" s="67">
        <v>50000</v>
      </c>
      <c r="D26" s="67">
        <f>C26/E24</f>
        <v>2000</v>
      </c>
      <c r="E26" s="6"/>
      <c r="F26" s="6"/>
      <c r="G26" s="47"/>
      <c r="H26" s="6"/>
      <c r="I26" s="6"/>
      <c r="J26" s="6"/>
      <c r="K26" s="6"/>
      <c r="L26" s="6"/>
      <c r="M26" s="6"/>
      <c r="N26" s="6"/>
      <c r="P26" s="57" t="s">
        <v>27</v>
      </c>
      <c r="Q26" s="58">
        <v>3.1</v>
      </c>
      <c r="R26" s="59" t="s">
        <v>27</v>
      </c>
      <c r="S26" s="59">
        <f t="shared" si="11"/>
        <v>875</v>
      </c>
      <c r="T26" s="58">
        <f t="shared" si="12"/>
        <v>2.161</v>
      </c>
      <c r="U26" s="58">
        <f t="shared" si="13"/>
        <v>0.94</v>
      </c>
      <c r="V26" s="60">
        <f t="shared" si="17"/>
        <v>2.1528</v>
      </c>
      <c r="W26" s="61">
        <f t="shared" si="15"/>
        <v>0.15</v>
      </c>
      <c r="X26" s="59">
        <f t="shared" si="16"/>
        <v>0.50131926121372</v>
      </c>
      <c r="Y26" s="59">
        <v>0.8</v>
      </c>
      <c r="Z26" s="61"/>
      <c r="AA26" s="61"/>
      <c r="AB26" s="62"/>
      <c r="AC26" s="63">
        <f t="shared" si="2"/>
        <v>16515.885969322</v>
      </c>
    </row>
    <row r="27" s="1" customFormat="1" spans="2:29">
      <c r="B27" s="67" t="s">
        <v>80</v>
      </c>
      <c r="C27" s="67">
        <f>C24+C25+C26</f>
        <v>4700174.06158126</v>
      </c>
      <c r="D27" s="67">
        <f>C27/E24</f>
        <v>188006.96246325</v>
      </c>
      <c r="E27" s="6"/>
      <c r="F27" s="6"/>
      <c r="G27" s="47"/>
      <c r="H27" s="6"/>
      <c r="I27" s="6"/>
      <c r="J27" s="6"/>
      <c r="K27" s="6"/>
      <c r="L27" s="6"/>
      <c r="M27" s="6"/>
      <c r="N27" s="6"/>
      <c r="Q27" s="69"/>
      <c r="U27" s="2"/>
      <c r="V27" s="69"/>
      <c r="AB27" s="4"/>
      <c r="AC27" s="4"/>
    </row>
    <row r="28" s="1" customFormat="1" ht="20" customHeight="1" spans="2:29">
      <c r="B28" s="6"/>
      <c r="C28" s="6"/>
      <c r="D28" s="6"/>
      <c r="E28" s="6"/>
      <c r="F28" s="6"/>
      <c r="G28" s="2"/>
      <c r="H28" s="59" t="s">
        <v>82</v>
      </c>
      <c r="I28" s="59" t="s">
        <v>71</v>
      </c>
      <c r="J28" s="59" t="s">
        <v>83</v>
      </c>
      <c r="K28" s="59" t="s">
        <v>84</v>
      </c>
      <c r="N28" s="6"/>
      <c r="Q28" s="69"/>
      <c r="U28" s="2"/>
      <c r="V28" s="69"/>
      <c r="AB28" s="4"/>
      <c r="AC28" s="4"/>
    </row>
    <row r="29" s="1" customFormat="1" ht="20" customHeight="1" spans="2:29">
      <c r="B29" s="67"/>
      <c r="C29" s="67"/>
      <c r="D29" s="67"/>
      <c r="E29" s="6">
        <f>F29*81+G29*54</f>
        <v>351</v>
      </c>
      <c r="F29" s="67">
        <v>3</v>
      </c>
      <c r="G29" s="70">
        <v>2</v>
      </c>
      <c r="H29" s="6" t="s">
        <v>85</v>
      </c>
      <c r="I29" s="71">
        <v>46524</v>
      </c>
      <c r="J29" s="71"/>
      <c r="K29" s="72">
        <f t="shared" ref="K29:K33" si="18">I29/E29</f>
        <v>132.547008547009</v>
      </c>
      <c r="N29" s="6"/>
      <c r="Q29" s="69"/>
      <c r="V29" s="69"/>
      <c r="AB29" s="4"/>
      <c r="AC29" s="4"/>
    </row>
    <row r="30" s="1" customFormat="1" ht="20" customHeight="1" spans="2:29">
      <c r="B30" s="67"/>
      <c r="C30" s="67"/>
      <c r="D30" s="67"/>
      <c r="E30" s="6">
        <f t="shared" ref="E29:E33" si="19">F30*81+G30*54</f>
        <v>405</v>
      </c>
      <c r="F30" s="70">
        <v>3</v>
      </c>
      <c r="G30" s="70">
        <v>3</v>
      </c>
      <c r="H30" s="6" t="s">
        <v>86</v>
      </c>
      <c r="I30" s="71">
        <v>49720</v>
      </c>
      <c r="J30" s="73">
        <f t="shared" ref="J30:J33" si="20">I30/I$29-1</f>
        <v>0.0686957269366348</v>
      </c>
      <c r="K30" s="72">
        <f t="shared" si="18"/>
        <v>122.765432098765</v>
      </c>
      <c r="N30" s="6"/>
      <c r="Q30" s="74"/>
      <c r="U30" s="2"/>
      <c r="V30" s="2"/>
      <c r="AB30" s="4"/>
      <c r="AC30" s="4"/>
    </row>
    <row r="31" s="1" customFormat="1" ht="20" customHeight="1" spans="2:29">
      <c r="B31" s="6"/>
      <c r="C31" s="6"/>
      <c r="D31" s="6"/>
      <c r="E31" s="6">
        <f t="shared" si="19"/>
        <v>351</v>
      </c>
      <c r="F31" s="70">
        <v>3</v>
      </c>
      <c r="G31" s="70">
        <v>2</v>
      </c>
      <c r="H31" s="6" t="s">
        <v>87</v>
      </c>
      <c r="I31" s="71">
        <v>57490</v>
      </c>
      <c r="J31" s="75">
        <f t="shared" si="20"/>
        <v>0.235706302123635</v>
      </c>
      <c r="K31" s="72">
        <f t="shared" si="18"/>
        <v>163.789173789174</v>
      </c>
      <c r="N31" s="6"/>
      <c r="Q31" s="2"/>
      <c r="U31" s="2"/>
      <c r="V31" s="3"/>
      <c r="AB31" s="4"/>
      <c r="AC31" s="4"/>
    </row>
    <row r="32" s="1" customFormat="1" ht="20" customHeight="1" spans="2:29">
      <c r="B32" s="67"/>
      <c r="C32" s="67"/>
      <c r="D32" s="67"/>
      <c r="E32" s="6">
        <f t="shared" si="19"/>
        <v>405</v>
      </c>
      <c r="F32" s="70">
        <v>3</v>
      </c>
      <c r="G32" s="70">
        <v>3</v>
      </c>
      <c r="H32" s="6" t="s">
        <v>88</v>
      </c>
      <c r="I32" s="71">
        <v>62199</v>
      </c>
      <c r="J32" s="75">
        <f t="shared" si="20"/>
        <v>0.336922878514315</v>
      </c>
      <c r="K32" s="72">
        <f t="shared" si="18"/>
        <v>153.577777777778</v>
      </c>
      <c r="L32" s="59" t="s">
        <v>90</v>
      </c>
      <c r="M32" s="59" t="s">
        <v>71</v>
      </c>
      <c r="N32" s="59" t="s">
        <v>91</v>
      </c>
      <c r="O32" s="59" t="s">
        <v>84</v>
      </c>
      <c r="Q32" s="2"/>
      <c r="U32" s="2"/>
      <c r="V32" s="3"/>
      <c r="AB32" s="4"/>
      <c r="AC32" s="4"/>
    </row>
    <row r="33" s="1" customFormat="1" ht="20" customHeight="1" spans="2:29">
      <c r="B33" s="67"/>
      <c r="C33" s="67"/>
      <c r="D33" s="67"/>
      <c r="E33" s="6">
        <f t="shared" si="19"/>
        <v>567</v>
      </c>
      <c r="F33" s="70">
        <v>5</v>
      </c>
      <c r="G33" s="70">
        <v>3</v>
      </c>
      <c r="H33" s="6" t="s">
        <v>89</v>
      </c>
      <c r="I33" s="71">
        <v>70857</v>
      </c>
      <c r="J33" s="75">
        <f t="shared" si="20"/>
        <v>0.52302037657983</v>
      </c>
      <c r="K33" s="72">
        <f t="shared" si="18"/>
        <v>124.968253968254</v>
      </c>
      <c r="L33" s="83" t="s">
        <v>92</v>
      </c>
      <c r="M33" s="76">
        <v>62199</v>
      </c>
      <c r="N33" s="76"/>
      <c r="O33" s="72">
        <f>K32</f>
        <v>153.577777777778</v>
      </c>
      <c r="Q33" s="2"/>
      <c r="U33" s="2"/>
      <c r="V33" s="3"/>
      <c r="AB33" s="4"/>
      <c r="AC33" s="4"/>
    </row>
    <row r="34" s="1" customFormat="1" ht="20" customHeight="1" spans="2:29">
      <c r="B34" s="6"/>
      <c r="C34" s="6"/>
      <c r="D34" s="6"/>
      <c r="E34" s="6"/>
      <c r="F34" s="6"/>
      <c r="G34" s="2"/>
      <c r="I34" s="77">
        <f>J34*81+K34*54</f>
        <v>486</v>
      </c>
      <c r="J34" s="77">
        <v>4</v>
      </c>
      <c r="K34" s="1">
        <v>3</v>
      </c>
      <c r="L34" s="6">
        <v>11</v>
      </c>
      <c r="M34" s="76">
        <v>68913</v>
      </c>
      <c r="N34" s="75">
        <f>M34/M33-1</f>
        <v>0.10794385761829</v>
      </c>
      <c r="O34" s="72">
        <f>M34/I34</f>
        <v>141.796296296296</v>
      </c>
      <c r="Q34" s="2"/>
      <c r="U34" s="2"/>
      <c r="V34" s="3"/>
      <c r="AB34" s="4"/>
      <c r="AC34" s="4"/>
    </row>
    <row r="35" s="1" customFormat="1" ht="15" spans="2:29">
      <c r="B35" s="67"/>
      <c r="C35" s="67"/>
      <c r="D35" s="67"/>
      <c r="E35" s="6"/>
      <c r="F35" s="67"/>
      <c r="G35" s="2"/>
      <c r="I35" s="77">
        <f t="shared" ref="I35:I43" si="21">J35*81+K35*54</f>
        <v>567</v>
      </c>
      <c r="J35" s="1">
        <v>5</v>
      </c>
      <c r="K35" s="1">
        <v>3</v>
      </c>
      <c r="L35" s="6">
        <v>21</v>
      </c>
      <c r="M35" s="76">
        <v>74491</v>
      </c>
      <c r="N35" s="75">
        <f t="shared" ref="N35:N43" si="22">M35/M34-1</f>
        <v>0.080942637818699</v>
      </c>
      <c r="O35" s="72">
        <f t="shared" ref="O35:O43" si="23">M35/I35</f>
        <v>131.377425044092</v>
      </c>
      <c r="Q35" s="2"/>
      <c r="U35" s="2"/>
      <c r="V35" s="3"/>
      <c r="AB35" s="4"/>
      <c r="AC35" s="4"/>
    </row>
    <row r="36" s="1" customFormat="1" ht="15" spans="2:29">
      <c r="G36" s="2"/>
      <c r="I36" s="77">
        <f t="shared" si="21"/>
        <v>648</v>
      </c>
      <c r="J36" s="1">
        <v>6</v>
      </c>
      <c r="K36" s="1">
        <v>3</v>
      </c>
      <c r="L36" s="6">
        <v>31</v>
      </c>
      <c r="M36" s="76">
        <v>79722</v>
      </c>
      <c r="N36" s="75">
        <f t="shared" si="22"/>
        <v>0.0702232484461209</v>
      </c>
      <c r="O36" s="72">
        <f t="shared" si="23"/>
        <v>123.027777777778</v>
      </c>
      <c r="Q36" s="2"/>
      <c r="U36" s="2"/>
      <c r="V36" s="3"/>
      <c r="AB36" s="4"/>
      <c r="AC36" s="4"/>
    </row>
    <row r="37" s="1" customFormat="1" ht="15" spans="2:29">
      <c r="G37" s="2"/>
      <c r="I37" s="77">
        <f t="shared" si="21"/>
        <v>729</v>
      </c>
      <c r="J37" s="1">
        <v>7</v>
      </c>
      <c r="K37" s="1">
        <v>3</v>
      </c>
      <c r="L37" s="6">
        <v>41</v>
      </c>
      <c r="M37" s="76">
        <v>82548</v>
      </c>
      <c r="N37" s="75">
        <f t="shared" si="22"/>
        <v>0.0354481824339581</v>
      </c>
      <c r="O37" s="72">
        <f t="shared" si="23"/>
        <v>113.234567901235</v>
      </c>
      <c r="Q37" s="2"/>
      <c r="U37" s="2"/>
      <c r="V37" s="3"/>
      <c r="AB37" s="4"/>
      <c r="AC37" s="4"/>
    </row>
    <row r="38" s="1" customFormat="1" ht="15" spans="2:29">
      <c r="G38" s="2"/>
      <c r="I38" s="77">
        <f t="shared" si="21"/>
        <v>810</v>
      </c>
      <c r="J38" s="1">
        <v>8</v>
      </c>
      <c r="K38" s="1">
        <v>3</v>
      </c>
      <c r="L38" s="6">
        <v>51</v>
      </c>
      <c r="M38" s="76">
        <v>100256</v>
      </c>
      <c r="N38" s="75">
        <f t="shared" si="22"/>
        <v>0.214517613994282</v>
      </c>
      <c r="O38" s="72">
        <f t="shared" si="23"/>
        <v>123.772839506173</v>
      </c>
      <c r="Q38" s="2"/>
      <c r="U38" s="2"/>
      <c r="V38" s="3"/>
      <c r="AB38" s="4"/>
      <c r="AC38" s="4"/>
    </row>
    <row r="39" s="1" customFormat="1" ht="15" spans="2:29">
      <c r="G39" s="2"/>
      <c r="I39" s="77">
        <f t="shared" si="21"/>
        <v>891</v>
      </c>
      <c r="J39" s="1">
        <v>9</v>
      </c>
      <c r="K39" s="1">
        <v>3</v>
      </c>
      <c r="L39" s="6">
        <v>61</v>
      </c>
      <c r="M39" s="76">
        <v>121982</v>
      </c>
      <c r="N39" s="75">
        <f t="shared" si="22"/>
        <v>0.216705234599425</v>
      </c>
      <c r="O39" s="72">
        <f t="shared" si="23"/>
        <v>136.904601571268</v>
      </c>
      <c r="Q39" s="2"/>
      <c r="U39" s="2"/>
      <c r="V39" s="3"/>
      <c r="AB39" s="4"/>
      <c r="AC39" s="4"/>
    </row>
    <row r="40" s="1" customFormat="1" ht="15" spans="2:29">
      <c r="G40" s="2"/>
      <c r="I40" s="77">
        <f t="shared" si="21"/>
        <v>1053</v>
      </c>
      <c r="J40" s="1">
        <v>11</v>
      </c>
      <c r="K40" s="1">
        <v>3</v>
      </c>
      <c r="L40" s="19" t="s">
        <v>93</v>
      </c>
      <c r="M40" s="78">
        <v>138811</v>
      </c>
      <c r="N40" s="79">
        <f t="shared" si="22"/>
        <v>0.137962978144316</v>
      </c>
      <c r="O40" s="72">
        <f t="shared" si="23"/>
        <v>131.824311490978</v>
      </c>
      <c r="Q40" s="2"/>
      <c r="U40" s="2"/>
      <c r="V40" s="3"/>
      <c r="AB40" s="4"/>
      <c r="AC40" s="4"/>
    </row>
    <row r="41" s="1" customFormat="1" ht="15" spans="2:29">
      <c r="G41" s="2"/>
      <c r="I41" s="77">
        <f t="shared" si="21"/>
        <v>1269</v>
      </c>
      <c r="J41" s="1">
        <v>11</v>
      </c>
      <c r="K41" s="1">
        <v>7</v>
      </c>
      <c r="L41" s="6" t="s">
        <v>94</v>
      </c>
      <c r="M41" s="76">
        <v>156602</v>
      </c>
      <c r="N41" s="75">
        <f t="shared" si="22"/>
        <v>0.128167076096275</v>
      </c>
      <c r="O41" s="72">
        <f t="shared" si="23"/>
        <v>123.405831363278</v>
      </c>
      <c r="Q41" s="2"/>
      <c r="U41" s="2"/>
      <c r="V41" s="3"/>
      <c r="AB41" s="4"/>
      <c r="AC41" s="4"/>
    </row>
    <row r="42" s="1" customFormat="1" ht="15" spans="2:29">
      <c r="G42" s="2"/>
      <c r="I42" s="77">
        <f t="shared" si="21"/>
        <v>1431</v>
      </c>
      <c r="J42" s="1">
        <v>13</v>
      </c>
      <c r="K42" s="1">
        <v>7</v>
      </c>
      <c r="L42" s="80" t="s">
        <v>95</v>
      </c>
      <c r="M42" s="81">
        <v>173081</v>
      </c>
      <c r="N42" s="82">
        <f t="shared" si="22"/>
        <v>0.105228541142514</v>
      </c>
      <c r="O42" s="72">
        <f t="shared" si="23"/>
        <v>120.95108315863</v>
      </c>
      <c r="Q42" s="2"/>
      <c r="U42" s="2"/>
      <c r="V42" s="3"/>
      <c r="AB42" s="4"/>
      <c r="AC42" s="4"/>
    </row>
    <row r="43" s="1" customFormat="1" ht="15" spans="2:29">
      <c r="G43" s="2"/>
      <c r="I43" s="77">
        <f t="shared" si="21"/>
        <v>1863</v>
      </c>
      <c r="J43" s="1">
        <v>13</v>
      </c>
      <c r="K43" s="1">
        <v>15</v>
      </c>
      <c r="L43" s="6" t="s">
        <v>96</v>
      </c>
      <c r="M43" s="76">
        <v>188007</v>
      </c>
      <c r="N43" s="75">
        <f t="shared" si="22"/>
        <v>0.0862370797487881</v>
      </c>
      <c r="O43" s="72">
        <f t="shared" si="23"/>
        <v>100.916264090177</v>
      </c>
      <c r="Q43" s="2"/>
      <c r="U43" s="2"/>
      <c r="V43" s="3"/>
      <c r="AB43" s="4"/>
      <c r="AC43" s="4"/>
    </row>
    <row r="44" s="1" customFormat="1" spans="2:29">
      <c r="G44" s="2"/>
      <c r="N44" s="6">
        <v>1</v>
      </c>
      <c r="Q44" s="2"/>
      <c r="U44" s="2"/>
      <c r="V44" s="3"/>
      <c r="AB44" s="4"/>
      <c r="AC44" s="4"/>
    </row>
    <row r="45" s="1" customFormat="1" spans="2:29"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3:M13"/>
    <mergeCell ref="B14:C14"/>
    <mergeCell ref="D14:E14"/>
    <mergeCell ref="F14:G14"/>
    <mergeCell ref="H14:I14"/>
    <mergeCell ref="J14:K14"/>
    <mergeCell ref="L14:M14"/>
  </mergeCells>
  <conditionalFormatting sqref="K29:K33">
    <cfRule type="colorScale" priority="5">
      <colorScale>
        <cfvo type="min"/>
        <cfvo type="max"/>
        <color rgb="FFFCFCFF"/>
        <color rgb="FFF8696B"/>
      </colorScale>
    </cfRule>
  </conditionalFormatting>
  <conditionalFormatting sqref="N34:N4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{5b95f168-46df-469e-b521-a01bcdba5d50}</x14:id>
        </ext>
      </extLst>
    </cfRule>
  </conditionalFormatting>
  <conditionalFormatting sqref="N34:N4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{8036f09a-cf70-4cd3-9848-ed57c7a33bdb}</x14:id>
        </ext>
      </extLst>
    </cfRule>
  </conditionalFormatting>
  <conditionalFormatting sqref="O33:O43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95f168-46df-469e-b521-a01bcdba5d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N34:N43</xm:sqref>
        </x14:conditionalFormatting>
        <x14:conditionalFormatting xmlns:xm="http://schemas.microsoft.com/office/excel/2006/main">
          <x14:cfRule type="dataBar" id="{8036f09a-cf70-4cd3-9848-ed57c7a33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N34:N44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01相00吟</vt:lpstr>
      <vt:lpstr>00琳</vt:lpstr>
      <vt:lpstr>01琳</vt:lpstr>
      <vt:lpstr>1相</vt:lpstr>
      <vt:lpstr>2相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2025-12-23T09:57:56Z</dcterms:created>
  <dcterms:modified xsi:type="dcterms:W3CDTF">2025-12-23T11:49:26Z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5D1160B544494EF8A8A2B1FBB65C8E10_11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