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80" windowHeight="11020" activeTab="2"/>
  </bookViews>
  <sheets>
    <sheet name="0尤" sheetId="1" r:id="rId1"/>
    <sheet name="65尤" sheetId="2" r:id="rId2"/>
    <sheet name="01布兰特" sheetId="3" r:id="rId3"/>
    <sheet name="01卡提" sheetId="5" r:id="rId4"/>
    <sheet name="21卡提" sheetId="6" r:id="rId5"/>
    <sheet name="65卡提" sheetId="7" r:id="rId6"/>
    <sheet name="爱弥斯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<sst xmlns="http://schemas.openxmlformats.org/spreadsheetml/2006/main" count="897" uniqueCount="154">
  <si>
    <t>角色主类型</t>
  </si>
  <si>
    <t>r</t>
  </si>
  <si>
    <t>3C属伤数</t>
  </si>
  <si>
    <t>尤诺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</si>
  <si>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</si>
  <si>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</si>
  <si>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</si>
  <si>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</si>
  <si>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</si>
  <si>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</si>
  <si>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</si>
  <si>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</si>
  <si>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</si>
  <si>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</si>
  <si>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</si>
  <si>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</si>
  <si>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</si>
  <si>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</si>
  <si>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</si>
  <si>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</si>
  <si>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</si>
  <si>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</si>
  <si>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</si>
  <si>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</si>
  <si>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</si>
  <si>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</si>
  <si>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溺失月海</t>
  </si>
  <si>
    <t>白值</t>
  </si>
  <si>
    <t>3C声骸</t>
  </si>
  <si>
    <t>基础与固有</t>
  </si>
  <si>
    <t>全加深</t>
  </si>
  <si>
    <t>大攻击</t>
  </si>
  <si>
    <t>流变·月弓</t>
  </si>
  <si>
    <t>固有武器</t>
  </si>
  <si>
    <t>套装首位</t>
  </si>
  <si>
    <t>武器</t>
  </si>
  <si>
    <t>主类型加深</t>
  </si>
  <si>
    <t>r伤害</t>
  </si>
  <si>
    <t>（强化）a123</t>
  </si>
  <si>
    <t>主副词条</t>
  </si>
  <si>
    <t>自拐属伤</t>
  </si>
  <si>
    <t>套装</t>
  </si>
  <si>
    <t>（强化）越限的弦引</t>
  </si>
  <si>
    <t xml:space="preserve">自拐攻击 </t>
  </si>
  <si>
    <t>被拐属伤</t>
  </si>
  <si>
    <t>爆伤</t>
  </si>
  <si>
    <t>a123</t>
  </si>
  <si>
    <t>被拐攻击</t>
  </si>
  <si>
    <t>其他属伤</t>
  </si>
  <si>
    <t>共鸣链</t>
  </si>
  <si>
    <t>q</t>
  </si>
  <si>
    <t>声骸固定攻击</t>
  </si>
  <si>
    <t>主类型加成</t>
  </si>
  <si>
    <t>队友</t>
  </si>
  <si>
    <t>额外固定攻击</t>
  </si>
  <si>
    <t>面板暴击率</t>
  </si>
  <si>
    <t>面板暴击伤害</t>
  </si>
  <si>
    <t>溢出暴击</t>
  </si>
  <si>
    <t>下落</t>
  </si>
  <si>
    <t>a</t>
  </si>
  <si>
    <t>光抗</t>
  </si>
  <si>
    <t>告终的喧响</t>
  </si>
  <si>
    <t>e</t>
  </si>
  <si>
    <t>暗抗</t>
  </si>
  <si>
    <t>月环a1</t>
  </si>
  <si>
    <t>风抗</t>
  </si>
  <si>
    <t>20抗100级怪</t>
  </si>
  <si>
    <t>雷抗</t>
  </si>
  <si>
    <t>总伤</t>
  </si>
  <si>
    <t>dps</t>
  </si>
  <si>
    <t>秒数</t>
  </si>
  <si>
    <t>占比</t>
  </si>
  <si>
    <t>(强化）a123</t>
  </si>
  <si>
    <t>冰抗</t>
  </si>
  <si>
    <t>一号位</t>
  </si>
  <si>
    <t>越限的弦引</t>
  </si>
  <si>
    <t>火抗</t>
  </si>
  <si>
    <t>谐度破坏</t>
  </si>
  <si>
    <t>z</t>
  </si>
  <si>
    <t>合计</t>
  </si>
  <si>
    <t>物抗</t>
  </si>
  <si>
    <t>琳奈震谐</t>
  </si>
  <si>
    <t>震谐</t>
  </si>
  <si>
    <t>莫宁震谐</t>
  </si>
  <si>
    <t>BV115pXzAEET</t>
  </si>
  <si>
    <t>爱弥斯震谐</t>
  </si>
  <si>
    <t>谐破</t>
  </si>
  <si>
    <t>风蚀</t>
  </si>
  <si>
    <t>光躁</t>
  </si>
  <si>
    <t>霜渐</t>
  </si>
  <si>
    <t>聚爆</t>
  </si>
  <si>
    <t>层数</t>
  </si>
  <si>
    <t>配置</t>
  </si>
  <si>
    <t>尤诺单通</t>
  </si>
  <si>
    <t>提升</t>
  </si>
  <si>
    <t>01</t>
  </si>
  <si>
    <t>11</t>
  </si>
  <si>
    <t>21</t>
  </si>
  <si>
    <t>31</t>
  </si>
  <si>
    <t>61</t>
  </si>
  <si>
    <t>65</t>
  </si>
  <si>
    <t>布兰特</t>
  </si>
  <si>
    <t>共鸣效率</t>
  </si>
  <si>
    <t>空a1+空翻</t>
  </si>
  <si>
    <t>空a2+空翻</t>
  </si>
  <si>
    <t>a伤害</t>
  </si>
  <si>
    <t>空a3+空翻</t>
  </si>
  <si>
    <t>4C</t>
  </si>
  <si>
    <t>空a4*2</t>
  </si>
  <si>
    <t>火焰归亡曲</t>
  </si>
  <si>
    <t>戏中人生</t>
  </si>
  <si>
    <t>直到世界尽头</t>
  </si>
  <si>
    <t>我的人生</t>
  </si>
  <si>
    <t>r后a</t>
  </si>
  <si>
    <t>谐振</t>
  </si>
  <si>
    <t>单通dps</t>
  </si>
  <si>
    <t>面板生命</t>
  </si>
  <si>
    <t>生命区</t>
  </si>
  <si>
    <t>a1234</t>
  </si>
  <si>
    <t>大生命</t>
  </si>
  <si>
    <t>小生命</t>
  </si>
  <si>
    <t>3下落</t>
  </si>
  <si>
    <t>ee</t>
  </si>
  <si>
    <t>声骸固定生命</t>
  </si>
  <si>
    <t>a345</t>
  </si>
  <si>
    <t>额外固定生命</t>
  </si>
  <si>
    <t>武器精炼</t>
  </si>
  <si>
    <t>a12345</t>
  </si>
  <si>
    <t>r2</t>
  </si>
  <si>
    <t>风蚀dot</t>
  </si>
  <si>
    <t>BV1Z8itBAEAf</t>
  </si>
  <si>
    <t>2下落</t>
  </si>
  <si>
    <t>卡提单通</t>
  </si>
  <si>
    <t>爱弥斯</t>
  </si>
  <si>
    <t>星辉破界而来·过载</t>
  </si>
  <si>
    <t>r加深</t>
  </si>
  <si>
    <t>机兵a234</t>
  </si>
  <si>
    <t>光翼共奏·登台</t>
  </si>
  <si>
    <t>爱弥斯a234</t>
  </si>
  <si>
    <t>固有</t>
  </si>
  <si>
    <t>光翼共奏·降临</t>
  </si>
  <si>
    <t>r加成</t>
  </si>
  <si>
    <t>重击机兵</t>
  </si>
  <si>
    <t>星辉破界而来·终结</t>
  </si>
  <si>
    <t>光翼共奏</t>
  </si>
  <si>
    <t xml:space="preserve">                                                                             </t>
  </si>
  <si>
    <t>物理</t>
  </si>
  <si>
    <t>热熔</t>
  </si>
  <si>
    <t>衍射</t>
  </si>
  <si>
    <t>单通</t>
  </si>
  <si>
    <t>聚爆 爱弥斯</t>
  </si>
  <si>
    <t>爱弥斯单通</t>
  </si>
  <si>
    <t>布兰特单通</t>
  </si>
  <si>
    <t>卡提希娅单通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</si>
</sst>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  <numFmt numFmtId="180" formatCode="0.0%"/>
  </numFmts>
  <fonts count="28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21" applyNumberFormat="0" applyAlignment="0" applyProtection="0">
      <alignment vertical="center"/>
    </xf>
    <xf numFmtId="0" fontId="18" fillId="17" borderId="22" applyNumberFormat="0" applyAlignment="0" applyProtection="0">
      <alignment vertical="center"/>
    </xf>
    <xf numFmtId="0" fontId="19" fillId="17" borderId="21" applyNumberFormat="0" applyAlignment="0" applyProtection="0">
      <alignment vertical="center"/>
    </xf>
    <xf numFmtId="0" fontId="20" fillId="18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9" fontId="3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0" fontId="2" fillId="0" borderId="14" xfId="0" applyNumberFormat="1" applyFont="1" applyFill="1" applyBorder="1" applyAlignment="1">
      <alignment horizontal="center" vertical="center"/>
    </xf>
    <xf numFmtId="178" fontId="2" fillId="0" borderId="14" xfId="0" applyNumberFormat="1" applyFont="1" applyFill="1" applyBorder="1" applyAlignment="1">
      <alignment horizontal="center" vertical="center"/>
    </xf>
    <xf numFmtId="177" fontId="2" fillId="0" borderId="14" xfId="0" applyNumberFormat="1" applyFont="1" applyFill="1" applyBorder="1" applyAlignment="1">
      <alignment horizontal="center" vertical="center"/>
    </xf>
    <xf numFmtId="177" fontId="2" fillId="0" borderId="15" xfId="0" applyNumberFormat="1" applyFont="1" applyFill="1" applyBorder="1" applyAlignment="1">
      <alignment horizontal="center" vertical="center"/>
    </xf>
    <xf numFmtId="177" fontId="4" fillId="5" borderId="16" xfId="0" applyNumberFormat="1" applyFont="1" applyFill="1" applyBorder="1" applyAlignment="1">
      <alignment horizontal="center" vertical="center"/>
    </xf>
    <xf numFmtId="9" fontId="0" fillId="0" borderId="7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177" fontId="4" fillId="11" borderId="4" xfId="0" applyNumberFormat="1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0" fontId="3" fillId="13" borderId="0" xfId="0" applyNumberFormat="1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177" fontId="3" fillId="13" borderId="0" xfId="0" applyNumberFormat="1" applyFont="1" applyFill="1" applyBorder="1" applyAlignment="1">
      <alignment horizontal="center" vertical="center"/>
    </xf>
    <xf numFmtId="178" fontId="3" fillId="13" borderId="0" xfId="0" applyNumberFormat="1" applyFont="1" applyFill="1" applyBorder="1" applyAlignment="1">
      <alignment horizontal="center" vertical="center"/>
    </xf>
    <xf numFmtId="0" fontId="3" fillId="13" borderId="0" xfId="0" applyNumberFormat="1" applyFont="1" applyFill="1" applyBorder="1" applyAlignment="1" applyProtection="1">
      <alignment horizontal="center" vertical="center"/>
    </xf>
    <xf numFmtId="9" fontId="3" fillId="13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4" fillId="5" borderId="17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7" fontId="2" fillId="8" borderId="4" xfId="0" applyNumberFormat="1" applyFont="1" applyFill="1" applyBorder="1" applyAlignment="1">
      <alignment horizontal="center" vertical="center"/>
    </xf>
    <xf numFmtId="177" fontId="2" fillId="8" borderId="17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177" fontId="2" fillId="14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10" fontId="0" fillId="12" borderId="0" xfId="0" applyNumberFormat="1" applyFill="1" applyBorder="1" applyAlignment="1">
      <alignment horizontal="center" vertical="center" wrapText="1"/>
    </xf>
    <xf numFmtId="177" fontId="0" fillId="12" borderId="0" xfId="0" applyNumberFormat="1" applyFill="1" applyBorder="1" applyAlignment="1">
      <alignment horizontal="center" vertical="center"/>
    </xf>
    <xf numFmtId="10" fontId="0" fillId="12" borderId="0" xfId="0" applyNumberFormat="1" applyFill="1" applyBorder="1" applyAlignment="1">
      <alignment horizontal="center" vertical="center"/>
    </xf>
    <xf numFmtId="178" fontId="0" fillId="12" borderId="0" xfId="0" applyNumberFormat="1" applyFill="1" applyBorder="1" applyAlignment="1">
      <alignment horizontal="center" vertical="center"/>
    </xf>
    <xf numFmtId="0" fontId="0" fillId="12" borderId="0" xfId="0" applyNumberFormat="1" applyFont="1" applyFill="1" applyBorder="1" applyAlignment="1" applyProtection="1">
      <alignment horizontal="center" vertical="center"/>
    </xf>
    <xf numFmtId="9" fontId="0" fillId="12" borderId="0" xfId="0" applyNumberFormat="1" applyFill="1" applyBorder="1" applyAlignment="1">
      <alignment horizontal="center" vertical="center"/>
    </xf>
    <xf numFmtId="177" fontId="2" fillId="12" borderId="8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 wrapText="1"/>
    </xf>
    <xf numFmtId="177" fontId="0" fillId="2" borderId="0" xfId="0" applyNumberForma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77" fontId="2" fillId="2" borderId="8" xfId="0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 wrapText="1"/>
    </xf>
    <xf numFmtId="177" fontId="0" fillId="9" borderId="11" xfId="0" applyNumberFormat="1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/>
    </xf>
    <xf numFmtId="178" fontId="0" fillId="9" borderId="11" xfId="0" applyNumberFormat="1" applyFill="1" applyBorder="1" applyAlignment="1">
      <alignment horizontal="center" vertical="center"/>
    </xf>
    <xf numFmtId="0" fontId="0" fillId="9" borderId="11" xfId="0" applyNumberFormat="1" applyFont="1" applyFill="1" applyBorder="1" applyAlignment="1" applyProtection="1">
      <alignment horizontal="center" vertical="center"/>
    </xf>
    <xf numFmtId="9" fontId="0" fillId="9" borderId="11" xfId="0" applyNumberFormat="1" applyFill="1" applyBorder="1" applyAlignment="1">
      <alignment horizontal="center" vertical="center"/>
    </xf>
    <xf numFmtId="177" fontId="2" fillId="9" borderId="10" xfId="0" applyNumberFormat="1" applyFont="1" applyFill="1" applyBorder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0" fillId="0" borderId="0" xfId="0" applyNumberFormat="1" applyFont="1" applyFill="1" applyBorder="1" applyAlignment="1" applyProtection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L1" workbookViewId="0">
      <selection activeCell="X34" sqref="X34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8</v>
      </c>
      <c r="T2" s="114" t="s">
        <v>9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26</v>
      </c>
      <c r="Q3" s="39">
        <v>10.9346</v>
      </c>
      <c r="R3" s="37" t="s">
        <v>1</v>
      </c>
      <c r="S3" s="38">
        <f t="shared" ref="S3:S8" si="0">$C$4*(1+C$5+C$6+C$7+C$8)+C$9</f>
        <v>2318.4</v>
      </c>
      <c r="T3" s="39">
        <f>($C$5+$C$6+$C$7+$C$8)+($C$9+$C$10)/$C$4</f>
        <v>1.44042105263158</v>
      </c>
      <c r="U3" s="39">
        <f>IF(R3=$C$1,SUM($E$4:$E$9),SUM($E$4:$E$8))</f>
        <v>1.312</v>
      </c>
      <c r="V3" s="41">
        <f t="shared" ref="V3:V8" si="1">1+$G$10*($I$10-1)</f>
        <v>2.74525</v>
      </c>
      <c r="W3" s="40">
        <f t="shared" ref="W3:W10" si="2">IF(R3=$C$1,$K$4+$K$5,$K$4)</f>
        <v>0.4</v>
      </c>
      <c r="X3" s="41">
        <f t="shared" ref="X3:X8" si="3">$AF$8</f>
        <v>0.598689185782707</v>
      </c>
      <c r="Y3" s="37">
        <f t="shared" ref="Y3:Y8" si="4">$AF$11</f>
        <v>0.8</v>
      </c>
      <c r="Z3" s="42">
        <v>0</v>
      </c>
      <c r="AA3" s="42">
        <v>0</v>
      </c>
      <c r="AB3" s="42">
        <v>0</v>
      </c>
      <c r="AC3" s="19">
        <f t="shared" ref="AC3:AC8" si="5">Q3*$C$4*(1+T3)*(1+U3)*V3*(1+W3)*X3*Y3*(1+Z3)*(1+AA3)*(1+AB3)*O3</f>
        <v>107889.811652089</v>
      </c>
      <c r="AD3" s="14">
        <v>0</v>
      </c>
      <c r="AE3" s="14">
        <v>0</v>
      </c>
      <c r="AF3" s="15">
        <f t="shared" ref="AF3:AF8" si="6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f>450+500</f>
        <v>950</v>
      </c>
      <c r="D4" s="29" t="s">
        <v>28</v>
      </c>
      <c r="E4" s="31">
        <f>E1*30%</f>
        <v>0.6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v>0.4</v>
      </c>
      <c r="L4" s="29" t="s">
        <v>31</v>
      </c>
      <c r="M4" s="32">
        <f>8.6%*2</f>
        <v>0.172</v>
      </c>
      <c r="O4" s="35">
        <v>1</v>
      </c>
      <c r="P4" s="19" t="s">
        <v>32</v>
      </c>
      <c r="Q4" s="39">
        <v>2.5051</v>
      </c>
      <c r="R4" s="37" t="s">
        <v>1</v>
      </c>
      <c r="S4" s="38">
        <f t="shared" si="0"/>
        <v>2318.4</v>
      </c>
      <c r="T4" s="39">
        <f t="shared" ref="T3:T8" si="7">($C$5+$C$6+$C$7+$C$8)+($C$9+$C$10)/$C$4</f>
        <v>1.44042105263158</v>
      </c>
      <c r="U4" s="39">
        <f t="shared" ref="U3:U8" si="8">IF(R4=$C$1,SUM($E$4:$E$9),SUM($E$4:$E$8))</f>
        <v>1.312</v>
      </c>
      <c r="V4" s="41">
        <f t="shared" si="1"/>
        <v>2.74525</v>
      </c>
      <c r="W4" s="40">
        <f t="shared" si="2"/>
        <v>0.4</v>
      </c>
      <c r="X4" s="41">
        <f t="shared" si="3"/>
        <v>0.598689185782707</v>
      </c>
      <c r="Y4" s="37">
        <f t="shared" si="4"/>
        <v>0.8</v>
      </c>
      <c r="Z4" s="42">
        <v>0</v>
      </c>
      <c r="AA4" s="42">
        <v>0</v>
      </c>
      <c r="AB4" s="42">
        <v>0</v>
      </c>
      <c r="AC4" s="19">
        <f t="shared" si="5"/>
        <v>24717.3894947825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2:33">
      <c r="B5" s="29" t="s">
        <v>33</v>
      </c>
      <c r="C5" s="31">
        <f>12%+12%</f>
        <v>0.24</v>
      </c>
      <c r="D5" s="29" t="s">
        <v>34</v>
      </c>
      <c r="E5" s="31">
        <f>12%+10%</f>
        <v>0.22</v>
      </c>
      <c r="F5" s="29" t="s">
        <v>35</v>
      </c>
      <c r="G5" s="32">
        <v>0.36</v>
      </c>
      <c r="H5" s="29" t="s">
        <v>35</v>
      </c>
      <c r="I5" s="32">
        <v>0</v>
      </c>
      <c r="J5" s="44" t="s">
        <v>36</v>
      </c>
      <c r="K5" s="31"/>
      <c r="L5" s="29" t="s">
        <v>37</v>
      </c>
      <c r="M5" s="32">
        <f>8.6%*2</f>
        <v>0.172</v>
      </c>
      <c r="O5" s="35">
        <v>1</v>
      </c>
      <c r="P5" s="19" t="s">
        <v>38</v>
      </c>
      <c r="Q5" s="39">
        <f>205.97%+95.43%*3+266.41%*2</f>
        <v>10.2508</v>
      </c>
      <c r="R5" s="37" t="s">
        <v>1</v>
      </c>
      <c r="S5" s="38">
        <f t="shared" si="0"/>
        <v>2318.4</v>
      </c>
      <c r="T5" s="39">
        <f t="shared" si="7"/>
        <v>1.44042105263158</v>
      </c>
      <c r="U5" s="39">
        <f t="shared" si="8"/>
        <v>1.312</v>
      </c>
      <c r="V5" s="41">
        <f t="shared" si="1"/>
        <v>2.74525</v>
      </c>
      <c r="W5" s="40">
        <f t="shared" si="2"/>
        <v>0.4</v>
      </c>
      <c r="X5" s="41">
        <f t="shared" si="3"/>
        <v>0.598689185782707</v>
      </c>
      <c r="Y5" s="37">
        <f t="shared" si="4"/>
        <v>0.8</v>
      </c>
      <c r="Z5" s="42">
        <v>0</v>
      </c>
      <c r="AA5" s="42">
        <v>0</v>
      </c>
      <c r="AB5" s="42">
        <v>0</v>
      </c>
      <c r="AC5" s="19">
        <f t="shared" si="5"/>
        <v>101142.875028189</v>
      </c>
      <c r="AD5" s="14">
        <v>0</v>
      </c>
      <c r="AE5" s="14">
        <v>30</v>
      </c>
      <c r="AF5" s="15">
        <f t="shared" si="6"/>
        <v>0.57698147585788</v>
      </c>
      <c r="AG5" s="28">
        <v>100</v>
      </c>
    </row>
    <row r="6" s="1" customFormat="1" ht="15" spans="2:33">
      <c r="B6" s="29" t="s">
        <v>39</v>
      </c>
      <c r="C6" s="31">
        <f>18%+18%+M4+(2-E1)*30%</f>
        <v>0.532</v>
      </c>
      <c r="D6" s="29" t="s">
        <v>40</v>
      </c>
      <c r="E6" s="31"/>
      <c r="F6" s="29" t="s">
        <v>41</v>
      </c>
      <c r="G6" s="32"/>
      <c r="H6" s="29" t="s">
        <v>41</v>
      </c>
      <c r="I6" s="32">
        <v>0.2</v>
      </c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42</v>
      </c>
      <c r="Q6" s="39">
        <f>319.19%*2</f>
        <v>6.3838</v>
      </c>
      <c r="R6" s="37" t="s">
        <v>1</v>
      </c>
      <c r="S6" s="38">
        <f t="shared" si="0"/>
        <v>2318.4</v>
      </c>
      <c r="T6" s="39">
        <f t="shared" si="7"/>
        <v>1.44042105263158</v>
      </c>
      <c r="U6" s="39">
        <f t="shared" si="8"/>
        <v>1.312</v>
      </c>
      <c r="V6" s="41">
        <f t="shared" si="1"/>
        <v>2.74525</v>
      </c>
      <c r="W6" s="40">
        <f t="shared" si="2"/>
        <v>0.4</v>
      </c>
      <c r="X6" s="41">
        <f t="shared" si="3"/>
        <v>0.598689185782707</v>
      </c>
      <c r="Y6" s="37">
        <f t="shared" si="4"/>
        <v>0.8</v>
      </c>
      <c r="Z6" s="42">
        <v>0</v>
      </c>
      <c r="AA6" s="42">
        <v>0</v>
      </c>
      <c r="AB6" s="42">
        <v>0</v>
      </c>
      <c r="AC6" s="19">
        <f t="shared" si="5"/>
        <v>62987.8532021846</v>
      </c>
      <c r="AD6" s="14">
        <v>0</v>
      </c>
      <c r="AE6" s="14">
        <v>21.6</v>
      </c>
      <c r="AF6" s="15">
        <f t="shared" si="6"/>
        <v>0.549107555719967</v>
      </c>
      <c r="AG6" s="28">
        <v>100</v>
      </c>
    </row>
    <row r="7" s="1" customFormat="1" ht="15" spans="2:33">
      <c r="B7" s="29" t="s">
        <v>43</v>
      </c>
      <c r="C7" s="46">
        <v>0.3</v>
      </c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46</v>
      </c>
      <c r="Q7" s="39">
        <f t="shared" ref="Q7:Q10" si="9">126.45%+55.67%*3+167.01%*2</f>
        <v>6.2748</v>
      </c>
      <c r="R7" s="37" t="s">
        <v>1</v>
      </c>
      <c r="S7" s="38">
        <f t="shared" si="0"/>
        <v>2318.4</v>
      </c>
      <c r="T7" s="39">
        <f t="shared" si="7"/>
        <v>1.44042105263158</v>
      </c>
      <c r="U7" s="39">
        <f t="shared" si="8"/>
        <v>1.312</v>
      </c>
      <c r="V7" s="41">
        <f t="shared" si="1"/>
        <v>2.74525</v>
      </c>
      <c r="W7" s="40">
        <f t="shared" si="2"/>
        <v>0.4</v>
      </c>
      <c r="X7" s="41">
        <f t="shared" si="3"/>
        <v>0.598689185782707</v>
      </c>
      <c r="Y7" s="37">
        <f t="shared" si="4"/>
        <v>0.8</v>
      </c>
      <c r="Z7" s="42">
        <v>0</v>
      </c>
      <c r="AA7" s="42">
        <v>0</v>
      </c>
      <c r="AB7" s="42">
        <v>0</v>
      </c>
      <c r="AC7" s="19">
        <f t="shared" si="5"/>
        <v>61912.3690079683</v>
      </c>
      <c r="AD7" s="14">
        <v>0</v>
      </c>
      <c r="AE7" s="14">
        <v>28.8</v>
      </c>
      <c r="AF7" s="15">
        <f t="shared" si="6"/>
        <v>0.572827476423627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9" t="s">
        <v>50</v>
      </c>
      <c r="Q8" s="39">
        <f>164.16%+13.68%</f>
        <v>1.7784</v>
      </c>
      <c r="R8" s="37" t="s">
        <v>50</v>
      </c>
      <c r="S8" s="38">
        <f t="shared" si="0"/>
        <v>2318.4</v>
      </c>
      <c r="T8" s="39">
        <f t="shared" si="7"/>
        <v>1.44042105263158</v>
      </c>
      <c r="U8" s="39">
        <f t="shared" si="8"/>
        <v>0.82</v>
      </c>
      <c r="V8" s="41">
        <f t="shared" si="1"/>
        <v>2.74525</v>
      </c>
      <c r="W8" s="40">
        <f t="shared" si="2"/>
        <v>0.4</v>
      </c>
      <c r="X8" s="41">
        <f>$AF$3</f>
        <v>0.488431876606684</v>
      </c>
      <c r="Y8" s="37">
        <f t="shared" si="4"/>
        <v>0.8</v>
      </c>
      <c r="Z8" s="42">
        <v>0</v>
      </c>
      <c r="AA8" s="42">
        <v>0</v>
      </c>
      <c r="AB8" s="42">
        <v>0</v>
      </c>
      <c r="AC8" s="19">
        <f t="shared" si="5"/>
        <v>11269.2010826223</v>
      </c>
      <c r="AD8" s="14">
        <v>0</v>
      </c>
      <c r="AE8" s="14">
        <v>36</v>
      </c>
      <c r="AF8" s="15">
        <f t="shared" si="6"/>
        <v>0.598689185782707</v>
      </c>
      <c r="AG8" s="28">
        <v>100</v>
      </c>
    </row>
    <row r="9" s="1" customFormat="1" ht="15" spans="2:33">
      <c r="B9" s="29" t="s">
        <v>51</v>
      </c>
      <c r="C9" s="30">
        <v>350</v>
      </c>
      <c r="D9" s="29" t="s">
        <v>52</v>
      </c>
      <c r="E9" s="31">
        <f>12%+M5+20%</f>
        <v>0.492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46</v>
      </c>
      <c r="Q9" s="39">
        <f t="shared" si="9"/>
        <v>6.2748</v>
      </c>
      <c r="R9" s="37" t="s">
        <v>1</v>
      </c>
      <c r="S9" s="38">
        <f t="shared" ref="S9:S13" si="10">$C$4*(1+C$5+C$6+C$7+C$8)+C$9</f>
        <v>2318.4</v>
      </c>
      <c r="T9" s="39">
        <f t="shared" ref="T9:T13" si="11">($C$5+$C$6+$C$7+$C$8)+($C$9+$C$10)/$C$4</f>
        <v>1.44042105263158</v>
      </c>
      <c r="U9" s="39">
        <f t="shared" ref="U9:U13" si="12">IF(R9=$C$1,SUM($E$4:$E$9),SUM($E$4:$E$8))</f>
        <v>1.312</v>
      </c>
      <c r="V9" s="41">
        <f t="shared" ref="V9:V13" si="13">1+$G$10*($I$10-1)</f>
        <v>2.74525</v>
      </c>
      <c r="W9" s="40">
        <f t="shared" si="2"/>
        <v>0.4</v>
      </c>
      <c r="X9" s="41">
        <f t="shared" ref="X9:X13" si="14">$AF$8</f>
        <v>0.598689185782707</v>
      </c>
      <c r="Y9" s="37">
        <f t="shared" ref="Y9:Y13" si="15">$AF$11</f>
        <v>0.8</v>
      </c>
      <c r="Z9" s="42">
        <v>0</v>
      </c>
      <c r="AA9" s="42">
        <v>0</v>
      </c>
      <c r="AB9" s="42">
        <v>0</v>
      </c>
      <c r="AC9" s="19">
        <f t="shared" ref="AC9:AC13" si="16">Q9*$C$4*(1+T9)*(1+U9)*V9*(1+W9)*X9*Y9*(1+Z9)*(1+AA9)*(1+AB9)*O9</f>
        <v>61912.3690079683</v>
      </c>
    </row>
    <row r="10" s="1" customFormat="1" ht="15" spans="2:33">
      <c r="B10" s="49" t="s">
        <v>54</v>
      </c>
      <c r="C10" s="50"/>
      <c r="D10" s="49"/>
      <c r="E10" s="51"/>
      <c r="F10" s="52" t="s">
        <v>55</v>
      </c>
      <c r="G10" s="53">
        <f>MIN(100%,SUM(G4:G9))</f>
        <v>0.895</v>
      </c>
      <c r="H10" s="52" t="s">
        <v>56</v>
      </c>
      <c r="I10" s="53">
        <f>SUM(I4:I9)</f>
        <v>2.95</v>
      </c>
      <c r="J10" s="54"/>
      <c r="K10" s="124"/>
      <c r="L10" s="49"/>
      <c r="M10" s="50"/>
      <c r="O10" s="35">
        <v>1</v>
      </c>
      <c r="P10" s="19" t="s">
        <v>46</v>
      </c>
      <c r="Q10" s="39">
        <f t="shared" si="9"/>
        <v>6.2748</v>
      </c>
      <c r="R10" s="37" t="s">
        <v>1</v>
      </c>
      <c r="S10" s="38">
        <f t="shared" si="10"/>
        <v>2318.4</v>
      </c>
      <c r="T10" s="39">
        <f t="shared" si="11"/>
        <v>1.44042105263158</v>
      </c>
      <c r="U10" s="39">
        <f t="shared" si="12"/>
        <v>1.312</v>
      </c>
      <c r="V10" s="41">
        <f t="shared" si="13"/>
        <v>2.74525</v>
      </c>
      <c r="W10" s="40">
        <f t="shared" si="2"/>
        <v>0.4</v>
      </c>
      <c r="X10" s="41">
        <f t="shared" si="14"/>
        <v>0.598689185782707</v>
      </c>
      <c r="Y10" s="37">
        <f t="shared" si="15"/>
        <v>0.8</v>
      </c>
      <c r="Z10" s="42">
        <v>0</v>
      </c>
      <c r="AA10" s="42">
        <v>0</v>
      </c>
      <c r="AB10" s="42">
        <v>0</v>
      </c>
      <c r="AC10" s="19">
        <f t="shared" si="16"/>
        <v>61912.3690079683</v>
      </c>
    </row>
    <row r="11" s="1" customFormat="1" ht="15" spans="2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58</v>
      </c>
      <c r="Q11" s="39">
        <f>53.68%*2</f>
        <v>1.0736</v>
      </c>
      <c r="R11" s="37" t="s">
        <v>59</v>
      </c>
      <c r="S11" s="38">
        <f t="shared" si="10"/>
        <v>2318.4</v>
      </c>
      <c r="T11" s="39">
        <f t="shared" si="11"/>
        <v>1.44042105263158</v>
      </c>
      <c r="U11" s="39">
        <f t="shared" si="12"/>
        <v>0.82</v>
      </c>
      <c r="V11" s="41">
        <f t="shared" si="13"/>
        <v>2.74525</v>
      </c>
      <c r="W11" s="40">
        <f t="shared" ref="W9:W17" si="17">IF(R11=$C$1,$K$4+$K$5,$K$4)</f>
        <v>0.4</v>
      </c>
      <c r="X11" s="41">
        <f>$AF$3</f>
        <v>0.488431876606684</v>
      </c>
      <c r="Y11" s="37">
        <f t="shared" si="15"/>
        <v>0.8</v>
      </c>
      <c r="Z11" s="42">
        <v>0</v>
      </c>
      <c r="AA11" s="42">
        <v>0</v>
      </c>
      <c r="AB11" s="42">
        <v>0</v>
      </c>
      <c r="AC11" s="19">
        <f t="shared" si="16"/>
        <v>6803.08945248725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61</v>
      </c>
      <c r="Q12" s="39">
        <f>140.73%*2+145%</f>
        <v>4.2646</v>
      </c>
      <c r="R12" s="37" t="s">
        <v>62</v>
      </c>
      <c r="S12" s="38">
        <f t="shared" si="10"/>
        <v>2318.4</v>
      </c>
      <c r="T12" s="39">
        <f t="shared" si="11"/>
        <v>1.44042105263158</v>
      </c>
      <c r="U12" s="39">
        <f t="shared" si="12"/>
        <v>0.82</v>
      </c>
      <c r="V12" s="41">
        <f t="shared" si="13"/>
        <v>2.74525</v>
      </c>
      <c r="W12" s="40">
        <f t="shared" si="17"/>
        <v>0.4</v>
      </c>
      <c r="X12" s="41">
        <f>$AF$3</f>
        <v>0.488431876606684</v>
      </c>
      <c r="Y12" s="37">
        <f t="shared" si="15"/>
        <v>0.8</v>
      </c>
      <c r="Z12" s="42">
        <v>0</v>
      </c>
      <c r="AA12" s="42">
        <v>0</v>
      </c>
      <c r="AB12" s="42">
        <v>0</v>
      </c>
      <c r="AC12" s="19">
        <f t="shared" si="16"/>
        <v>27023.5239186635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64</v>
      </c>
      <c r="Q13" s="39">
        <v>0.8768</v>
      </c>
      <c r="R13" s="37" t="s">
        <v>59</v>
      </c>
      <c r="S13" s="38">
        <f t="shared" si="10"/>
        <v>2318.4</v>
      </c>
      <c r="T13" s="39">
        <f t="shared" si="11"/>
        <v>1.44042105263158</v>
      </c>
      <c r="U13" s="39">
        <f t="shared" si="12"/>
        <v>0.82</v>
      </c>
      <c r="V13" s="41">
        <f t="shared" si="13"/>
        <v>2.74525</v>
      </c>
      <c r="W13" s="40">
        <f t="shared" si="17"/>
        <v>0.4</v>
      </c>
      <c r="X13" s="41">
        <f>$AF$3</f>
        <v>0.488431876606684</v>
      </c>
      <c r="Y13" s="37">
        <f t="shared" si="15"/>
        <v>0.8</v>
      </c>
      <c r="Z13" s="42">
        <v>0</v>
      </c>
      <c r="AA13" s="42">
        <v>0</v>
      </c>
      <c r="AB13" s="42">
        <v>0</v>
      </c>
      <c r="AC13" s="19">
        <f t="shared" si="16"/>
        <v>5556.02536507155</v>
      </c>
      <c r="AE13" s="125" t="s">
        <v>65</v>
      </c>
      <c r="AF13" s="125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9" t="s">
        <v>32</v>
      </c>
      <c r="Q14" s="39">
        <v>2.5051</v>
      </c>
      <c r="R14" s="37" t="s">
        <v>1</v>
      </c>
      <c r="S14" s="38">
        <f t="shared" ref="S14:S17" si="18">$C$4*(1+C$5+C$6+C$7+C$8)+C$9</f>
        <v>2318.4</v>
      </c>
      <c r="T14" s="39">
        <f t="shared" ref="T14:T17" si="19">($C$5+$C$6+$C$7+$C$8)+($C$9+$C$10)/$C$4</f>
        <v>1.44042105263158</v>
      </c>
      <c r="U14" s="39">
        <f t="shared" ref="U14:U17" si="20">IF(R14=$C$1,SUM($E$4:$E$9),SUM($E$4:$E$8))-20%</f>
        <v>1.112</v>
      </c>
      <c r="V14" s="41">
        <f t="shared" ref="V14:V17" si="21">1+$G$10*($I$10-1)</f>
        <v>2.74525</v>
      </c>
      <c r="W14" s="40">
        <f t="shared" si="17"/>
        <v>0.4</v>
      </c>
      <c r="X14" s="41">
        <f t="shared" ref="X14:X17" si="22">$AF$8</f>
        <v>0.598689185782707</v>
      </c>
      <c r="Y14" s="37">
        <f t="shared" ref="Y14:Y17" si="23">$AF$11</f>
        <v>0.8</v>
      </c>
      <c r="Z14" s="42">
        <v>0</v>
      </c>
      <c r="AA14" s="42">
        <v>0</v>
      </c>
      <c r="AB14" s="42">
        <v>0</v>
      </c>
      <c r="AC14" s="19">
        <f t="shared" ref="AC14:AC17" si="24">Q14*$C$4*(1+T14)*(1+U14)*V14*(1+W14)*X14*Y14*(1+Z14)*(1+AA14)*(1+AB14)*O14</f>
        <v>22579.2070125349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9" t="s">
        <v>72</v>
      </c>
      <c r="Q15" s="39">
        <f>205.97%+95.43%*3+266.41%*2</f>
        <v>10.2508</v>
      </c>
      <c r="R15" s="37" t="s">
        <v>1</v>
      </c>
      <c r="S15" s="38">
        <f t="shared" si="18"/>
        <v>2318.4</v>
      </c>
      <c r="T15" s="39">
        <f t="shared" si="19"/>
        <v>1.44042105263158</v>
      </c>
      <c r="U15" s="39">
        <f t="shared" si="20"/>
        <v>1.112</v>
      </c>
      <c r="V15" s="41">
        <f t="shared" si="21"/>
        <v>2.74525</v>
      </c>
      <c r="W15" s="40">
        <f t="shared" si="17"/>
        <v>0.4</v>
      </c>
      <c r="X15" s="41">
        <f t="shared" si="22"/>
        <v>0.598689185782707</v>
      </c>
      <c r="Y15" s="37">
        <f t="shared" si="23"/>
        <v>0.8</v>
      </c>
      <c r="Z15" s="42">
        <v>0</v>
      </c>
      <c r="AA15" s="42">
        <v>0</v>
      </c>
      <c r="AB15" s="42">
        <v>0</v>
      </c>
      <c r="AC15" s="19">
        <f t="shared" si="24"/>
        <v>92393.4913752317</v>
      </c>
      <c r="AE15" s="133" t="s">
        <v>73</v>
      </c>
      <c r="AF15" s="134">
        <v>0.8</v>
      </c>
    </row>
    <row r="16" s="1" customFormat="1" ht="15" spans="2:33">
      <c r="B16" s="4" t="s">
        <v>74</v>
      </c>
      <c r="C16" s="100">
        <f>SUM(AC3:AC17)</f>
        <v>702055.866547859</v>
      </c>
      <c r="D16" s="100">
        <f>C16/$E$16</f>
        <v>28082.2346619144</v>
      </c>
      <c r="E16" s="101">
        <v>25</v>
      </c>
      <c r="F16" s="102">
        <f>C16/$C$18</f>
        <v>0.910563230168206</v>
      </c>
      <c r="G16" s="2"/>
      <c r="O16" s="35">
        <v>1</v>
      </c>
      <c r="P16" s="135" t="s">
        <v>75</v>
      </c>
      <c r="Q16" s="39">
        <f>219.79%*2</f>
        <v>4.3958</v>
      </c>
      <c r="R16" s="37" t="s">
        <v>1</v>
      </c>
      <c r="S16" s="38">
        <f t="shared" si="18"/>
        <v>2318.4</v>
      </c>
      <c r="T16" s="39">
        <f t="shared" si="19"/>
        <v>1.44042105263158</v>
      </c>
      <c r="U16" s="39">
        <f t="shared" si="20"/>
        <v>1.112</v>
      </c>
      <c r="V16" s="41">
        <f t="shared" si="21"/>
        <v>2.74525</v>
      </c>
      <c r="W16" s="40">
        <f t="shared" si="17"/>
        <v>0.4</v>
      </c>
      <c r="X16" s="41">
        <f t="shared" si="22"/>
        <v>0.598689185782707</v>
      </c>
      <c r="Y16" s="37">
        <f t="shared" si="23"/>
        <v>0.8</v>
      </c>
      <c r="Z16" s="42">
        <v>0</v>
      </c>
      <c r="AA16" s="42">
        <v>0</v>
      </c>
      <c r="AB16" s="42">
        <v>0</v>
      </c>
      <c r="AC16" s="19">
        <f t="shared" si="24"/>
        <v>39620.6451581577</v>
      </c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AC22</f>
        <v>68956.8904884319</v>
      </c>
      <c r="D17" s="100">
        <f>C17/$E$16</f>
        <v>2758.27561953727</v>
      </c>
      <c r="E17" s="103"/>
      <c r="F17" s="102">
        <f>C17/$C$18</f>
        <v>0.0894367698317943</v>
      </c>
      <c r="G17" s="2"/>
      <c r="J17" s="39"/>
      <c r="O17" s="35">
        <v>1</v>
      </c>
      <c r="P17" s="135" t="s">
        <v>78</v>
      </c>
      <c r="Q17" s="39">
        <v>1.5905</v>
      </c>
      <c r="R17" s="37" t="s">
        <v>1</v>
      </c>
      <c r="S17" s="38">
        <f t="shared" si="18"/>
        <v>2318.4</v>
      </c>
      <c r="T17" s="39">
        <f t="shared" si="19"/>
        <v>1.44042105263158</v>
      </c>
      <c r="U17" s="39">
        <f t="shared" si="20"/>
        <v>1.112</v>
      </c>
      <c r="V17" s="41">
        <f t="shared" si="21"/>
        <v>2.74525</v>
      </c>
      <c r="W17" s="40">
        <f t="shared" si="17"/>
        <v>0.4</v>
      </c>
      <c r="X17" s="41">
        <f t="shared" si="22"/>
        <v>0.598689185782707</v>
      </c>
      <c r="Y17" s="37">
        <f t="shared" si="23"/>
        <v>0.8</v>
      </c>
      <c r="Z17" s="42">
        <v>0</v>
      </c>
      <c r="AA17" s="42">
        <v>0</v>
      </c>
      <c r="AB17" s="42">
        <v>0</v>
      </c>
      <c r="AC17" s="19">
        <f t="shared" si="24"/>
        <v>14335.6467819395</v>
      </c>
    </row>
    <row r="18" s="1" customFormat="1" ht="15" spans="2:32">
      <c r="B18" s="4" t="s">
        <v>79</v>
      </c>
      <c r="C18" s="104">
        <f>SUM(C16:C17)</f>
        <v>771012.757036291</v>
      </c>
      <c r="D18" s="104">
        <f>C18/E16</f>
        <v>30840.5102814516</v>
      </c>
      <c r="E18" s="105"/>
      <c r="F18" s="106"/>
      <c r="G18" s="2"/>
      <c r="AE18" s="1" t="s">
        <v>80</v>
      </c>
      <c r="AF18" s="1">
        <v>0.8</v>
      </c>
    </row>
    <row r="19" s="1" customFormat="1" ht="15" spans="2:32">
      <c r="B19" s="4"/>
      <c r="C19" s="4"/>
      <c r="D19" s="4"/>
      <c r="G19" s="2"/>
      <c r="O19" s="70">
        <f t="shared" ref="O19:O21" si="25">$O$22</f>
        <v>1</v>
      </c>
      <c r="P19" s="72" t="s">
        <v>81</v>
      </c>
      <c r="Q19" s="71">
        <v>18.8075</v>
      </c>
      <c r="R19" s="72" t="s">
        <v>82</v>
      </c>
      <c r="S19" s="72">
        <v>10027</v>
      </c>
      <c r="T19" s="71">
        <v>0</v>
      </c>
      <c r="U19" s="71">
        <v>0</v>
      </c>
      <c r="V19" s="73">
        <v>1</v>
      </c>
      <c r="W19" s="74">
        <v>0</v>
      </c>
      <c r="X19" s="73">
        <f t="shared" ref="X19:X22" si="26">$AF$3</f>
        <v>0.488431876606684</v>
      </c>
      <c r="Y19" s="72">
        <f t="shared" ref="Y19:Y22" si="27">$AF$18</f>
        <v>0.8</v>
      </c>
      <c r="Z19" s="75">
        <v>0</v>
      </c>
      <c r="AA19" s="75">
        <v>0</v>
      </c>
      <c r="AB19" s="34">
        <v>0.5</v>
      </c>
      <c r="AC19" s="137">
        <f t="shared" ref="AC19:AC22" si="28">Q19*S19*(1+T19)*(1+U19)*V19*(1+W19)*X19*Y19*(1+Z19)*(1+AA19)*(1+AB19)*O19</f>
        <v>110531.822544987</v>
      </c>
    </row>
    <row r="20" s="1" customFormat="1" ht="15" spans="2:32">
      <c r="B20" s="4"/>
      <c r="C20" s="4"/>
      <c r="D20" s="4"/>
      <c r="F20" s="4"/>
      <c r="G20" s="2"/>
      <c r="O20" s="29">
        <f t="shared" si="25"/>
        <v>1</v>
      </c>
      <c r="P20" s="66" t="s">
        <v>83</v>
      </c>
      <c r="Q20" s="80">
        <v>2.9822</v>
      </c>
      <c r="R20" s="66" t="s">
        <v>82</v>
      </c>
      <c r="S20" s="66">
        <v>10027</v>
      </c>
      <c r="T20" s="80">
        <v>0</v>
      </c>
      <c r="U20" s="80">
        <v>0</v>
      </c>
      <c r="V20" s="81">
        <v>1</v>
      </c>
      <c r="W20" s="82">
        <v>0</v>
      </c>
      <c r="X20" s="81">
        <f t="shared" si="26"/>
        <v>0.488431876606684</v>
      </c>
      <c r="Y20" s="66">
        <f t="shared" si="27"/>
        <v>0.8</v>
      </c>
      <c r="Z20" s="83">
        <v>0</v>
      </c>
      <c r="AA20" s="83">
        <v>0</v>
      </c>
      <c r="AB20" s="31">
        <v>0.5</v>
      </c>
      <c r="AC20" s="137">
        <f t="shared" si="28"/>
        <v>17526.4123989717</v>
      </c>
    </row>
    <row r="21" s="1" customFormat="1" ht="15" spans="2:32">
      <c r="B21" s="1" t="s">
        <v>84</v>
      </c>
      <c r="F21" s="4"/>
      <c r="G21" s="2"/>
      <c r="O21" s="29">
        <f t="shared" si="25"/>
        <v>1</v>
      </c>
      <c r="P21" s="66" t="s">
        <v>85</v>
      </c>
      <c r="Q21" s="80">
        <v>5.9643</v>
      </c>
      <c r="R21" s="66" t="s">
        <v>82</v>
      </c>
      <c r="S21" s="66">
        <v>10027</v>
      </c>
      <c r="T21" s="80">
        <v>0</v>
      </c>
      <c r="U21" s="80">
        <v>0</v>
      </c>
      <c r="V21" s="81">
        <v>1</v>
      </c>
      <c r="W21" s="82">
        <v>0</v>
      </c>
      <c r="X21" s="81">
        <f t="shared" si="26"/>
        <v>0.488431876606684</v>
      </c>
      <c r="Y21" s="66">
        <f t="shared" si="27"/>
        <v>0.8</v>
      </c>
      <c r="Z21" s="83">
        <v>0</v>
      </c>
      <c r="AA21" s="83">
        <v>0</v>
      </c>
      <c r="AB21" s="31">
        <v>0.5</v>
      </c>
      <c r="AC21" s="138">
        <f t="shared" si="28"/>
        <v>35052.2370971722</v>
      </c>
    </row>
    <row r="22" s="1" customFormat="1" ht="15" spans="2:32">
      <c r="G22" s="2"/>
      <c r="O22" s="16">
        <v>1</v>
      </c>
      <c r="P22" s="139" t="s">
        <v>77</v>
      </c>
      <c r="Q22" s="140">
        <v>16</v>
      </c>
      <c r="R22" s="139" t="s">
        <v>86</v>
      </c>
      <c r="S22" s="139">
        <v>10027</v>
      </c>
      <c r="T22" s="140">
        <v>0</v>
      </c>
      <c r="U22" s="140">
        <v>0</v>
      </c>
      <c r="V22" s="141">
        <v>1</v>
      </c>
      <c r="W22" s="142">
        <v>0</v>
      </c>
      <c r="X22" s="141">
        <f t="shared" si="26"/>
        <v>0.488431876606684</v>
      </c>
      <c r="Y22" s="139">
        <f t="shared" si="27"/>
        <v>0.8</v>
      </c>
      <c r="Z22" s="143">
        <v>0</v>
      </c>
      <c r="AA22" s="143">
        <v>0</v>
      </c>
      <c r="AB22" s="144">
        <v>0.1</v>
      </c>
      <c r="AC22" s="145">
        <f t="shared" si="28"/>
        <v>68956.8904884319</v>
      </c>
    </row>
    <row r="23" s="1" customFormat="1" spans="2:32">
      <c r="B23" s="4"/>
      <c r="C23" s="4"/>
      <c r="D23" s="4"/>
      <c r="F23" s="4"/>
      <c r="G23" s="2"/>
      <c r="Q23" s="2"/>
      <c r="U23" s="2"/>
      <c r="V23" s="3"/>
      <c r="AB23" s="4"/>
      <c r="AC23" s="4"/>
    </row>
    <row r="24" s="1" customFormat="1" spans="2:32">
      <c r="B24" s="4"/>
      <c r="C24" s="4"/>
      <c r="D24" s="4"/>
      <c r="F24" s="4"/>
      <c r="G24" s="2"/>
      <c r="O24" s="147" t="s">
        <v>4</v>
      </c>
      <c r="P24" s="147"/>
      <c r="Q24" s="148"/>
      <c r="R24" s="147"/>
      <c r="S24" s="147"/>
      <c r="T24" s="147"/>
      <c r="U24" s="148"/>
      <c r="V24" s="149"/>
      <c r="W24" s="147"/>
      <c r="X24" s="147"/>
      <c r="Y24" s="147"/>
      <c r="Z24" s="147"/>
      <c r="AA24" s="147"/>
      <c r="AB24" s="150"/>
      <c r="AC24" s="151"/>
    </row>
    <row r="25" s="1" customFormat="1" ht="15" spans="2:32">
      <c r="O25" s="66">
        <v>1</v>
      </c>
      <c r="P25" s="152" t="s">
        <v>87</v>
      </c>
      <c r="Q25" s="153">
        <f>IF(N41&gt;0,(MAX(45%,112.5%+112.5%*(N41-2))),(IF(N41&lt;=0,0)))</f>
        <v>5.625</v>
      </c>
      <c r="R25" s="152" t="s">
        <v>87</v>
      </c>
      <c r="S25" s="154">
        <v>3674.1</v>
      </c>
      <c r="T25" s="155">
        <v>0</v>
      </c>
      <c r="U25" s="155">
        <v>0</v>
      </c>
      <c r="V25" s="156">
        <v>1</v>
      </c>
      <c r="W25" s="157">
        <v>0</v>
      </c>
      <c r="X25" s="156">
        <f t="shared" ref="X25:X28" si="29">$AF$3</f>
        <v>0.488431876606684</v>
      </c>
      <c r="Y25" s="152">
        <f>$AF$13</f>
        <v>0.8</v>
      </c>
      <c r="Z25" s="158">
        <v>0</v>
      </c>
      <c r="AA25" s="158">
        <v>0</v>
      </c>
      <c r="AB25" s="158">
        <v>0</v>
      </c>
      <c r="AC25" s="159">
        <f t="shared" ref="AC25:AC28" si="30">Q25*S25*(1+T25)*(1+U25)*V25*(1+W25)*X25*Y25*(1+Z25)*(1+AA25)*(1+AB25)*O25</f>
        <v>8075.46401028278</v>
      </c>
    </row>
    <row r="26" s="1" customFormat="1" ht="15" spans="2:32">
      <c r="B26" s="4"/>
      <c r="C26" s="4"/>
      <c r="D26" s="4"/>
      <c r="F26" s="4"/>
      <c r="G26" s="2"/>
      <c r="O26" s="66">
        <v>1</v>
      </c>
      <c r="P26" s="160" t="s">
        <v>88</v>
      </c>
      <c r="Q26" s="161">
        <f>IF(N42=1,0.3,IF(AND(N42&gt;=2,N42&lt;=10),0.3+0.2439*(N42-1),IF(AND(N42&gt;=11),2.4951+0.8317*(N42-10),IF(AND(N42&lt;=0),0,""))))</f>
        <v>2.4951</v>
      </c>
      <c r="R26" s="160" t="s">
        <v>88</v>
      </c>
      <c r="S26" s="162">
        <v>3674.1</v>
      </c>
      <c r="T26" s="163">
        <v>0</v>
      </c>
      <c r="U26" s="163">
        <v>0</v>
      </c>
      <c r="V26" s="164">
        <v>1</v>
      </c>
      <c r="W26" s="165">
        <v>0</v>
      </c>
      <c r="X26" s="164">
        <f t="shared" si="29"/>
        <v>0.488431876606684</v>
      </c>
      <c r="Y26" s="160">
        <f>$AF$11</f>
        <v>0.8</v>
      </c>
      <c r="Z26" s="166">
        <v>0</v>
      </c>
      <c r="AA26" s="166">
        <v>0</v>
      </c>
      <c r="AB26" s="166">
        <v>0</v>
      </c>
      <c r="AC26" s="167">
        <f t="shared" si="30"/>
        <v>3582.0604892545</v>
      </c>
    </row>
    <row r="27" s="1" customFormat="1" ht="15" spans="2:32">
      <c r="B27" s="4"/>
      <c r="C27" s="4"/>
      <c r="D27" s="4"/>
      <c r="F27" s="4"/>
      <c r="G27" s="2"/>
      <c r="O27" s="66">
        <v>1</v>
      </c>
      <c r="P27" s="133" t="s">
        <v>89</v>
      </c>
      <c r="Q27" s="168">
        <f>IF(N43=1,24.5%,IF(AND(10&gt;=N43,N43&gt;=2),24.5%+(N43-1)*19.9185%,IF(AND(13&gt;=N43,N43&gt;=11),203.77%+(N43-10)*(271.69%-203.77%),"")))</f>
        <v>4.0753</v>
      </c>
      <c r="R27" s="133" t="s">
        <v>89</v>
      </c>
      <c r="S27" s="169">
        <v>3674.1</v>
      </c>
      <c r="T27" s="170">
        <v>0</v>
      </c>
      <c r="U27" s="170">
        <v>0</v>
      </c>
      <c r="V27" s="171">
        <v>1</v>
      </c>
      <c r="W27" s="172">
        <v>0</v>
      </c>
      <c r="X27" s="171">
        <f t="shared" si="29"/>
        <v>0.488431876606684</v>
      </c>
      <c r="Y27" s="133">
        <f>$AF$15</f>
        <v>0.8</v>
      </c>
      <c r="Z27" s="173">
        <v>0</v>
      </c>
      <c r="AA27" s="173">
        <v>0</v>
      </c>
      <c r="AB27" s="173">
        <v>0</v>
      </c>
      <c r="AC27" s="174">
        <f t="shared" si="30"/>
        <v>5850.65572997429</v>
      </c>
    </row>
    <row r="28" s="1" customFormat="1" ht="15" spans="2:32">
      <c r="G28" s="2"/>
      <c r="O28" s="94">
        <v>1</v>
      </c>
      <c r="P28" s="175" t="s">
        <v>90</v>
      </c>
      <c r="Q28" s="176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8" s="175" t="s">
        <v>90</v>
      </c>
      <c r="S28" s="177">
        <v>3674.1</v>
      </c>
      <c r="T28" s="178">
        <v>0</v>
      </c>
      <c r="U28" s="178">
        <v>0</v>
      </c>
      <c r="V28" s="179">
        <v>1</v>
      </c>
      <c r="W28" s="180">
        <v>0</v>
      </c>
      <c r="X28" s="179">
        <f t="shared" si="29"/>
        <v>0.488431876606684</v>
      </c>
      <c r="Y28" s="175">
        <f>$AF$16</f>
        <v>0.8</v>
      </c>
      <c r="Z28" s="181">
        <v>0</v>
      </c>
      <c r="AA28" s="181">
        <v>0</v>
      </c>
      <c r="AB28" s="181">
        <v>0</v>
      </c>
      <c r="AC28" s="182">
        <f t="shared" si="30"/>
        <v>20059.596165347</v>
      </c>
    </row>
    <row r="29" s="1" customFormat="1" spans="2:32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2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H35" s="1"/>
      <c r="I35" s="1"/>
      <c r="J35" s="1"/>
      <c r="K35" s="1"/>
      <c r="L35" s="1"/>
      <c r="M35" s="1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H37" s="1"/>
      <c r="I37" s="1"/>
      <c r="J37" s="1"/>
      <c r="K37" s="1"/>
      <c r="L37" s="1"/>
      <c r="M37" s="1"/>
      <c r="Q37" s="2"/>
      <c r="U37" s="2"/>
      <c r="V37" s="3"/>
      <c r="AB37" s="4"/>
      <c r="AC37" s="4"/>
    </row>
    <row r="38" s="1" customFormat="1" spans="7:29">
      <c r="G38" s="2"/>
      <c r="H38" s="1"/>
      <c r="I38" s="1"/>
      <c r="J38" s="1"/>
      <c r="K38" s="1"/>
      <c r="L38" s="1"/>
      <c r="M38" s="1"/>
      <c r="Q38" s="2"/>
      <c r="U38" s="2"/>
      <c r="V38" s="3"/>
      <c r="AB38" s="4"/>
      <c r="AC38" s="4"/>
    </row>
    <row r="39" s="1" customFormat="1" spans="7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7:29">
      <c r="G40" s="2"/>
      <c r="H40" s="1"/>
      <c r="I40" s="1"/>
      <c r="J40" s="1"/>
      <c r="K40" s="1"/>
      <c r="L40" s="1"/>
      <c r="M40" s="1"/>
      <c r="N40" s="146" t="s">
        <v>91</v>
      </c>
      <c r="Q40" s="2"/>
      <c r="U40" s="2"/>
      <c r="V40" s="3"/>
      <c r="AB40" s="4"/>
      <c r="AC40" s="4"/>
    </row>
    <row r="41" s="1" customFormat="1" spans="7:29">
      <c r="G41" s="2"/>
      <c r="H41" s="1"/>
      <c r="I41" s="1"/>
      <c r="J41" s="1"/>
      <c r="K41" s="1"/>
      <c r="L41" s="1"/>
      <c r="M41" s="1"/>
      <c r="N41" s="29">
        <v>6</v>
      </c>
      <c r="Q41" s="2"/>
      <c r="U41" s="2"/>
      <c r="V41" s="3"/>
      <c r="AB41" s="4"/>
      <c r="AC41" s="4"/>
    </row>
    <row r="42" s="1" customFormat="1" spans="7:29">
      <c r="G42" s="2"/>
      <c r="H42" s="1"/>
      <c r="I42" s="1"/>
      <c r="J42" s="1"/>
      <c r="K42" s="1"/>
      <c r="L42" s="1"/>
      <c r="M42" s="1"/>
      <c r="N42" s="29">
        <v>10</v>
      </c>
      <c r="O42" s="1"/>
      <c r="P42" s="1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spans="7:29">
      <c r="G43" s="2"/>
      <c r="H43" s="1"/>
      <c r="I43" s="1"/>
      <c r="J43" s="1"/>
      <c r="K43" s="1"/>
      <c r="L43" s="1"/>
      <c r="M43" s="1"/>
      <c r="N43" s="29">
        <v>13</v>
      </c>
      <c r="Q43" s="2"/>
      <c r="U43" s="2"/>
      <c r="V43" s="3"/>
      <c r="AB43" s="4"/>
      <c r="AC43" s="4"/>
    </row>
    <row r="44" s="1" customFormat="1" spans="7:29">
      <c r="G44" s="2"/>
      <c r="H44" s="1"/>
      <c r="I44" s="1"/>
      <c r="J44" s="1"/>
      <c r="K44" s="1"/>
      <c r="L44" s="1"/>
      <c r="M44" s="1"/>
      <c r="N44" s="49">
        <v>13</v>
      </c>
      <c r="O44" s="1"/>
      <c r="P44" s="1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7:29">
      <c r="G45" s="2"/>
      <c r="H45" s="1"/>
      <c r="I45" s="1"/>
      <c r="J45" s="1"/>
      <c r="K45" s="1"/>
      <c r="L45" s="1"/>
      <c r="M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7:29">
      <c r="G46" s="2"/>
      <c r="H46" s="1"/>
      <c r="I46" s="1"/>
      <c r="J46" s="1"/>
      <c r="K46" s="1"/>
      <c r="L46" s="1"/>
      <c r="M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7:29">
      <c r="G47" s="2"/>
      <c r="H47" s="1"/>
      <c r="I47" s="1"/>
      <c r="J47" s="1"/>
      <c r="K47" s="1"/>
      <c r="L47" s="1"/>
      <c r="M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7:29">
      <c r="G48" s="2"/>
      <c r="H48" s="1"/>
      <c r="I48" s="1"/>
      <c r="J48" s="1"/>
      <c r="K48" s="1"/>
      <c r="L48" s="1"/>
      <c r="M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H59" s="1"/>
      <c r="I59" s="1"/>
      <c r="J59" s="1"/>
      <c r="K59" s="1"/>
      <c r="L59" s="1"/>
      <c r="M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A2" workbookViewId="0">
      <selection activeCell="H21" sqref="H21:H27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8</v>
      </c>
      <c r="T2" s="114" t="s">
        <v>9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26</v>
      </c>
      <c r="Q3" s="39">
        <v>10.9346</v>
      </c>
      <c r="R3" s="37" t="s">
        <v>1</v>
      </c>
      <c r="S3" s="38">
        <f>$C$4*(1+C$5+C$6+C$7+C$8)+C$9</f>
        <v>2812.4</v>
      </c>
      <c r="T3" s="39">
        <f>($C$5+$C$6+$C$7+$C$8)+($C$9+$C$10)/$C$4</f>
        <v>1.96042105263158</v>
      </c>
      <c r="U3" s="39">
        <f t="shared" ref="U3:U11" si="0">IF(R3=$C$1,SUM($E$4:$E$9),SUM($E$4:$E$8))</f>
        <v>1.712</v>
      </c>
      <c r="V3" s="41">
        <f>1+$G$10*($I$10-1)</f>
        <v>2.74525</v>
      </c>
      <c r="W3" s="40">
        <f>IF(R3=$C$1,$K$4+$K$5,$K$4)</f>
        <v>0.8</v>
      </c>
      <c r="X3" s="41">
        <f>$AF$8</f>
        <v>0.704747774480712</v>
      </c>
      <c r="Y3" s="37">
        <f>$AF$11</f>
        <v>0.8</v>
      </c>
      <c r="Z3" s="42">
        <v>0</v>
      </c>
      <c r="AA3" s="42">
        <v>0</v>
      </c>
      <c r="AB3" s="42">
        <v>0</v>
      </c>
      <c r="AC3" s="19">
        <f>Q3*$C$4*(1+T3)*(1+U3)*V3*(1+W3)*X3*Y3*(1+Z3)*(1+AA3)*(1+AB3)*O3</f>
        <v>232352.730538867</v>
      </c>
      <c r="AD3" s="14">
        <v>0</v>
      </c>
      <c r="AE3" s="14">
        <v>0</v>
      </c>
      <c r="AF3" s="15">
        <f t="shared" ref="AF3:AF8" si="1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f>450+500</f>
        <v>950</v>
      </c>
      <c r="D4" s="29" t="s">
        <v>28</v>
      </c>
      <c r="E4" s="31">
        <f>E1*30%</f>
        <v>0.6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v>0.8</v>
      </c>
      <c r="L4" s="29" t="s">
        <v>31</v>
      </c>
      <c r="M4" s="32">
        <f>8.6%*2</f>
        <v>0.172</v>
      </c>
      <c r="O4" s="35">
        <v>1</v>
      </c>
      <c r="P4" s="19" t="s">
        <v>42</v>
      </c>
      <c r="Q4" s="39">
        <f t="shared" ref="Q4:Q8" si="2">319.19%*2</f>
        <v>6.3838</v>
      </c>
      <c r="R4" s="37" t="s">
        <v>1</v>
      </c>
      <c r="S4" s="38">
        <f>$C$4*(1+C$5+C$6+C$7+C$8)+C$9</f>
        <v>2812.4</v>
      </c>
      <c r="T4" s="39">
        <f>($C$5+$C$6+$C$7+$C$8)+($C$9+$C$10)/$C$4</f>
        <v>1.96042105263158</v>
      </c>
      <c r="U4" s="39">
        <f t="shared" si="0"/>
        <v>1.712</v>
      </c>
      <c r="V4" s="41">
        <f>1+$G$10*($I$10-1)</f>
        <v>2.74525</v>
      </c>
      <c r="W4" s="40">
        <f t="shared" ref="W4:W9" si="3">IF(R4=$C$1,$K$4+$K$5,$K$4)+65%</f>
        <v>1.45</v>
      </c>
      <c r="X4" s="41">
        <f>$AF$8</f>
        <v>0.704747774480712</v>
      </c>
      <c r="Y4" s="37">
        <f>$AF$11</f>
        <v>0.8</v>
      </c>
      <c r="Z4" s="42">
        <v>0</v>
      </c>
      <c r="AA4" s="42">
        <v>0</v>
      </c>
      <c r="AB4" s="42">
        <v>0</v>
      </c>
      <c r="AC4" s="19">
        <f>Q4*$C$4*(1+T4)*(1+U4)*V4*(1+W4)*X4*Y4*(1+Z4)*(1+AA4)*(1+AB4)*O4</f>
        <v>184636.573353003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2:33">
      <c r="B5" s="29" t="s">
        <v>33</v>
      </c>
      <c r="C5" s="31">
        <v>0.36</v>
      </c>
      <c r="D5" s="29" t="s">
        <v>34</v>
      </c>
      <c r="E5" s="31">
        <f>12%+10%</f>
        <v>0.22</v>
      </c>
      <c r="F5" s="29" t="s">
        <v>35</v>
      </c>
      <c r="G5" s="32">
        <v>0.36</v>
      </c>
      <c r="H5" s="29" t="s">
        <v>35</v>
      </c>
      <c r="I5" s="32">
        <v>0</v>
      </c>
      <c r="J5" s="44" t="s">
        <v>36</v>
      </c>
      <c r="K5" s="31"/>
      <c r="L5" s="29" t="s">
        <v>37</v>
      </c>
      <c r="M5" s="32">
        <f>8.6%*2</f>
        <v>0.172</v>
      </c>
      <c r="O5" s="35">
        <v>1</v>
      </c>
      <c r="P5" s="19" t="s">
        <v>38</v>
      </c>
      <c r="Q5" s="39">
        <f>205.97%+95.43%*3+266.41%*2</f>
        <v>10.2508</v>
      </c>
      <c r="R5" s="37" t="s">
        <v>1</v>
      </c>
      <c r="S5" s="38">
        <f t="shared" ref="S5:S12" si="4">$C$4*(1+C$5+C$6+C$7+C$8)+C$9</f>
        <v>2812.4</v>
      </c>
      <c r="T5" s="39">
        <f t="shared" ref="T5:T12" si="5">($C$5+$C$6+$C$7+$C$8)+($C$9+$C$10)/$C$4</f>
        <v>1.96042105263158</v>
      </c>
      <c r="U5" s="39">
        <f t="shared" si="0"/>
        <v>1.712</v>
      </c>
      <c r="V5" s="41">
        <f t="shared" ref="V5:V12" si="6">1+$G$10*($I$10-1)</f>
        <v>2.74525</v>
      </c>
      <c r="W5" s="40">
        <f t="shared" si="3"/>
        <v>1.45</v>
      </c>
      <c r="X5" s="41">
        <f t="shared" ref="X5:X9" si="7">$AF$8</f>
        <v>0.704747774480712</v>
      </c>
      <c r="Y5" s="37">
        <f t="shared" ref="Y5:Y12" si="8">$AF$11</f>
        <v>0.8</v>
      </c>
      <c r="Z5" s="42">
        <v>0</v>
      </c>
      <c r="AA5" s="42">
        <v>0</v>
      </c>
      <c r="AB5" s="42">
        <v>0</v>
      </c>
      <c r="AC5" s="19">
        <f t="shared" ref="AC5:AC12" si="9">Q5*$C$4*(1+T5)*(1+U5)*V5*(1+W5)*X5*Y5*(1+Z5)*(1+AA5)*(1+AB5)*O5</f>
        <v>296480.557994763</v>
      </c>
      <c r="AD5" s="14">
        <v>0</v>
      </c>
      <c r="AE5" s="14">
        <v>30</v>
      </c>
      <c r="AF5" s="15">
        <f t="shared" si="1"/>
        <v>0.57698147585788</v>
      </c>
      <c r="AG5" s="28">
        <v>100</v>
      </c>
    </row>
    <row r="6" s="1" customFormat="1" ht="15" spans="2:33">
      <c r="B6" s="29" t="s">
        <v>39</v>
      </c>
      <c r="C6" s="31">
        <f>18%+18%+M4+(2-E1)*30%</f>
        <v>0.532</v>
      </c>
      <c r="D6" s="29" t="s">
        <v>40</v>
      </c>
      <c r="E6" s="31"/>
      <c r="F6" s="29" t="s">
        <v>41</v>
      </c>
      <c r="G6" s="32"/>
      <c r="H6" s="29" t="s">
        <v>41</v>
      </c>
      <c r="I6" s="32">
        <v>0.2</v>
      </c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75</v>
      </c>
      <c r="Q6" s="39">
        <f>219.79%*2</f>
        <v>4.3958</v>
      </c>
      <c r="R6" s="37" t="s">
        <v>1</v>
      </c>
      <c r="S6" s="38">
        <f t="shared" si="4"/>
        <v>2812.4</v>
      </c>
      <c r="T6" s="39">
        <f t="shared" si="5"/>
        <v>1.96042105263158</v>
      </c>
      <c r="U6" s="39">
        <f t="shared" si="0"/>
        <v>1.712</v>
      </c>
      <c r="V6" s="41">
        <f t="shared" si="6"/>
        <v>2.74525</v>
      </c>
      <c r="W6" s="40">
        <f t="shared" si="3"/>
        <v>1.45</v>
      </c>
      <c r="X6" s="41">
        <f t="shared" si="7"/>
        <v>0.704747774480712</v>
      </c>
      <c r="Y6" s="37">
        <f t="shared" si="8"/>
        <v>0.8</v>
      </c>
      <c r="Z6" s="42">
        <v>0</v>
      </c>
      <c r="AA6" s="42">
        <v>0</v>
      </c>
      <c r="AB6" s="42">
        <v>0</v>
      </c>
      <c r="AC6" s="19">
        <f t="shared" si="9"/>
        <v>127138.29523875</v>
      </c>
      <c r="AD6" s="14">
        <v>0</v>
      </c>
      <c r="AE6" s="14">
        <v>21.6</v>
      </c>
      <c r="AF6" s="15">
        <f t="shared" si="1"/>
        <v>0.549107555719967</v>
      </c>
      <c r="AG6" s="28">
        <v>100</v>
      </c>
    </row>
    <row r="7" s="1" customFormat="1" ht="15" spans="2:33">
      <c r="B7" s="29" t="s">
        <v>43</v>
      </c>
      <c r="C7" s="46">
        <f>30%+40%</f>
        <v>0.7</v>
      </c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35" t="s">
        <v>78</v>
      </c>
      <c r="Q7" s="39">
        <f>159.05%+1600%</f>
        <v>17.5905</v>
      </c>
      <c r="R7" s="37" t="s">
        <v>1</v>
      </c>
      <c r="S7" s="38">
        <f t="shared" si="4"/>
        <v>2812.4</v>
      </c>
      <c r="T7" s="39">
        <f t="shared" si="5"/>
        <v>1.96042105263158</v>
      </c>
      <c r="U7" s="39">
        <f t="shared" si="0"/>
        <v>1.712</v>
      </c>
      <c r="V7" s="41">
        <f t="shared" si="6"/>
        <v>2.74525</v>
      </c>
      <c r="W7" s="40">
        <f>IF(R7=$C$1,$K$4+$K$5,$K$4)</f>
        <v>0.8</v>
      </c>
      <c r="X7" s="41">
        <f t="shared" si="7"/>
        <v>0.704747774480712</v>
      </c>
      <c r="Y7" s="37">
        <f t="shared" si="8"/>
        <v>0.8</v>
      </c>
      <c r="Z7" s="42">
        <v>0</v>
      </c>
      <c r="AA7" s="42">
        <v>0</v>
      </c>
      <c r="AB7" s="42">
        <v>0</v>
      </c>
      <c r="AC7" s="19">
        <f t="shared" si="9"/>
        <v>373786.0284367</v>
      </c>
      <c r="AD7" s="14">
        <v>0</v>
      </c>
      <c r="AE7" s="14">
        <v>28.8</v>
      </c>
      <c r="AF7" s="15">
        <f t="shared" si="1"/>
        <v>0.572827476423627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2</v>
      </c>
      <c r="P8" s="135" t="s">
        <v>42</v>
      </c>
      <c r="Q8" s="39">
        <f t="shared" si="2"/>
        <v>6.3838</v>
      </c>
      <c r="R8" s="37" t="s">
        <v>1</v>
      </c>
      <c r="S8" s="38">
        <f t="shared" si="4"/>
        <v>2812.4</v>
      </c>
      <c r="T8" s="39">
        <f t="shared" si="5"/>
        <v>1.96042105263158</v>
      </c>
      <c r="U8" s="39">
        <f t="shared" si="0"/>
        <v>1.712</v>
      </c>
      <c r="V8" s="41">
        <f t="shared" si="6"/>
        <v>2.74525</v>
      </c>
      <c r="W8" s="40">
        <f t="shared" si="3"/>
        <v>1.45</v>
      </c>
      <c r="X8" s="41">
        <f t="shared" si="7"/>
        <v>0.704747774480712</v>
      </c>
      <c r="Y8" s="37">
        <f t="shared" si="8"/>
        <v>0.8</v>
      </c>
      <c r="Z8" s="42">
        <v>0</v>
      </c>
      <c r="AA8" s="42">
        <v>0</v>
      </c>
      <c r="AB8" s="42">
        <v>0</v>
      </c>
      <c r="AC8" s="19">
        <f t="shared" si="9"/>
        <v>369273.146706006</v>
      </c>
      <c r="AD8" s="14">
        <v>0</v>
      </c>
      <c r="AE8" s="14">
        <v>60</v>
      </c>
      <c r="AF8" s="15">
        <f t="shared" si="1"/>
        <v>0.704747774480712</v>
      </c>
      <c r="AG8" s="28">
        <v>100</v>
      </c>
    </row>
    <row r="9" s="1" customFormat="1" ht="15" spans="2:33">
      <c r="B9" s="29" t="s">
        <v>51</v>
      </c>
      <c r="C9" s="30">
        <v>350</v>
      </c>
      <c r="D9" s="29" t="s">
        <v>52</v>
      </c>
      <c r="E9" s="31">
        <f>12%+M5+20%+20%*2</f>
        <v>0.892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38</v>
      </c>
      <c r="Q9" s="39">
        <f>205.97%+95.43%*3+266.41%*2</f>
        <v>10.2508</v>
      </c>
      <c r="R9" s="37" t="s">
        <v>1</v>
      </c>
      <c r="S9" s="38">
        <f t="shared" si="4"/>
        <v>2812.4</v>
      </c>
      <c r="T9" s="39">
        <f t="shared" si="5"/>
        <v>1.96042105263158</v>
      </c>
      <c r="U9" s="39">
        <f t="shared" si="0"/>
        <v>1.712</v>
      </c>
      <c r="V9" s="41">
        <f t="shared" si="6"/>
        <v>2.74525</v>
      </c>
      <c r="W9" s="40">
        <f t="shared" si="3"/>
        <v>1.45</v>
      </c>
      <c r="X9" s="41">
        <f t="shared" si="7"/>
        <v>0.704747774480712</v>
      </c>
      <c r="Y9" s="37">
        <f t="shared" si="8"/>
        <v>0.8</v>
      </c>
      <c r="Z9" s="42">
        <v>0</v>
      </c>
      <c r="AA9" s="42">
        <v>0</v>
      </c>
      <c r="AB9" s="42">
        <v>0</v>
      </c>
      <c r="AC9" s="19">
        <f t="shared" si="9"/>
        <v>296480.557994763</v>
      </c>
    </row>
    <row r="10" s="1" customFormat="1" ht="15" spans="2:33">
      <c r="B10" s="49" t="s">
        <v>54</v>
      </c>
      <c r="C10" s="50"/>
      <c r="D10" s="49"/>
      <c r="E10" s="51"/>
      <c r="F10" s="52" t="s">
        <v>55</v>
      </c>
      <c r="G10" s="53">
        <f>MIN(100%,SUM(G4:G9))</f>
        <v>0.895</v>
      </c>
      <c r="H10" s="52" t="s">
        <v>56</v>
      </c>
      <c r="I10" s="53">
        <f>SUM(I4:I9)</f>
        <v>2.95</v>
      </c>
      <c r="J10" s="54"/>
      <c r="K10" s="124"/>
      <c r="L10" s="49"/>
      <c r="M10" s="50"/>
      <c r="O10" s="35">
        <v>1</v>
      </c>
      <c r="P10" s="19" t="s">
        <v>50</v>
      </c>
      <c r="Q10" s="39">
        <f>164.16%+13.68%</f>
        <v>1.7784</v>
      </c>
      <c r="R10" s="37" t="s">
        <v>50</v>
      </c>
      <c r="S10" s="38">
        <f t="shared" si="4"/>
        <v>2812.4</v>
      </c>
      <c r="T10" s="39">
        <f t="shared" si="5"/>
        <v>1.96042105263158</v>
      </c>
      <c r="U10" s="39">
        <f t="shared" si="0"/>
        <v>0.82</v>
      </c>
      <c r="V10" s="41">
        <f t="shared" si="6"/>
        <v>2.74525</v>
      </c>
      <c r="W10" s="40">
        <f>IF(R10=$C$1,$K$4+$K$5,$K$4)</f>
        <v>0.8</v>
      </c>
      <c r="X10" s="41">
        <f>$AF$3</f>
        <v>0.488431876606684</v>
      </c>
      <c r="Y10" s="37">
        <f t="shared" si="8"/>
        <v>0.8</v>
      </c>
      <c r="Z10" s="42">
        <v>0</v>
      </c>
      <c r="AA10" s="42">
        <v>0</v>
      </c>
      <c r="AB10" s="42">
        <v>0</v>
      </c>
      <c r="AC10" s="19">
        <f t="shared" si="9"/>
        <v>17576.2539511796</v>
      </c>
    </row>
    <row r="11" s="1" customFormat="1" ht="15" spans="2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46</v>
      </c>
      <c r="Q11" s="39">
        <f>126.45%+55.67%*3+167.01%*2</f>
        <v>6.2748</v>
      </c>
      <c r="R11" s="37" t="s">
        <v>1</v>
      </c>
      <c r="S11" s="38">
        <f t="shared" si="4"/>
        <v>2812.4</v>
      </c>
      <c r="T11" s="39">
        <f t="shared" si="5"/>
        <v>1.96042105263158</v>
      </c>
      <c r="U11" s="39">
        <f t="shared" si="0"/>
        <v>1.712</v>
      </c>
      <c r="V11" s="41">
        <f t="shared" si="6"/>
        <v>2.74525</v>
      </c>
      <c r="W11" s="40">
        <f>IF(R11=$C$1,$K$4+$K$5,$K$4)+65%</f>
        <v>1.45</v>
      </c>
      <c r="X11" s="41">
        <f>$AF$8</f>
        <v>0.704747774480712</v>
      </c>
      <c r="Y11" s="37">
        <f t="shared" si="8"/>
        <v>0.8</v>
      </c>
      <c r="Z11" s="42">
        <v>0</v>
      </c>
      <c r="AA11" s="42">
        <v>0</v>
      </c>
      <c r="AB11" s="42">
        <v>0</v>
      </c>
      <c r="AC11" s="19">
        <f t="shared" si="9"/>
        <v>181484.001766256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3</v>
      </c>
      <c r="P12" s="19" t="s">
        <v>46</v>
      </c>
      <c r="Q12" s="39">
        <f>126.45%+55.67%*3+167.01%*2</f>
        <v>6.2748</v>
      </c>
      <c r="R12" s="37" t="s">
        <v>1</v>
      </c>
      <c r="S12" s="38">
        <f t="shared" si="4"/>
        <v>2812.4</v>
      </c>
      <c r="T12" s="39">
        <f t="shared" si="5"/>
        <v>1.96042105263158</v>
      </c>
      <c r="U12" s="39">
        <f>IF(R12=$C$1,SUM($E$4:$E$9),SUM($E$4:$E$8))-40%</f>
        <v>1.312</v>
      </c>
      <c r="V12" s="41">
        <f t="shared" si="6"/>
        <v>2.74525</v>
      </c>
      <c r="W12" s="40">
        <f>IF(R12=$C$1,$K$4+$K$5,$K$4)+65%</f>
        <v>1.45</v>
      </c>
      <c r="X12" s="41">
        <f>$AF$8</f>
        <v>0.704747774480712</v>
      </c>
      <c r="Y12" s="37">
        <f t="shared" si="8"/>
        <v>0.8</v>
      </c>
      <c r="Z12" s="42">
        <v>0</v>
      </c>
      <c r="AA12" s="42">
        <v>0</v>
      </c>
      <c r="AB12" s="42">
        <v>0</v>
      </c>
      <c r="AC12" s="19">
        <f t="shared" si="9"/>
        <v>464149.349649982</v>
      </c>
      <c r="AE12" s="85" t="s">
        <v>63</v>
      </c>
      <c r="AF12" s="85">
        <v>0.8</v>
      </c>
    </row>
    <row r="13" s="1" customFormat="1" spans="2:33">
      <c r="G13" s="2"/>
      <c r="AE13" s="125" t="s">
        <v>65</v>
      </c>
      <c r="AF13" s="125">
        <v>0.8</v>
      </c>
    </row>
    <row r="14" s="1" customFormat="1" ht="15" spans="2:33">
      <c r="B14" s="90" t="s">
        <v>66</v>
      </c>
      <c r="D14" s="90"/>
      <c r="G14" s="2"/>
      <c r="O14" s="70">
        <f t="shared" ref="O14:O16" si="10">$O$17</f>
        <v>1</v>
      </c>
      <c r="P14" s="72" t="s">
        <v>81</v>
      </c>
      <c r="Q14" s="71">
        <v>18.8075</v>
      </c>
      <c r="R14" s="72" t="s">
        <v>82</v>
      </c>
      <c r="S14" s="72">
        <v>10027</v>
      </c>
      <c r="T14" s="71">
        <v>0</v>
      </c>
      <c r="U14" s="71">
        <v>0</v>
      </c>
      <c r="V14" s="73">
        <v>1</v>
      </c>
      <c r="W14" s="74">
        <v>0</v>
      </c>
      <c r="X14" s="73">
        <f t="shared" ref="X14:X17" si="11">$AF$3</f>
        <v>0.488431876606684</v>
      </c>
      <c r="Y14" s="72">
        <f t="shared" ref="Y14:Y17" si="12">$AF$18</f>
        <v>0.8</v>
      </c>
      <c r="Z14" s="75">
        <v>0</v>
      </c>
      <c r="AA14" s="75">
        <v>0</v>
      </c>
      <c r="AB14" s="34">
        <v>0.5</v>
      </c>
      <c r="AC14" s="137">
        <f t="shared" ref="AC14:AC17" si="13">Q14*S14*(1+T14)*(1+U14)*V14*(1+W14)*X14*Y14*(1+Z14)*(1+AA14)*(1+AB14)*O14</f>
        <v>110531.822544987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29">
        <f t="shared" si="10"/>
        <v>1</v>
      </c>
      <c r="P15" s="66" t="s">
        <v>83</v>
      </c>
      <c r="Q15" s="80">
        <v>2.9822</v>
      </c>
      <c r="R15" s="66" t="s">
        <v>82</v>
      </c>
      <c r="S15" s="66">
        <v>10027</v>
      </c>
      <c r="T15" s="80">
        <v>0</v>
      </c>
      <c r="U15" s="80">
        <v>0</v>
      </c>
      <c r="V15" s="81">
        <v>1</v>
      </c>
      <c r="W15" s="82">
        <v>0</v>
      </c>
      <c r="X15" s="81">
        <f t="shared" si="11"/>
        <v>0.488431876606684</v>
      </c>
      <c r="Y15" s="66">
        <f t="shared" si="12"/>
        <v>0.8</v>
      </c>
      <c r="Z15" s="83">
        <v>0</v>
      </c>
      <c r="AA15" s="83">
        <v>0</v>
      </c>
      <c r="AB15" s="31">
        <v>0.5</v>
      </c>
      <c r="AC15" s="137">
        <f t="shared" si="13"/>
        <v>17526.4123989717</v>
      </c>
      <c r="AE15" s="133" t="s">
        <v>73</v>
      </c>
      <c r="AF15" s="134">
        <v>0.8</v>
      </c>
    </row>
    <row r="16" s="1" customFormat="1" ht="15" spans="2:33">
      <c r="B16" s="4" t="s">
        <v>74</v>
      </c>
      <c r="C16" s="100">
        <f>SUM(AC3:AC12)</f>
        <v>2543357.49563027</v>
      </c>
      <c r="D16" s="100">
        <f>C16/$E$16</f>
        <v>101734.299825211</v>
      </c>
      <c r="E16" s="101">
        <v>25</v>
      </c>
      <c r="F16" s="102">
        <f>C16/$C$18</f>
        <v>0.973603142541015</v>
      </c>
      <c r="G16" s="2"/>
      <c r="O16" s="29">
        <f t="shared" si="10"/>
        <v>1</v>
      </c>
      <c r="P16" s="66" t="s">
        <v>85</v>
      </c>
      <c r="Q16" s="80">
        <v>5.9643</v>
      </c>
      <c r="R16" s="66" t="s">
        <v>82</v>
      </c>
      <c r="S16" s="66">
        <v>10027</v>
      </c>
      <c r="T16" s="80">
        <v>0</v>
      </c>
      <c r="U16" s="80">
        <v>0</v>
      </c>
      <c r="V16" s="81">
        <v>1</v>
      </c>
      <c r="W16" s="82">
        <v>0</v>
      </c>
      <c r="X16" s="81">
        <f t="shared" si="11"/>
        <v>0.488431876606684</v>
      </c>
      <c r="Y16" s="66">
        <f t="shared" si="12"/>
        <v>0.8</v>
      </c>
      <c r="Z16" s="83">
        <v>0</v>
      </c>
      <c r="AA16" s="83">
        <v>0</v>
      </c>
      <c r="AB16" s="31">
        <v>0.5</v>
      </c>
      <c r="AC16" s="138">
        <f t="shared" si="13"/>
        <v>35052.2370971722</v>
      </c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AC17</f>
        <v>68956.8904884319</v>
      </c>
      <c r="D17" s="100">
        <f>C17/$E$16</f>
        <v>2758.27561953727</v>
      </c>
      <c r="E17" s="103"/>
      <c r="F17" s="102">
        <f>C17/$C$18</f>
        <v>0.0263968574589852</v>
      </c>
      <c r="G17" s="2"/>
      <c r="O17" s="16">
        <v>1</v>
      </c>
      <c r="P17" s="139" t="s">
        <v>77</v>
      </c>
      <c r="Q17" s="140">
        <v>16</v>
      </c>
      <c r="R17" s="139" t="s">
        <v>86</v>
      </c>
      <c r="S17" s="139">
        <v>10027</v>
      </c>
      <c r="T17" s="140">
        <v>0</v>
      </c>
      <c r="U17" s="140">
        <v>0</v>
      </c>
      <c r="V17" s="141">
        <v>1</v>
      </c>
      <c r="W17" s="142">
        <v>0</v>
      </c>
      <c r="X17" s="141">
        <f t="shared" si="11"/>
        <v>0.488431876606684</v>
      </c>
      <c r="Y17" s="139">
        <f t="shared" si="12"/>
        <v>0.8</v>
      </c>
      <c r="Z17" s="143">
        <v>0</v>
      </c>
      <c r="AA17" s="143">
        <v>0</v>
      </c>
      <c r="AB17" s="144">
        <v>0.1</v>
      </c>
      <c r="AC17" s="145">
        <f t="shared" si="13"/>
        <v>68956.8904884319</v>
      </c>
    </row>
    <row r="18" s="1" customFormat="1" ht="15" spans="2:32">
      <c r="B18" s="4" t="s">
        <v>79</v>
      </c>
      <c r="C18" s="104">
        <f>SUM(C16:C17)</f>
        <v>2612314.3861187</v>
      </c>
      <c r="D18" s="104">
        <f>C18/E16</f>
        <v>104492.575444748</v>
      </c>
      <c r="E18" s="105"/>
      <c r="F18" s="106"/>
      <c r="G18" s="2"/>
      <c r="Q18" s="2"/>
      <c r="U18" s="2"/>
      <c r="V18" s="3"/>
      <c r="AB18" s="4"/>
      <c r="AC18" s="4"/>
      <c r="AE18" s="1" t="s">
        <v>80</v>
      </c>
      <c r="AF18" s="1">
        <v>0.8</v>
      </c>
    </row>
    <row r="19" s="1" customFormat="1" spans="2:32">
      <c r="B19" s="4"/>
      <c r="C19" s="4"/>
      <c r="D19" s="4"/>
      <c r="G19" s="184"/>
      <c r="N19" s="146" t="s">
        <v>91</v>
      </c>
      <c r="O19" s="147" t="s">
        <v>4</v>
      </c>
      <c r="P19" s="147"/>
      <c r="Q19" s="148"/>
      <c r="R19" s="147"/>
      <c r="S19" s="147"/>
      <c r="T19" s="147"/>
      <c r="U19" s="148"/>
      <c r="V19" s="149"/>
      <c r="W19" s="147"/>
      <c r="X19" s="147"/>
      <c r="Y19" s="147"/>
      <c r="Z19" s="147"/>
      <c r="AA19" s="147"/>
      <c r="AB19" s="150"/>
      <c r="AC19" s="151"/>
    </row>
    <row r="20" s="1" customFormat="1" ht="15" spans="2:32">
      <c r="B20" s="4"/>
      <c r="C20" s="4"/>
      <c r="D20" s="4"/>
      <c r="F20" s="4"/>
      <c r="G20" s="184"/>
      <c r="N20" s="29">
        <v>6</v>
      </c>
      <c r="O20" s="66">
        <v>1</v>
      </c>
      <c r="P20" s="152" t="s">
        <v>87</v>
      </c>
      <c r="Q20" s="153">
        <f>IF(N20&gt;0,(MAX(45%,112.5%+112.5%*(N20-2))),(IF(N20&lt;=0,0)))</f>
        <v>5.625</v>
      </c>
      <c r="R20" s="152" t="s">
        <v>87</v>
      </c>
      <c r="S20" s="154">
        <v>3674.1</v>
      </c>
      <c r="T20" s="155">
        <v>0</v>
      </c>
      <c r="U20" s="155">
        <v>0</v>
      </c>
      <c r="V20" s="156">
        <v>1</v>
      </c>
      <c r="W20" s="157">
        <v>0</v>
      </c>
      <c r="X20" s="156">
        <f t="shared" ref="X20:X23" si="14">$AF$3</f>
        <v>0.488431876606684</v>
      </c>
      <c r="Y20" s="152">
        <f>$AF$13</f>
        <v>0.8</v>
      </c>
      <c r="Z20" s="158">
        <v>0</v>
      </c>
      <c r="AA20" s="158">
        <v>0</v>
      </c>
      <c r="AB20" s="158">
        <v>0</v>
      </c>
      <c r="AC20" s="159">
        <f t="shared" ref="AC20:AC23" si="15">Q20*S20*(1+T20)*(1+U20)*V20*(1+W20)*X20*Y20*(1+Z20)*(1+AA20)*(1+AB20)*O20</f>
        <v>8075.46401028278</v>
      </c>
    </row>
    <row r="21" s="1" customFormat="1" ht="15" spans="2:32">
      <c r="B21" s="1" t="s">
        <v>84</v>
      </c>
      <c r="F21" s="4"/>
      <c r="G21" s="185" t="s">
        <v>92</v>
      </c>
      <c r="H21" s="108" t="s">
        <v>93</v>
      </c>
      <c r="I21" s="108" t="s">
        <v>94</v>
      </c>
      <c r="N21" s="29">
        <v>10</v>
      </c>
      <c r="O21" s="66">
        <v>1</v>
      </c>
      <c r="P21" s="160" t="s">
        <v>88</v>
      </c>
      <c r="Q21" s="161">
        <f>IF(N21=1,0.3,IF(AND(N21&gt;=2,N21&lt;=10),0.3+0.2439*(N21-1),IF(AND(N21&gt;=11),2.4951+0.8317*(N21-10),IF(AND(N21&lt;=0),0,""))))</f>
        <v>2.4951</v>
      </c>
      <c r="R21" s="160" t="s">
        <v>88</v>
      </c>
      <c r="S21" s="162">
        <v>3674.1</v>
      </c>
      <c r="T21" s="163">
        <v>0</v>
      </c>
      <c r="U21" s="163">
        <v>0</v>
      </c>
      <c r="V21" s="164">
        <v>1</v>
      </c>
      <c r="W21" s="165">
        <v>0</v>
      </c>
      <c r="X21" s="164">
        <f t="shared" si="14"/>
        <v>0.488431876606684</v>
      </c>
      <c r="Y21" s="160">
        <f>$AF$11</f>
        <v>0.8</v>
      </c>
      <c r="Z21" s="166">
        <v>0</v>
      </c>
      <c r="AA21" s="166">
        <v>0</v>
      </c>
      <c r="AB21" s="166">
        <v>0</v>
      </c>
      <c r="AC21" s="167">
        <f t="shared" si="15"/>
        <v>3582.0604892545</v>
      </c>
    </row>
    <row r="22" s="1" customFormat="1" ht="15" spans="2:32">
      <c r="G22" s="184" t="s">
        <v>95</v>
      </c>
      <c r="H22" s="1">
        <v>30841</v>
      </c>
      <c r="N22" s="29">
        <v>13</v>
      </c>
      <c r="O22" s="66">
        <v>1</v>
      </c>
      <c r="P22" s="133" t="s">
        <v>89</v>
      </c>
      <c r="Q22" s="168">
        <f>IF(N22=1,24.5%,IF(AND(10&gt;=N22,N22&gt;=2),24.5%+(N22-1)*19.9185%,IF(AND(13&gt;=N22,N22&gt;=11),203.77%+(N22-10)*(271.69%-203.77%),"")))</f>
        <v>4.0753</v>
      </c>
      <c r="R22" s="133" t="s">
        <v>89</v>
      </c>
      <c r="S22" s="169">
        <v>3674.1</v>
      </c>
      <c r="T22" s="170">
        <v>0</v>
      </c>
      <c r="U22" s="170">
        <v>0</v>
      </c>
      <c r="V22" s="171">
        <v>1</v>
      </c>
      <c r="W22" s="172">
        <v>0</v>
      </c>
      <c r="X22" s="171">
        <f t="shared" si="14"/>
        <v>0.488431876606684</v>
      </c>
      <c r="Y22" s="133">
        <f>$AF$15</f>
        <v>0.8</v>
      </c>
      <c r="Z22" s="173">
        <v>0</v>
      </c>
      <c r="AA22" s="173">
        <v>0</v>
      </c>
      <c r="AB22" s="173">
        <v>0</v>
      </c>
      <c r="AC22" s="174">
        <f t="shared" si="15"/>
        <v>5850.65572997429</v>
      </c>
    </row>
    <row r="23" s="1" customFormat="1" ht="15" spans="2:32">
      <c r="B23" s="4"/>
      <c r="C23" s="4"/>
      <c r="D23" s="4"/>
      <c r="F23" s="4"/>
      <c r="G23" s="184" t="s">
        <v>96</v>
      </c>
      <c r="H23" s="1">
        <v>35443</v>
      </c>
      <c r="I23" s="2">
        <f>H23/H22-1</f>
        <v>0.149216951460718</v>
      </c>
      <c r="N23" s="49">
        <v>13</v>
      </c>
      <c r="O23" s="94">
        <v>1</v>
      </c>
      <c r="P23" s="175" t="s">
        <v>90</v>
      </c>
      <c r="Q23" s="176">
        <f>IF(N23=1,0.84,IF(N23=2,1.5229,IF(N23=3,2.2058,IF(N23=4,2.8888,IF(N23=5,3.5717,IF(N23=6,4.2546,IF(N23=7,4.9375,IF(N23=8,5.6204,IF(N23=9,6.3034,IF(N23=10,6.9863,IF(N23=11,9.315,IF(N23=12,11.6438,IF(N23=13,13.9726,"")))))))))))))</f>
        <v>13.9726</v>
      </c>
      <c r="R23" s="175" t="s">
        <v>90</v>
      </c>
      <c r="S23" s="177">
        <v>3674.1</v>
      </c>
      <c r="T23" s="178">
        <v>0</v>
      </c>
      <c r="U23" s="178">
        <v>0</v>
      </c>
      <c r="V23" s="179">
        <v>1</v>
      </c>
      <c r="W23" s="180">
        <v>0</v>
      </c>
      <c r="X23" s="179">
        <f t="shared" si="14"/>
        <v>0.488431876606684</v>
      </c>
      <c r="Y23" s="175">
        <f>$AF$16</f>
        <v>0.8</v>
      </c>
      <c r="Z23" s="181">
        <v>0</v>
      </c>
      <c r="AA23" s="181">
        <v>0</v>
      </c>
      <c r="AB23" s="181">
        <v>0</v>
      </c>
      <c r="AC23" s="182">
        <f t="shared" si="15"/>
        <v>20059.596165347</v>
      </c>
    </row>
    <row r="24" s="1" customFormat="1" spans="2:32">
      <c r="B24" s="4"/>
      <c r="C24" s="4"/>
      <c r="D24" s="4"/>
      <c r="F24" s="4"/>
      <c r="G24" s="184" t="s">
        <v>97</v>
      </c>
      <c r="H24" s="1">
        <v>44782</v>
      </c>
      <c r="I24" s="2">
        <f>H24/H23-1</f>
        <v>0.263493496600175</v>
      </c>
      <c r="Q24" s="2"/>
      <c r="U24" s="2"/>
      <c r="V24" s="3"/>
      <c r="AB24" s="4"/>
      <c r="AC24" s="4"/>
    </row>
    <row r="25" s="1" customFormat="1" spans="2:32">
      <c r="G25" s="184" t="s">
        <v>98</v>
      </c>
      <c r="H25" s="1">
        <v>55686</v>
      </c>
      <c r="I25" s="2">
        <f>H25/H24-1</f>
        <v>0.243490688222947</v>
      </c>
      <c r="Q25" s="2"/>
      <c r="U25" s="2"/>
      <c r="V25" s="3"/>
      <c r="AB25" s="4"/>
      <c r="AC25" s="4"/>
    </row>
    <row r="26" s="1" customFormat="1" spans="2:32">
      <c r="B26" s="4"/>
      <c r="C26" s="4"/>
      <c r="D26" s="4"/>
      <c r="F26" s="4"/>
      <c r="G26" s="184" t="s">
        <v>99</v>
      </c>
      <c r="H26" s="1">
        <v>80824</v>
      </c>
      <c r="I26" s="2">
        <f>H26/H25-1</f>
        <v>0.451424056315771</v>
      </c>
      <c r="Q26" s="2"/>
      <c r="U26" s="2"/>
      <c r="V26" s="3"/>
      <c r="AB26" s="4"/>
      <c r="AC26" s="4"/>
    </row>
    <row r="27" s="1" customFormat="1" spans="2:32">
      <c r="B27" s="4"/>
      <c r="C27" s="4"/>
      <c r="D27" s="4"/>
      <c r="F27" s="4"/>
      <c r="G27" s="184" t="s">
        <v>100</v>
      </c>
      <c r="H27" s="1">
        <v>104493</v>
      </c>
      <c r="I27" s="2">
        <f>H27/H26-1</f>
        <v>0.292846184301693</v>
      </c>
      <c r="Q27" s="2"/>
      <c r="U27" s="2"/>
      <c r="V27" s="3"/>
      <c r="W27" s="1"/>
      <c r="AB27" s="4"/>
      <c r="AC27" s="4"/>
    </row>
    <row r="28" s="1" customFormat="1" spans="2:32">
      <c r="G28" s="184"/>
      <c r="Q28" s="2"/>
      <c r="U28" s="2"/>
      <c r="V28" s="3"/>
      <c r="AB28" s="4"/>
      <c r="AC28" s="4"/>
    </row>
    <row r="29" s="1" customFormat="1" spans="2:32">
      <c r="B29" s="4"/>
      <c r="C29" s="4"/>
      <c r="D29" s="4"/>
      <c r="F29" s="4"/>
      <c r="G29" s="184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184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Q38" s="2"/>
      <c r="U38" s="2"/>
      <c r="V38" s="3"/>
      <c r="AB38" s="4"/>
      <c r="AC38" s="4"/>
    </row>
    <row r="39" s="1" customFormat="1" spans="7:29">
      <c r="G39" s="2"/>
      <c r="Q39" s="2"/>
      <c r="U39" s="2"/>
      <c r="V39" s="3"/>
      <c r="AB39" s="4"/>
      <c r="AC39" s="4"/>
    </row>
    <row r="40" s="1" customFormat="1" spans="7:29">
      <c r="G40" s="2"/>
      <c r="Q40" s="2"/>
      <c r="U40" s="2"/>
      <c r="V40" s="3"/>
      <c r="AB40" s="4"/>
      <c r="AC40" s="4"/>
    </row>
    <row r="41" s="1" customFormat="1" spans="7:29">
      <c r="G41" s="2"/>
      <c r="Q41" s="2"/>
      <c r="U41" s="2"/>
      <c r="V41" s="3"/>
      <c r="AB41" s="4"/>
      <c r="AC41" s="4"/>
    </row>
    <row r="42" s="1" customFormat="1" spans="7:29">
      <c r="G42" s="2"/>
      <c r="Q42" s="2"/>
      <c r="U42" s="2"/>
      <c r="V42" s="3"/>
      <c r="AB42" s="4"/>
      <c r="AC42" s="4"/>
    </row>
    <row r="43" s="1" customFormat="1" spans="7:29">
      <c r="G43" s="2"/>
      <c r="Q43" s="2"/>
      <c r="U43" s="2"/>
      <c r="V43" s="3"/>
      <c r="AB43" s="4"/>
      <c r="AC43" s="4"/>
    </row>
    <row r="44" s="1" customFormat="1" spans="7:29">
      <c r="G44" s="2"/>
      <c r="Q44" s="2"/>
      <c r="U44" s="2"/>
      <c r="V44" s="3"/>
      <c r="AB44" s="4"/>
      <c r="AC44" s="4"/>
    </row>
    <row r="45" s="1" customFormat="1" spans="7:29">
      <c r="G45" s="2"/>
      <c r="Q45" s="2"/>
      <c r="U45" s="2"/>
      <c r="V45" s="3"/>
      <c r="AB45" s="4"/>
      <c r="AC45" s="4"/>
    </row>
    <row r="46" s="1" customFormat="1" spans="7:29">
      <c r="G46" s="2"/>
      <c r="Q46" s="2"/>
      <c r="U46" s="2"/>
      <c r="V46" s="3"/>
      <c r="AB46" s="4"/>
      <c r="AC46" s="4"/>
    </row>
    <row r="47" s="1" customFormat="1" spans="7:29">
      <c r="G47" s="2"/>
      <c r="Q47" s="2"/>
      <c r="U47" s="2"/>
      <c r="V47" s="3"/>
      <c r="AB47" s="4"/>
      <c r="AC47" s="4"/>
    </row>
    <row r="48" s="1" customFormat="1" spans="7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tabSelected="1" topLeftCell="B1" workbookViewId="0">
      <selection activeCell="G12" sqref="G12"/>
    </sheetView>
  </sheetViews>
  <sheetFormatPr defaultColWidth="9.69090909090909" defaultRowHeight="14"/>
  <cols>
    <col min="1" max="1" width="9.54545454545454" style="1" customWidth="1"/>
    <col min="2" max="2" width="15.4545454545455" style="1" customWidth="1"/>
    <col min="3" max="3" width="10" style="1" customWidth="1"/>
    <col min="4" max="4" width="11.8181818181818" style="1" customWidth="1"/>
    <col min="5" max="5" width="6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3.7272727272727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1:33">
      <c r="B1" s="5" t="s">
        <v>0</v>
      </c>
      <c r="C1" s="5" t="s">
        <v>59</v>
      </c>
      <c r="D1" s="6" t="s">
        <v>2</v>
      </c>
      <c r="E1" s="6">
        <v>0</v>
      </c>
      <c r="Q1" s="2"/>
      <c r="U1" s="2"/>
      <c r="V1" s="3"/>
      <c r="AB1" s="4"/>
      <c r="AC1" s="4"/>
    </row>
    <row r="2" s="1" customFormat="1" ht="15.75" spans="1:33">
      <c r="B2" s="7" t="s">
        <v>101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8</v>
      </c>
      <c r="T2" s="114" t="s">
        <v>9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1:33">
      <c r="A3" s="1" t="s">
        <v>102</v>
      </c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103</v>
      </c>
      <c r="Q3" s="39">
        <v>2.1581</v>
      </c>
      <c r="R3" s="37" t="s">
        <v>59</v>
      </c>
      <c r="S3" s="38">
        <f>$C$4*(1+C$5+C$6+C$7)+C$9+C$8</f>
        <v>3174.38</v>
      </c>
      <c r="T3" s="39">
        <f>($C$5+$C$6+$C$7)+($C$9+$C$8)/$C$4</f>
        <v>3.03865139949109</v>
      </c>
      <c r="U3" s="39">
        <f>IF(R3=$C$1,SUM($E$4:$E$9),SUM($E$4:$E$8))</f>
        <v>1.188</v>
      </c>
      <c r="V3" s="41">
        <f t="shared" ref="V3:V17" si="0">1+$G$10*($I$10-1)</f>
        <v>2.09385</v>
      </c>
      <c r="W3" s="40">
        <f t="shared" ref="W3:W17" si="1">IF(R3=$C$1,$K$4+$K$5,$K$4)</f>
        <v>0</v>
      </c>
      <c r="X3" s="41">
        <f t="shared" ref="X3:X7" si="2">$AF$8</f>
        <v>0.488431876606684</v>
      </c>
      <c r="Y3" s="37">
        <f t="shared" ref="Y3:Y17" si="3">$AF$11</f>
        <v>0.8</v>
      </c>
      <c r="Z3" s="42">
        <v>0</v>
      </c>
      <c r="AA3" s="42">
        <v>0</v>
      </c>
      <c r="AB3" s="42">
        <v>0</v>
      </c>
      <c r="AC3" s="19">
        <f t="shared" ref="AC3:AC17" si="4">Q3*$C$4*(1+T3)*(1+U3)*V3*(1+W3)*X3*Y3*(1+Z3)*(1+AA3)*(1+AB3)*O3</f>
        <v>12263.5822893063</v>
      </c>
      <c r="AD3" s="14">
        <v>0</v>
      </c>
      <c r="AE3" s="14">
        <v>0</v>
      </c>
      <c r="AF3" s="15">
        <f t="shared" ref="AF3:AF8" si="5">1520/(1520+(792+8*AG3)*(1-AE3/100))</f>
        <v>0.488431876606684</v>
      </c>
      <c r="AG3" s="28">
        <v>100</v>
      </c>
    </row>
    <row r="4" s="1" customFormat="1" ht="15" spans="1:33">
      <c r="A4" s="183">
        <f>M4</f>
        <v>0.276</v>
      </c>
      <c r="B4" s="29" t="s">
        <v>27</v>
      </c>
      <c r="C4" s="30">
        <f>412+374</f>
        <v>786</v>
      </c>
      <c r="D4" s="29" t="s">
        <v>28</v>
      </c>
      <c r="E4" s="183">
        <f>E1*30%</f>
        <v>0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v>0</v>
      </c>
      <c r="L4" s="29" t="s">
        <v>102</v>
      </c>
      <c r="M4" s="32">
        <f>9.2%*3</f>
        <v>0.276</v>
      </c>
      <c r="O4" s="35">
        <v>1</v>
      </c>
      <c r="P4" s="19" t="s">
        <v>104</v>
      </c>
      <c r="Q4" s="39">
        <v>2.6279</v>
      </c>
      <c r="R4" s="37" t="s">
        <v>59</v>
      </c>
      <c r="S4" s="38">
        <f>$C$4*(1+C$5+C$6+C$7)+C$9+C$8</f>
        <v>3174.38</v>
      </c>
      <c r="T4" s="39">
        <f>($C$5+$C$6+$C$7)+($C$9+$C$8)/$C$4</f>
        <v>3.03865139949109</v>
      </c>
      <c r="U4" s="39">
        <f t="shared" ref="U3:U13" si="6">IF(R4=$C$1,SUM($E$4:$E$9),SUM($E$4:$E$8))</f>
        <v>1.188</v>
      </c>
      <c r="V4" s="41">
        <f t="shared" si="0"/>
        <v>2.09385</v>
      </c>
      <c r="W4" s="40">
        <f t="shared" si="1"/>
        <v>0</v>
      </c>
      <c r="X4" s="41">
        <f t="shared" si="2"/>
        <v>0.488431876606684</v>
      </c>
      <c r="Y4" s="37">
        <f t="shared" si="3"/>
        <v>0.8</v>
      </c>
      <c r="Z4" s="42">
        <v>0</v>
      </c>
      <c r="AA4" s="42">
        <v>0</v>
      </c>
      <c r="AB4" s="42">
        <v>0</v>
      </c>
      <c r="AC4" s="19">
        <f t="shared" si="4"/>
        <v>14933.2597646393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1:33">
      <c r="A5" s="183">
        <v>0.77</v>
      </c>
      <c r="B5" s="29" t="s">
        <v>33</v>
      </c>
      <c r="C5" s="31">
        <f>12%</f>
        <v>0.12</v>
      </c>
      <c r="D5" s="29" t="s">
        <v>34</v>
      </c>
      <c r="E5" s="183">
        <f>12%+30%</f>
        <v>0.42</v>
      </c>
      <c r="F5" s="29" t="s">
        <v>35</v>
      </c>
      <c r="G5" s="32">
        <f>8%+(E11-1)*2%</f>
        <v>0.08</v>
      </c>
      <c r="H5" s="29" t="s">
        <v>35</v>
      </c>
      <c r="I5" s="32">
        <v>0</v>
      </c>
      <c r="J5" s="44" t="s">
        <v>36</v>
      </c>
      <c r="K5" s="31"/>
      <c r="L5" s="29" t="s">
        <v>105</v>
      </c>
      <c r="M5" s="32">
        <f>8.6%*3</f>
        <v>0.258</v>
      </c>
      <c r="O5" s="35">
        <v>1</v>
      </c>
      <c r="P5" s="19" t="s">
        <v>106</v>
      </c>
      <c r="Q5" s="39">
        <v>2.6197</v>
      </c>
      <c r="R5" s="37" t="s">
        <v>59</v>
      </c>
      <c r="S5" s="38">
        <f>$C$4*(1+C$5+C$6+C$7)+C$9+C$8</f>
        <v>3174.38</v>
      </c>
      <c r="T5" s="39">
        <f>($C$5+$C$6+$C$7)+($C$9+$C$8)/$C$4</f>
        <v>3.03865139949109</v>
      </c>
      <c r="U5" s="39">
        <f t="shared" si="6"/>
        <v>1.188</v>
      </c>
      <c r="V5" s="41">
        <f t="shared" si="0"/>
        <v>2.09385</v>
      </c>
      <c r="W5" s="40">
        <f t="shared" si="1"/>
        <v>0</v>
      </c>
      <c r="X5" s="41">
        <f t="shared" si="2"/>
        <v>0.488431876606684</v>
      </c>
      <c r="Y5" s="37">
        <f t="shared" si="3"/>
        <v>0.8</v>
      </c>
      <c r="Z5" s="42">
        <v>0</v>
      </c>
      <c r="AA5" s="42">
        <v>0</v>
      </c>
      <c r="AB5" s="42">
        <v>0</v>
      </c>
      <c r="AC5" s="19">
        <f t="shared" si="4"/>
        <v>14886.6625843546</v>
      </c>
      <c r="AD5" s="14">
        <v>0</v>
      </c>
      <c r="AE5" s="14">
        <v>30</v>
      </c>
      <c r="AF5" s="15">
        <f t="shared" si="5"/>
        <v>0.57698147585788</v>
      </c>
      <c r="AG5" s="28">
        <v>100</v>
      </c>
    </row>
    <row r="6" s="1" customFormat="1" ht="15" spans="1:33">
      <c r="A6" s="183">
        <v>0.1</v>
      </c>
      <c r="B6" s="29" t="s">
        <v>39</v>
      </c>
      <c r="C6" s="31">
        <f>18%+18%+15%</f>
        <v>0.51</v>
      </c>
      <c r="D6" s="29" t="s">
        <v>40</v>
      </c>
      <c r="E6" s="183">
        <v>0.15</v>
      </c>
      <c r="F6" s="29" t="s">
        <v>107</v>
      </c>
      <c r="G6" s="32">
        <v>0.22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108</v>
      </c>
      <c r="Q6" s="39">
        <v>5.077</v>
      </c>
      <c r="R6" s="37" t="s">
        <v>59</v>
      </c>
      <c r="S6" s="38">
        <f>$C$4*(1+C$5+C$6+C$7)+C$9+C$8</f>
        <v>3174.38</v>
      </c>
      <c r="T6" s="39">
        <f>($C$5+$C$6+$C$7)+($C$9+$C$8)/$C$4</f>
        <v>3.03865139949109</v>
      </c>
      <c r="U6" s="39">
        <f t="shared" si="6"/>
        <v>1.188</v>
      </c>
      <c r="V6" s="41">
        <f t="shared" si="0"/>
        <v>2.09385</v>
      </c>
      <c r="W6" s="40">
        <f t="shared" si="1"/>
        <v>0</v>
      </c>
      <c r="X6" s="41">
        <f t="shared" si="2"/>
        <v>0.488431876606684</v>
      </c>
      <c r="Y6" s="37">
        <f t="shared" si="3"/>
        <v>0.8</v>
      </c>
      <c r="Z6" s="42">
        <v>0</v>
      </c>
      <c r="AA6" s="42">
        <v>0</v>
      </c>
      <c r="AB6" s="42">
        <v>0</v>
      </c>
      <c r="AC6" s="19">
        <f t="shared" si="4"/>
        <v>28850.4736957546</v>
      </c>
      <c r="AD6" s="14">
        <v>0</v>
      </c>
      <c r="AE6" s="14">
        <v>21.6</v>
      </c>
      <c r="AF6" s="15">
        <f t="shared" si="5"/>
        <v>0.549107555719967</v>
      </c>
      <c r="AG6" s="28">
        <v>100</v>
      </c>
    </row>
    <row r="7" s="1" customFormat="1" ht="15" spans="1:33">
      <c r="A7" s="183">
        <v>0.64</v>
      </c>
      <c r="B7" s="29" t="s">
        <v>43</v>
      </c>
      <c r="C7" s="46"/>
      <c r="D7" s="29" t="s">
        <v>44</v>
      </c>
      <c r="E7" s="183"/>
      <c r="F7" s="29" t="s">
        <v>39</v>
      </c>
      <c r="G7" s="32">
        <f>M6</f>
        <v>0.405</v>
      </c>
      <c r="H7" s="29" t="s">
        <v>39</v>
      </c>
      <c r="I7" s="32">
        <f>M7</f>
        <v>0.81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109</v>
      </c>
      <c r="Q7" s="39">
        <v>18.8871</v>
      </c>
      <c r="R7" s="37" t="s">
        <v>59</v>
      </c>
      <c r="S7" s="38">
        <f>$C$4*(1+C$5+C$6+C$7)+C$9+C$8</f>
        <v>3174.38</v>
      </c>
      <c r="T7" s="39">
        <f>($C$5+$C$6+$C$7)+($C$9+$C$8)/$C$4</f>
        <v>3.03865139949109</v>
      </c>
      <c r="U7" s="39">
        <f t="shared" si="6"/>
        <v>1.188</v>
      </c>
      <c r="V7" s="41">
        <f t="shared" si="0"/>
        <v>2.09385</v>
      </c>
      <c r="W7" s="40">
        <f t="shared" si="1"/>
        <v>0</v>
      </c>
      <c r="X7" s="41">
        <f t="shared" si="2"/>
        <v>0.488431876606684</v>
      </c>
      <c r="Y7" s="37">
        <f t="shared" si="3"/>
        <v>0.8</v>
      </c>
      <c r="Z7" s="42">
        <v>0</v>
      </c>
      <c r="AA7" s="42">
        <v>0</v>
      </c>
      <c r="AB7" s="42">
        <v>0</v>
      </c>
      <c r="AC7" s="19">
        <f t="shared" si="4"/>
        <v>107327.512652962</v>
      </c>
      <c r="AD7" s="14">
        <v>0</v>
      </c>
      <c r="AE7" s="14">
        <v>28.8</v>
      </c>
      <c r="AF7" s="15">
        <f t="shared" si="5"/>
        <v>0.572827476423627</v>
      </c>
      <c r="AG7" s="28">
        <v>100</v>
      </c>
    </row>
    <row r="8" s="1" customFormat="1" ht="15" spans="1:33">
      <c r="A8" s="183"/>
      <c r="B8" s="29" t="s">
        <v>110</v>
      </c>
      <c r="C8" s="30">
        <f>(A11-150%)*1200</f>
        <v>1543.2</v>
      </c>
      <c r="D8" s="29" t="s">
        <v>48</v>
      </c>
      <c r="E8" s="183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9" t="s">
        <v>111</v>
      </c>
      <c r="Q8" s="39">
        <v>6.8045</v>
      </c>
      <c r="R8" s="37" t="s">
        <v>1</v>
      </c>
      <c r="S8" s="38">
        <f>$C$4*(1+C$5+C$6+C$7)+C$9+C$8</f>
        <v>3174.38</v>
      </c>
      <c r="T8" s="39">
        <f>($C$5+$C$6+$C$7)+($C$9+$C$8)/$C$4</f>
        <v>3.03865139949109</v>
      </c>
      <c r="U8" s="39">
        <f t="shared" si="6"/>
        <v>0.57</v>
      </c>
      <c r="V8" s="41">
        <f t="shared" si="0"/>
        <v>2.09385</v>
      </c>
      <c r="W8" s="40">
        <f t="shared" si="1"/>
        <v>0</v>
      </c>
      <c r="X8" s="41">
        <f t="shared" ref="X8:X13" si="7">$AF$3</f>
        <v>0.488431876606684</v>
      </c>
      <c r="Y8" s="37">
        <f t="shared" si="3"/>
        <v>0.8</v>
      </c>
      <c r="Z8" s="42">
        <v>0</v>
      </c>
      <c r="AA8" s="42">
        <v>0</v>
      </c>
      <c r="AB8" s="42">
        <v>0</v>
      </c>
      <c r="AC8" s="19">
        <f t="shared" si="4"/>
        <v>27745.6138693136</v>
      </c>
      <c r="AD8" s="14">
        <v>0</v>
      </c>
      <c r="AE8" s="14">
        <v>0</v>
      </c>
      <c r="AF8" s="15">
        <f t="shared" si="5"/>
        <v>0.488431876606684</v>
      </c>
      <c r="AG8" s="28">
        <v>100</v>
      </c>
    </row>
    <row r="9" s="1" customFormat="1" ht="15" spans="1:33">
      <c r="A9" s="183"/>
      <c r="B9" s="29" t="s">
        <v>51</v>
      </c>
      <c r="C9" s="30">
        <v>350</v>
      </c>
      <c r="D9" s="29" t="s">
        <v>52</v>
      </c>
      <c r="E9" s="183">
        <f>12%+M5+24%+(E11-1)*6%</f>
        <v>0.618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103</v>
      </c>
      <c r="Q9" s="39">
        <v>2.1581</v>
      </c>
      <c r="R9" s="37" t="s">
        <v>59</v>
      </c>
      <c r="S9" s="38">
        <f>$C$4*(1+C$5+C$6+C$7)+C$9+C$8+$C$10</f>
        <v>4203.18</v>
      </c>
      <c r="T9" s="39">
        <f>($C$5+$C$6+$C$7)+($C$9+$C$10+$C$8)/$C$4</f>
        <v>4.3475572519084</v>
      </c>
      <c r="U9" s="39">
        <f>IF(R9=$C$1,SUM($E$4:$E$10),SUM($E$4:$E$8))</f>
        <v>1.428</v>
      </c>
      <c r="V9" s="41">
        <f t="shared" si="0"/>
        <v>2.09385</v>
      </c>
      <c r="W9" s="40">
        <f t="shared" si="1"/>
        <v>0</v>
      </c>
      <c r="X9" s="41">
        <f t="shared" ref="X9:X17" si="8">$AF$8</f>
        <v>0.488431876606684</v>
      </c>
      <c r="Y9" s="37">
        <f t="shared" si="3"/>
        <v>0.8</v>
      </c>
      <c r="Z9" s="42">
        <v>0</v>
      </c>
      <c r="AA9" s="42">
        <v>0</v>
      </c>
      <c r="AB9" s="42">
        <v>0</v>
      </c>
      <c r="AC9" s="19">
        <f t="shared" si="4"/>
        <v>18019.2947382716</v>
      </c>
      <c r="AE9" s="1">
        <v>0</v>
      </c>
    </row>
    <row r="10" s="1" customFormat="1" ht="15" spans="1:33">
      <c r="A10" s="183"/>
      <c r="B10" s="49" t="s">
        <v>112</v>
      </c>
      <c r="C10" s="30">
        <f>(A11-150%)*800</f>
        <v>1028.8</v>
      </c>
      <c r="D10" s="49" t="s">
        <v>113</v>
      </c>
      <c r="E10" s="183">
        <f>24%+(E11-1)*6%</f>
        <v>0.24</v>
      </c>
      <c r="F10" s="52" t="s">
        <v>55</v>
      </c>
      <c r="G10" s="53">
        <f>MIN(100%,SUM(G4:G9))</f>
        <v>0.835</v>
      </c>
      <c r="H10" s="52" t="s">
        <v>56</v>
      </c>
      <c r="I10" s="53">
        <f>SUM(I4:I9)</f>
        <v>2.31</v>
      </c>
      <c r="J10" s="54"/>
      <c r="K10" s="124"/>
      <c r="L10" s="49"/>
      <c r="M10" s="50"/>
      <c r="O10" s="35">
        <v>1</v>
      </c>
      <c r="P10" s="19" t="s">
        <v>104</v>
      </c>
      <c r="Q10" s="39">
        <v>2.6279</v>
      </c>
      <c r="R10" s="37" t="s">
        <v>59</v>
      </c>
      <c r="S10" s="38">
        <f t="shared" ref="S10:S15" si="9">$C$4*(1+C$5+C$6+C$7)+C$9+C$8+$C$10</f>
        <v>4203.18</v>
      </c>
      <c r="T10" s="39">
        <f t="shared" ref="T4:T15" si="10">($C$5+$C$6+$C$7)+($C$9+$C$10+$C$8)/$C$4</f>
        <v>4.3475572519084</v>
      </c>
      <c r="U10" s="39">
        <f t="shared" ref="U10:U15" si="11">IF(R10=$C$1,SUM($E$4:$E$10),SUM($E$4:$E$8))</f>
        <v>1.428</v>
      </c>
      <c r="V10" s="41">
        <f t="shared" si="0"/>
        <v>2.09385</v>
      </c>
      <c r="W10" s="40">
        <f t="shared" si="1"/>
        <v>0</v>
      </c>
      <c r="X10" s="41">
        <f t="shared" si="8"/>
        <v>0.488431876606684</v>
      </c>
      <c r="Y10" s="37">
        <f t="shared" si="3"/>
        <v>0.8</v>
      </c>
      <c r="Z10" s="42">
        <v>0</v>
      </c>
      <c r="AA10" s="42">
        <v>0</v>
      </c>
      <c r="AB10" s="42">
        <v>0</v>
      </c>
      <c r="AC10" s="19">
        <f t="shared" si="4"/>
        <v>21941.9418204457</v>
      </c>
    </row>
    <row r="11" s="1" customFormat="1" ht="15" spans="1:33">
      <c r="A11" s="183">
        <f>A7+A6+A5+A4+1</f>
        <v>2.786</v>
      </c>
      <c r="B11" s="66"/>
      <c r="C11" s="66"/>
      <c r="D11" s="1" t="s">
        <v>114</v>
      </c>
      <c r="E11" s="109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106</v>
      </c>
      <c r="Q11" s="39">
        <v>2.6197</v>
      </c>
      <c r="R11" s="37" t="s">
        <v>59</v>
      </c>
      <c r="S11" s="38">
        <f t="shared" si="9"/>
        <v>4203.18</v>
      </c>
      <c r="T11" s="39">
        <f t="shared" si="10"/>
        <v>4.3475572519084</v>
      </c>
      <c r="U11" s="39">
        <f t="shared" si="11"/>
        <v>1.428</v>
      </c>
      <c r="V11" s="41">
        <f t="shared" si="0"/>
        <v>2.09385</v>
      </c>
      <c r="W11" s="40">
        <f t="shared" si="1"/>
        <v>0</v>
      </c>
      <c r="X11" s="41">
        <f t="shared" si="7"/>
        <v>0.488431876606684</v>
      </c>
      <c r="Y11" s="37">
        <f t="shared" si="3"/>
        <v>0.8</v>
      </c>
      <c r="Z11" s="42">
        <v>0</v>
      </c>
      <c r="AA11" s="42">
        <v>0</v>
      </c>
      <c r="AB11" s="42">
        <v>0</v>
      </c>
      <c r="AC11" s="19">
        <f t="shared" si="4"/>
        <v>21873.4750131366</v>
      </c>
      <c r="AE11" s="91" t="s">
        <v>60</v>
      </c>
      <c r="AF11" s="91">
        <v>0.8</v>
      </c>
    </row>
    <row r="12" s="1" customFormat="1" ht="15" spans="1:33">
      <c r="B12" s="66"/>
      <c r="C12" s="66"/>
      <c r="E12" s="67"/>
      <c r="G12" s="69"/>
      <c r="J12" s="2"/>
      <c r="K12" s="2"/>
      <c r="O12" s="35">
        <v>1</v>
      </c>
      <c r="P12" s="19" t="s">
        <v>108</v>
      </c>
      <c r="Q12" s="39">
        <v>5.077</v>
      </c>
      <c r="R12" s="37" t="s">
        <v>59</v>
      </c>
      <c r="S12" s="38">
        <f t="shared" si="9"/>
        <v>4203.18</v>
      </c>
      <c r="T12" s="39">
        <f t="shared" si="10"/>
        <v>4.3475572519084</v>
      </c>
      <c r="U12" s="39">
        <f t="shared" si="11"/>
        <v>1.428</v>
      </c>
      <c r="V12" s="41">
        <f t="shared" si="0"/>
        <v>2.09385</v>
      </c>
      <c r="W12" s="40">
        <f t="shared" si="1"/>
        <v>0</v>
      </c>
      <c r="X12" s="41">
        <f t="shared" si="7"/>
        <v>0.488431876606684</v>
      </c>
      <c r="Y12" s="37">
        <f t="shared" si="3"/>
        <v>0.8</v>
      </c>
      <c r="Z12" s="42">
        <v>0</v>
      </c>
      <c r="AA12" s="42">
        <v>0</v>
      </c>
      <c r="AB12" s="42">
        <v>0</v>
      </c>
      <c r="AC12" s="19">
        <f t="shared" si="4"/>
        <v>42390.9732571266</v>
      </c>
      <c r="AE12" s="85" t="s">
        <v>63</v>
      </c>
      <c r="AF12" s="85">
        <v>0.8</v>
      </c>
    </row>
    <row r="13" s="1" customFormat="1" ht="15" spans="1:33">
      <c r="G13" s="2"/>
      <c r="O13" s="35">
        <v>1</v>
      </c>
      <c r="P13" s="19" t="s">
        <v>109</v>
      </c>
      <c r="Q13" s="39">
        <v>18.8871</v>
      </c>
      <c r="R13" s="37" t="s">
        <v>59</v>
      </c>
      <c r="S13" s="38">
        <f t="shared" si="9"/>
        <v>4203.18</v>
      </c>
      <c r="T13" s="39">
        <f t="shared" si="10"/>
        <v>4.3475572519084</v>
      </c>
      <c r="U13" s="39">
        <f t="shared" si="11"/>
        <v>1.428</v>
      </c>
      <c r="V13" s="41">
        <f t="shared" si="0"/>
        <v>2.09385</v>
      </c>
      <c r="W13" s="40">
        <f t="shared" si="1"/>
        <v>0</v>
      </c>
      <c r="X13" s="41">
        <f t="shared" si="7"/>
        <v>0.488431876606684</v>
      </c>
      <c r="Y13" s="37">
        <f t="shared" si="3"/>
        <v>0.8</v>
      </c>
      <c r="Z13" s="42">
        <v>0</v>
      </c>
      <c r="AA13" s="42">
        <v>0</v>
      </c>
      <c r="AB13" s="42">
        <v>0</v>
      </c>
      <c r="AC13" s="19">
        <f t="shared" si="4"/>
        <v>157699.931259538</v>
      </c>
      <c r="AE13" s="125" t="s">
        <v>65</v>
      </c>
      <c r="AF13" s="125">
        <v>0.8</v>
      </c>
    </row>
    <row r="14" s="1" customFormat="1" ht="15" spans="1:33">
      <c r="B14" s="90" t="s">
        <v>66</v>
      </c>
      <c r="D14" s="90"/>
      <c r="G14" s="2"/>
      <c r="O14" s="35">
        <f>24/25</f>
        <v>0.96</v>
      </c>
      <c r="P14" s="19" t="s">
        <v>50</v>
      </c>
      <c r="Q14" s="39">
        <v>3.681</v>
      </c>
      <c r="R14" s="37" t="s">
        <v>50</v>
      </c>
      <c r="S14" s="38">
        <f t="shared" si="9"/>
        <v>4203.18</v>
      </c>
      <c r="T14" s="39">
        <f t="shared" si="10"/>
        <v>4.3475572519084</v>
      </c>
      <c r="U14" s="39">
        <f t="shared" si="11"/>
        <v>0.57</v>
      </c>
      <c r="V14" s="41">
        <f t="shared" si="0"/>
        <v>2.09385</v>
      </c>
      <c r="W14" s="40">
        <f t="shared" si="1"/>
        <v>0</v>
      </c>
      <c r="X14" s="41">
        <f t="shared" si="8"/>
        <v>0.488431876606684</v>
      </c>
      <c r="Y14" s="37">
        <f t="shared" si="3"/>
        <v>0.8</v>
      </c>
      <c r="Z14" s="42">
        <v>0</v>
      </c>
      <c r="AA14" s="42">
        <v>0</v>
      </c>
      <c r="AB14" s="42">
        <v>0</v>
      </c>
      <c r="AC14" s="19">
        <f t="shared" si="4"/>
        <v>19078.9401115452</v>
      </c>
      <c r="AE14" s="89" t="s">
        <v>67</v>
      </c>
      <c r="AF14" s="89">
        <v>0.8</v>
      </c>
    </row>
    <row r="15" s="1" customFormat="1" ht="15" spans="1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0</v>
      </c>
      <c r="P15" s="19" t="s">
        <v>62</v>
      </c>
      <c r="Q15" s="39">
        <v>3.3392</v>
      </c>
      <c r="R15" s="37" t="s">
        <v>62</v>
      </c>
      <c r="S15" s="38">
        <f t="shared" si="9"/>
        <v>4203.18</v>
      </c>
      <c r="T15" s="39">
        <f t="shared" si="10"/>
        <v>4.3475572519084</v>
      </c>
      <c r="U15" s="39">
        <f t="shared" si="11"/>
        <v>0.57</v>
      </c>
      <c r="V15" s="41">
        <f t="shared" si="0"/>
        <v>2.09385</v>
      </c>
      <c r="W15" s="40">
        <f t="shared" si="1"/>
        <v>0</v>
      </c>
      <c r="X15" s="41">
        <f t="shared" si="8"/>
        <v>0.488431876606684</v>
      </c>
      <c r="Y15" s="37">
        <f t="shared" si="3"/>
        <v>0.8</v>
      </c>
      <c r="Z15" s="42">
        <v>0</v>
      </c>
      <c r="AA15" s="42">
        <v>0</v>
      </c>
      <c r="AB15" s="42">
        <v>0</v>
      </c>
      <c r="AC15" s="19">
        <f t="shared" si="4"/>
        <v>0</v>
      </c>
      <c r="AE15" s="133" t="s">
        <v>73</v>
      </c>
      <c r="AF15" s="134">
        <v>0.8</v>
      </c>
    </row>
    <row r="16" s="1" customFormat="1" ht="15" spans="1:33">
      <c r="B16" s="4" t="s">
        <v>101</v>
      </c>
      <c r="C16" s="100">
        <f>SUM(AC3:AC15)</f>
        <v>487011.661056394</v>
      </c>
      <c r="D16" s="100">
        <f>C16/$E$16</f>
        <v>20292.1525440164</v>
      </c>
      <c r="E16" s="101">
        <v>24</v>
      </c>
      <c r="F16" s="102">
        <f>C16/$C$18</f>
        <v>0.875969800275885</v>
      </c>
      <c r="G16" s="2"/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AC20</f>
        <v>68956.8904884319</v>
      </c>
      <c r="D17" s="100">
        <f>C17/$E$16</f>
        <v>2873.20377035133</v>
      </c>
      <c r="E17" s="103"/>
      <c r="F17" s="102">
        <f>C17/$C$18</f>
        <v>0.124030199724115</v>
      </c>
      <c r="G17" s="2"/>
      <c r="J17" s="39"/>
      <c r="O17" s="70">
        <f t="shared" ref="O17:O19" si="12">$O$20</f>
        <v>1</v>
      </c>
      <c r="P17" s="72" t="s">
        <v>81</v>
      </c>
      <c r="Q17" s="71">
        <v>18.8075</v>
      </c>
      <c r="R17" s="72" t="s">
        <v>82</v>
      </c>
      <c r="S17" s="72">
        <v>10027</v>
      </c>
      <c r="T17" s="71">
        <v>0</v>
      </c>
      <c r="U17" s="71">
        <v>0</v>
      </c>
      <c r="V17" s="73">
        <v>1</v>
      </c>
      <c r="W17" s="74">
        <v>0</v>
      </c>
      <c r="X17" s="73">
        <f t="shared" ref="X17:X20" si="13">$AF$3</f>
        <v>0.488431876606684</v>
      </c>
      <c r="Y17" s="72">
        <f t="shared" ref="Y17:Y20" si="14">$AF$18</f>
        <v>0.8</v>
      </c>
      <c r="Z17" s="75">
        <v>0</v>
      </c>
      <c r="AA17" s="75">
        <v>0</v>
      </c>
      <c r="AB17" s="34">
        <v>0.5</v>
      </c>
      <c r="AC17" s="137">
        <f t="shared" ref="AC17:AC20" si="15">Q17*S17*(1+T17)*(1+U17)*V17*(1+W17)*X17*Y17*(1+Z17)*(1+AA17)*(1+AB17)*O17</f>
        <v>110531.822544987</v>
      </c>
    </row>
    <row r="18" s="1" customFormat="1" ht="15" spans="2:32">
      <c r="B18" s="4" t="s">
        <v>79</v>
      </c>
      <c r="C18" s="104">
        <f>SUM(C16:C17)</f>
        <v>555968.551544826</v>
      </c>
      <c r="D18" s="104">
        <f>C18/E16</f>
        <v>23165.3563143677</v>
      </c>
      <c r="E18" s="105"/>
      <c r="F18" s="106"/>
      <c r="G18" s="2"/>
      <c r="O18" s="29">
        <f t="shared" si="12"/>
        <v>1</v>
      </c>
      <c r="P18" s="66" t="s">
        <v>83</v>
      </c>
      <c r="Q18" s="80">
        <v>2.9822</v>
      </c>
      <c r="R18" s="66" t="s">
        <v>82</v>
      </c>
      <c r="S18" s="66">
        <v>10027</v>
      </c>
      <c r="T18" s="80">
        <v>0</v>
      </c>
      <c r="U18" s="80">
        <v>0</v>
      </c>
      <c r="V18" s="81">
        <v>1</v>
      </c>
      <c r="W18" s="82">
        <v>0</v>
      </c>
      <c r="X18" s="81">
        <f t="shared" si="13"/>
        <v>0.488431876606684</v>
      </c>
      <c r="Y18" s="66">
        <f t="shared" si="14"/>
        <v>0.8</v>
      </c>
      <c r="Z18" s="83">
        <v>0</v>
      </c>
      <c r="AA18" s="83">
        <v>0</v>
      </c>
      <c r="AB18" s="31">
        <v>0.5</v>
      </c>
      <c r="AC18" s="137">
        <f t="shared" si="15"/>
        <v>17526.4123989717</v>
      </c>
      <c r="AE18" s="1" t="s">
        <v>80</v>
      </c>
      <c r="AF18" s="1">
        <v>0.8</v>
      </c>
    </row>
    <row r="19" s="1" customFormat="1" ht="15" spans="2:32">
      <c r="B19" s="4"/>
      <c r="C19" s="4"/>
      <c r="D19" s="4"/>
      <c r="G19" s="2"/>
      <c r="O19" s="29">
        <f t="shared" si="12"/>
        <v>1</v>
      </c>
      <c r="P19" s="66" t="s">
        <v>85</v>
      </c>
      <c r="Q19" s="80">
        <v>5.9643</v>
      </c>
      <c r="R19" s="66" t="s">
        <v>82</v>
      </c>
      <c r="S19" s="66">
        <v>10027</v>
      </c>
      <c r="T19" s="80">
        <v>0</v>
      </c>
      <c r="U19" s="80">
        <v>0</v>
      </c>
      <c r="V19" s="81">
        <v>1</v>
      </c>
      <c r="W19" s="82">
        <v>0</v>
      </c>
      <c r="X19" s="81">
        <f t="shared" si="13"/>
        <v>0.488431876606684</v>
      </c>
      <c r="Y19" s="66">
        <f t="shared" si="14"/>
        <v>0.8</v>
      </c>
      <c r="Z19" s="83">
        <v>0</v>
      </c>
      <c r="AA19" s="83">
        <v>0</v>
      </c>
      <c r="AB19" s="31">
        <v>0.5</v>
      </c>
      <c r="AC19" s="138">
        <f t="shared" si="15"/>
        <v>35052.2370971722</v>
      </c>
    </row>
    <row r="20" s="1" customFormat="1" ht="15" spans="2:32">
      <c r="B20" s="4"/>
      <c r="C20" s="4"/>
      <c r="D20" s="4"/>
      <c r="F20" s="4"/>
      <c r="G20" s="2"/>
      <c r="H20" s="107" t="s">
        <v>101</v>
      </c>
      <c r="I20" s="108" t="s">
        <v>115</v>
      </c>
      <c r="J20" s="108" t="s">
        <v>94</v>
      </c>
      <c r="O20" s="16">
        <v>1</v>
      </c>
      <c r="P20" s="139" t="s">
        <v>77</v>
      </c>
      <c r="Q20" s="140">
        <v>16</v>
      </c>
      <c r="R20" s="139" t="s">
        <v>86</v>
      </c>
      <c r="S20" s="139">
        <v>10027</v>
      </c>
      <c r="T20" s="140">
        <v>0</v>
      </c>
      <c r="U20" s="140">
        <v>0</v>
      </c>
      <c r="V20" s="141">
        <v>1</v>
      </c>
      <c r="W20" s="142">
        <v>0</v>
      </c>
      <c r="X20" s="141">
        <f t="shared" si="13"/>
        <v>0.488431876606684</v>
      </c>
      <c r="Y20" s="139">
        <f t="shared" si="14"/>
        <v>0.8</v>
      </c>
      <c r="Z20" s="143">
        <v>0</v>
      </c>
      <c r="AA20" s="143">
        <v>0</v>
      </c>
      <c r="AB20" s="144">
        <v>0.1</v>
      </c>
      <c r="AC20" s="145">
        <f t="shared" si="15"/>
        <v>68956.8904884319</v>
      </c>
    </row>
    <row r="21" s="1" customFormat="1" spans="2:32">
      <c r="F21" s="4"/>
      <c r="G21" s="2"/>
      <c r="H21" s="186" t="s">
        <v>95</v>
      </c>
      <c r="I21" s="1">
        <v>23165</v>
      </c>
      <c r="Q21" s="2"/>
      <c r="U21" s="2"/>
      <c r="V21" s="3"/>
      <c r="AB21" s="4"/>
      <c r="AC21" s="4"/>
    </row>
    <row r="22" s="1" customFormat="1" spans="2:32">
      <c r="G22" s="2"/>
      <c r="H22" s="1">
        <v>11</v>
      </c>
      <c r="I22" s="1">
        <v>28645</v>
      </c>
      <c r="J22" s="2">
        <f t="shared" ref="J22:J27" si="16">I22/I21-1</f>
        <v>0.236563781567019</v>
      </c>
      <c r="O22" s="147" t="s">
        <v>4</v>
      </c>
      <c r="P22" s="147"/>
      <c r="Q22" s="148"/>
      <c r="R22" s="147"/>
      <c r="S22" s="147"/>
      <c r="T22" s="147"/>
      <c r="U22" s="148"/>
      <c r="V22" s="149"/>
      <c r="W22" s="147"/>
      <c r="X22" s="147"/>
      <c r="Y22" s="147"/>
      <c r="Z22" s="147"/>
      <c r="AA22" s="147"/>
      <c r="AB22" s="150"/>
      <c r="AC22" s="151"/>
    </row>
    <row r="23" s="1" customFormat="1" ht="15" spans="2:32">
      <c r="B23" s="4"/>
      <c r="C23" s="4"/>
      <c r="D23" s="4"/>
      <c r="F23" s="4"/>
      <c r="G23" s="2"/>
      <c r="H23" s="109">
        <v>21</v>
      </c>
      <c r="I23" s="1">
        <v>34890</v>
      </c>
      <c r="J23" s="2">
        <f t="shared" si="16"/>
        <v>0.218013614941525</v>
      </c>
      <c r="O23" s="66">
        <v>1</v>
      </c>
      <c r="P23" s="152" t="s">
        <v>87</v>
      </c>
      <c r="Q23" s="153">
        <f>IF(N41&gt;0,(MAX(45%,112.5%+112.5%*(N41-2))),(IF(N41&lt;=0,0)))</f>
        <v>5.625</v>
      </c>
      <c r="R23" s="152" t="s">
        <v>87</v>
      </c>
      <c r="S23" s="154">
        <v>3674.1</v>
      </c>
      <c r="T23" s="155">
        <v>0</v>
      </c>
      <c r="U23" s="155">
        <v>0</v>
      </c>
      <c r="V23" s="156">
        <v>1</v>
      </c>
      <c r="W23" s="157">
        <v>0</v>
      </c>
      <c r="X23" s="156">
        <f t="shared" ref="X23:X26" si="17">$AF$3</f>
        <v>0.488431876606684</v>
      </c>
      <c r="Y23" s="152">
        <f>$AF$13</f>
        <v>0.8</v>
      </c>
      <c r="Z23" s="158">
        <v>0</v>
      </c>
      <c r="AA23" s="158">
        <v>0</v>
      </c>
      <c r="AB23" s="158">
        <v>0</v>
      </c>
      <c r="AC23" s="159">
        <f t="shared" ref="AC23:AC26" si="18">Q23*S23*(1+T23)*(1+U23)*V23*(1+W23)*X23*Y23*(1+Z23)*(1+AA23)*(1+AB23)*O23</f>
        <v>8075.46401028278</v>
      </c>
    </row>
    <row r="24" s="1" customFormat="1" ht="15" spans="2:32">
      <c r="B24" s="4"/>
      <c r="C24" s="4"/>
      <c r="D24" s="4"/>
      <c r="F24" s="4"/>
      <c r="G24" s="2"/>
      <c r="H24" s="1">
        <v>31</v>
      </c>
      <c r="I24" s="1">
        <v>42139</v>
      </c>
      <c r="J24" s="2">
        <f t="shared" si="16"/>
        <v>0.207767268558326</v>
      </c>
      <c r="O24" s="66">
        <v>1</v>
      </c>
      <c r="P24" s="160" t="s">
        <v>88</v>
      </c>
      <c r="Q24" s="161">
        <f>IF(N42=1,0.3,IF(AND(N42&gt;=2,N42&lt;=10),0.3+0.2439*(N42-1),IF(AND(N42&gt;=11),2.4951+0.8317*(N42-10),IF(AND(N42&lt;=0),0,""))))</f>
        <v>2.4951</v>
      </c>
      <c r="R24" s="160" t="s">
        <v>88</v>
      </c>
      <c r="S24" s="162">
        <v>3674.1</v>
      </c>
      <c r="T24" s="163">
        <v>0</v>
      </c>
      <c r="U24" s="163">
        <v>0</v>
      </c>
      <c r="V24" s="164">
        <v>1</v>
      </c>
      <c r="W24" s="165">
        <v>0</v>
      </c>
      <c r="X24" s="164">
        <f t="shared" si="17"/>
        <v>0.488431876606684</v>
      </c>
      <c r="Y24" s="160">
        <f>$AF$11</f>
        <v>0.8</v>
      </c>
      <c r="Z24" s="166">
        <v>0</v>
      </c>
      <c r="AA24" s="166">
        <v>0</v>
      </c>
      <c r="AB24" s="166">
        <v>0</v>
      </c>
      <c r="AC24" s="167">
        <f t="shared" si="18"/>
        <v>3582.0604892545</v>
      </c>
    </row>
    <row r="25" s="1" customFormat="1" ht="15" spans="2:32">
      <c r="H25" s="109">
        <v>51</v>
      </c>
      <c r="I25" s="1">
        <v>43981</v>
      </c>
      <c r="J25" s="2">
        <f t="shared" si="16"/>
        <v>0.0437124753791025</v>
      </c>
      <c r="O25" s="66">
        <v>1</v>
      </c>
      <c r="P25" s="133" t="s">
        <v>89</v>
      </c>
      <c r="Q25" s="168">
        <f>IF(N43=1,24.5%,IF(AND(10&gt;=N43,N43&gt;=2),24.5%+(N43-1)*19.9185%,IF(AND(13&gt;=N43,N43&gt;=11),203.77%+(N43-10)*(271.69%-203.77%),"")))</f>
        <v>4.0753</v>
      </c>
      <c r="R25" s="133" t="s">
        <v>89</v>
      </c>
      <c r="S25" s="169">
        <v>3674.1</v>
      </c>
      <c r="T25" s="170">
        <v>0</v>
      </c>
      <c r="U25" s="170">
        <v>0</v>
      </c>
      <c r="V25" s="171">
        <v>1</v>
      </c>
      <c r="W25" s="172">
        <v>0</v>
      </c>
      <c r="X25" s="171">
        <f t="shared" si="17"/>
        <v>0.488431876606684</v>
      </c>
      <c r="Y25" s="133">
        <f>$AF$15</f>
        <v>0.8</v>
      </c>
      <c r="Z25" s="173">
        <v>0</v>
      </c>
      <c r="AA25" s="173">
        <v>0</v>
      </c>
      <c r="AB25" s="173">
        <v>0</v>
      </c>
      <c r="AC25" s="174">
        <f t="shared" si="18"/>
        <v>5850.65572997429</v>
      </c>
    </row>
    <row r="26" s="1" customFormat="1" ht="15" spans="2:32">
      <c r="B26" s="4"/>
      <c r="C26" s="4"/>
      <c r="D26" s="4"/>
      <c r="F26" s="4"/>
      <c r="G26" s="2"/>
      <c r="H26" s="1">
        <v>61</v>
      </c>
      <c r="I26" s="1">
        <v>55308</v>
      </c>
      <c r="J26" s="2">
        <f t="shared" si="16"/>
        <v>0.257543029944749</v>
      </c>
      <c r="O26" s="94">
        <v>1</v>
      </c>
      <c r="P26" s="175" t="s">
        <v>90</v>
      </c>
      <c r="Q26" s="176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6" s="175" t="s">
        <v>90</v>
      </c>
      <c r="S26" s="177">
        <v>3674.1</v>
      </c>
      <c r="T26" s="178">
        <v>0</v>
      </c>
      <c r="U26" s="178">
        <v>0</v>
      </c>
      <c r="V26" s="179">
        <v>1</v>
      </c>
      <c r="W26" s="180">
        <v>0</v>
      </c>
      <c r="X26" s="179">
        <f t="shared" si="17"/>
        <v>0.488431876606684</v>
      </c>
      <c r="Y26" s="175">
        <f>$AF$16</f>
        <v>0.8</v>
      </c>
      <c r="Z26" s="181">
        <v>0</v>
      </c>
      <c r="AA26" s="181">
        <v>0</v>
      </c>
      <c r="AB26" s="181">
        <v>0</v>
      </c>
      <c r="AC26" s="182">
        <f t="shared" si="18"/>
        <v>20059.596165347</v>
      </c>
    </row>
    <row r="27" s="1" customFormat="1" spans="2:32">
      <c r="B27" s="4"/>
      <c r="C27" s="4"/>
      <c r="D27" s="4"/>
      <c r="F27" s="4"/>
      <c r="G27" s="2"/>
      <c r="H27" s="109">
        <v>65</v>
      </c>
      <c r="I27" s="1">
        <v>64468</v>
      </c>
      <c r="J27" s="2">
        <f t="shared" si="16"/>
        <v>0.165617993780285</v>
      </c>
      <c r="Q27" s="2"/>
      <c r="U27" s="2"/>
      <c r="V27" s="3"/>
      <c r="AB27" s="4"/>
      <c r="AC27" s="4"/>
    </row>
    <row r="28" s="1" customFormat="1" spans="2:32">
      <c r="G28" s="2"/>
      <c r="Q28" s="2"/>
      <c r="U28" s="2"/>
      <c r="V28" s="3"/>
      <c r="AB28" s="4"/>
      <c r="AC28" s="4"/>
    </row>
    <row r="29" s="1" customFormat="1" spans="2:32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2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Q38" s="2"/>
      <c r="U38" s="2"/>
      <c r="V38" s="3"/>
      <c r="AB38" s="4"/>
      <c r="AC38" s="4"/>
    </row>
    <row r="39" s="1" customFormat="1" spans="7:29">
      <c r="G39" s="2"/>
      <c r="Q39" s="2"/>
      <c r="U39" s="2"/>
      <c r="V39" s="3"/>
      <c r="AB39" s="4"/>
      <c r="AC39" s="4"/>
    </row>
    <row r="40" s="1" customFormat="1" spans="7:29">
      <c r="G40" s="2"/>
      <c r="N40" s="146" t="s">
        <v>91</v>
      </c>
      <c r="Q40" s="2"/>
      <c r="U40" s="2"/>
      <c r="V40" s="3"/>
      <c r="AB40" s="4"/>
      <c r="AC40" s="4"/>
    </row>
    <row r="41" s="1" customFormat="1" spans="7:29">
      <c r="G41" s="2"/>
      <c r="N41" s="29">
        <v>6</v>
      </c>
      <c r="Q41" s="2"/>
      <c r="U41" s="2"/>
      <c r="V41" s="3"/>
      <c r="AB41" s="4"/>
      <c r="AC41" s="4"/>
    </row>
    <row r="42" s="1" customFormat="1" spans="7:29">
      <c r="G42" s="2"/>
      <c r="N42" s="29">
        <v>10</v>
      </c>
      <c r="Q42" s="2"/>
      <c r="U42" s="2"/>
      <c r="V42" s="3"/>
      <c r="AB42" s="4"/>
      <c r="AC42" s="4"/>
    </row>
    <row r="43" s="1" customFormat="1" spans="7:29">
      <c r="G43" s="2"/>
      <c r="N43" s="29">
        <v>13</v>
      </c>
      <c r="Q43" s="2"/>
      <c r="U43" s="2"/>
      <c r="V43" s="3"/>
      <c r="AB43" s="4"/>
      <c r="AC43" s="4"/>
    </row>
    <row r="44" s="1" customFormat="1" spans="7:29">
      <c r="G44" s="2"/>
      <c r="N44" s="49">
        <v>13</v>
      </c>
      <c r="Q44" s="2"/>
      <c r="U44" s="2"/>
      <c r="V44" s="3"/>
      <c r="AB44" s="4"/>
      <c r="AC44" s="4"/>
    </row>
    <row r="45" s="1" customFormat="1" spans="7:29">
      <c r="G45" s="2"/>
      <c r="Q45" s="2"/>
      <c r="U45" s="2"/>
      <c r="V45" s="3"/>
      <c r="AB45" s="4"/>
      <c r="AC45" s="4"/>
    </row>
    <row r="46" s="1" customFormat="1" spans="7:29">
      <c r="G46" s="2"/>
      <c r="Q46" s="2"/>
      <c r="U46" s="2"/>
      <c r="V46" s="3"/>
      <c r="AB46" s="4"/>
      <c r="AC46" s="4"/>
    </row>
    <row r="47" s="1" customFormat="1" spans="7:29">
      <c r="G47" s="2"/>
      <c r="Q47" s="2"/>
      <c r="U47" s="2"/>
      <c r="V47" s="3"/>
      <c r="AB47" s="4"/>
      <c r="AC47" s="4"/>
    </row>
    <row r="48" s="1" customFormat="1" spans="7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G1" workbookViewId="0">
      <selection activeCell="B22" sqref="B22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116</v>
      </c>
      <c r="T2" s="114" t="s">
        <v>117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118</v>
      </c>
      <c r="Q3" s="39">
        <v>0.5013</v>
      </c>
      <c r="R3" s="37" t="s">
        <v>59</v>
      </c>
      <c r="S3" s="38">
        <f>$C$4*(1+C$5+C$6+C$7+C$8)+C$9+C$10</f>
        <v>48976.4</v>
      </c>
      <c r="T3" s="39">
        <f>($C$5+$C$6+$C$7+$C$8)+($C$9+$C$10)/$C$4</f>
        <v>2.30921621621622</v>
      </c>
      <c r="U3" s="39">
        <f>IF(R3=$C$1,SUM($E$4:$E$9),SUM($E$4:$E$8))</f>
        <v>0.9</v>
      </c>
      <c r="V3" s="41">
        <f>1+$G$10*($I$10-1)</f>
        <v>2.49625</v>
      </c>
      <c r="W3" s="40">
        <f>IF(R3=$C$1,$K$4+$K$5,$K$4)</f>
        <v>0.2</v>
      </c>
      <c r="X3" s="41">
        <f>$AF$4</f>
        <v>0.509274150316286</v>
      </c>
      <c r="Y3" s="37">
        <f>$AF$11</f>
        <v>0.8</v>
      </c>
      <c r="Z3" s="42">
        <v>0</v>
      </c>
      <c r="AA3" s="42">
        <v>0</v>
      </c>
      <c r="AB3" s="42">
        <v>0</v>
      </c>
      <c r="AC3" s="19">
        <f>Q3*S3*(1+U3)*V3*(1+W3)*X3*Y3*(1+Z3)*(1+AA3)*(1+AB3)*O3</f>
        <v>56931.0388374604</v>
      </c>
      <c r="AD3" s="14">
        <v>0</v>
      </c>
      <c r="AE3" s="14">
        <v>0</v>
      </c>
      <c r="AF3" s="15">
        <f t="shared" ref="AF3:AF8" si="0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f>20%+(E11-1)*5%</f>
        <v>0.2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>$C$4*(1+C$5+C$6+C$7+C$8)+C$9+C$10</f>
        <v>48976.4</v>
      </c>
      <c r="T4" s="39">
        <f>($C$5+$C$6+$C$7+$C$8)+($C$9+$C$10)/$C$4</f>
        <v>2.30921621621622</v>
      </c>
      <c r="U4" s="39">
        <f>IF(R4=$C$1,SUM($E$4:$E$9),SUM($E$4:$E$8))</f>
        <v>0.9</v>
      </c>
      <c r="V4" s="41">
        <f>1+$G$10*($I$10-1)</f>
        <v>2.49625</v>
      </c>
      <c r="W4" s="40">
        <f>IF(R4=$C$1,$K$4+$K$5,$K$4)</f>
        <v>0.2</v>
      </c>
      <c r="X4" s="41">
        <f>$AF$4</f>
        <v>0.509274150316286</v>
      </c>
      <c r="Y4" s="37">
        <f>$AF$11</f>
        <v>0.8</v>
      </c>
      <c r="Z4" s="42">
        <v>0</v>
      </c>
      <c r="AA4" s="42">
        <v>0</v>
      </c>
      <c r="AB4" s="42">
        <v>0</v>
      </c>
      <c r="AC4" s="19">
        <f>Q4*S4*(1+U4)*V4*(1+W4)*X4*Y4*(1+Z4)*(1+AA4)*(1+AB4)*O4</f>
        <v>33536.2772166408</v>
      </c>
      <c r="AD4" s="14">
        <f>8+(E11-1)*2</f>
        <v>8</v>
      </c>
      <c r="AE4" s="14"/>
      <c r="AF4" s="15">
        <f>1520/(1520+(792+8*AG4)*(1-AE4/100)*(1-AD4/100))</f>
        <v>0.509274150316286</v>
      </c>
      <c r="AG4" s="28">
        <v>100</v>
      </c>
    </row>
    <row r="5" s="1" customFormat="1" ht="15" spans="2:33">
      <c r="B5" s="29" t="s">
        <v>33</v>
      </c>
      <c r="C5" s="31">
        <f>24%+72.2%+(E11-1)*3%</f>
        <v>0.962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121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ref="S5:S10" si="1">$C$4*(1+C$5+C$6+C$7+C$8)+C$9+C$10</f>
        <v>48976.4</v>
      </c>
      <c r="T5" s="39">
        <f t="shared" ref="T5:T10" si="2">($C$5+$C$6+$C$7+$C$8)+($C$9+$C$10)/$C$4</f>
        <v>2.30921621621622</v>
      </c>
      <c r="U5" s="39">
        <f t="shared" ref="U5:U10" si="3">IF(R5=$C$1,SUM($E$4:$E$9),SUM($E$4:$E$8))</f>
        <v>0.9</v>
      </c>
      <c r="V5" s="41">
        <f t="shared" ref="V5:V10" si="4">1+$G$10*($I$10-1)</f>
        <v>2.49625</v>
      </c>
      <c r="W5" s="40">
        <f t="shared" ref="W5:W10" si="5">IF(R5=$C$1,$K$4+$K$5,$K$4)</f>
        <v>0.2</v>
      </c>
      <c r="X5" s="41">
        <f t="shared" ref="X5:X10" si="6">$AF$4</f>
        <v>0.509274150316286</v>
      </c>
      <c r="Y5" s="37">
        <f t="shared" ref="Y5:Y10" si="7">$AF$11</f>
        <v>0.8</v>
      </c>
      <c r="Z5" s="42">
        <v>0</v>
      </c>
      <c r="AA5" s="42">
        <v>0</v>
      </c>
      <c r="AB5" s="42">
        <v>0</v>
      </c>
      <c r="AC5" s="19">
        <f>Q5*S5*(1+U5)*V5*(1+W5)*X5*Y5*(1+Z5)*(1+AA5)*(1+AB5)*O5</f>
        <v>14173.1371372732</v>
      </c>
      <c r="AD5" s="14">
        <v>0</v>
      </c>
      <c r="AE5" s="14"/>
      <c r="AF5" s="15">
        <f t="shared" si="0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1"/>
        <v>48976.4</v>
      </c>
      <c r="T6" s="39">
        <f t="shared" si="2"/>
        <v>2.30921621621622</v>
      </c>
      <c r="U6" s="39">
        <f t="shared" si="3"/>
        <v>0.9</v>
      </c>
      <c r="V6" s="41">
        <f t="shared" si="4"/>
        <v>2.49625</v>
      </c>
      <c r="W6" s="40">
        <f t="shared" si="5"/>
        <v>0.2</v>
      </c>
      <c r="X6" s="41">
        <f t="shared" si="6"/>
        <v>0.509274150316286</v>
      </c>
      <c r="Y6" s="37">
        <f t="shared" si="7"/>
        <v>0.8</v>
      </c>
      <c r="Z6" s="42">
        <v>0</v>
      </c>
      <c r="AA6" s="42">
        <v>0</v>
      </c>
      <c r="AB6" s="42">
        <v>0</v>
      </c>
      <c r="AC6" s="19">
        <f>Q6*S6*(1+U6)*V6*(1+W6)*X6*Y6*(1+Z6)*(1+AA6)*(1+AB6)*O6</f>
        <v>38465.0765095708</v>
      </c>
      <c r="AD6" s="14">
        <v>0</v>
      </c>
      <c r="AE6" s="14"/>
      <c r="AF6" s="15">
        <f t="shared" si="0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0.3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v>3000</v>
      </c>
      <c r="AD7" s="14">
        <v>0</v>
      </c>
      <c r="AE7" s="14"/>
      <c r="AF7" s="15">
        <f t="shared" si="0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3" t="s">
        <v>122</v>
      </c>
      <c r="Q8" s="39">
        <v>0.4961</v>
      </c>
      <c r="R8" s="37" t="s">
        <v>62</v>
      </c>
      <c r="S8" s="38">
        <f t="shared" si="1"/>
        <v>48976.4</v>
      </c>
      <c r="T8" s="39">
        <f t="shared" si="2"/>
        <v>2.30921621621622</v>
      </c>
      <c r="U8" s="39">
        <f t="shared" si="3"/>
        <v>0.9</v>
      </c>
      <c r="V8" s="41">
        <f t="shared" si="4"/>
        <v>2.49625</v>
      </c>
      <c r="W8" s="40">
        <f t="shared" si="5"/>
        <v>0.2</v>
      </c>
      <c r="X8" s="41">
        <f t="shared" si="6"/>
        <v>0.509274150316286</v>
      </c>
      <c r="Y8" s="37">
        <f t="shared" si="7"/>
        <v>0.8</v>
      </c>
      <c r="Z8" s="42">
        <v>0</v>
      </c>
      <c r="AA8" s="42">
        <v>0</v>
      </c>
      <c r="AB8" s="42">
        <v>0</v>
      </c>
      <c r="AC8" s="19">
        <f>Q8*S8*(1+U8)*V8*(1+W8)*X8*Y8*(1+Z8)*(1+AA8)*(1+AB8)*O8</f>
        <v>56340.4914567407</v>
      </c>
      <c r="AD8" s="14">
        <v>0</v>
      </c>
      <c r="AE8" s="14"/>
      <c r="AF8" s="15">
        <f t="shared" si="0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3" t="s">
        <v>124</v>
      </c>
      <c r="Q9" s="39">
        <f>2.13%+2.13%+2.13%+4.26%+2.74%*5+7.2%+28.8%</f>
        <v>0.6035</v>
      </c>
      <c r="R9" s="37" t="s">
        <v>59</v>
      </c>
      <c r="S9" s="38">
        <f t="shared" si="1"/>
        <v>48976.4</v>
      </c>
      <c r="T9" s="39">
        <f t="shared" si="2"/>
        <v>2.30921621621622</v>
      </c>
      <c r="U9" s="39">
        <f t="shared" si="3"/>
        <v>0.9</v>
      </c>
      <c r="V9" s="41">
        <f t="shared" si="4"/>
        <v>2.49625</v>
      </c>
      <c r="W9" s="40">
        <f t="shared" si="5"/>
        <v>0.2</v>
      </c>
      <c r="X9" s="41">
        <f t="shared" si="6"/>
        <v>0.509274150316286</v>
      </c>
      <c r="Y9" s="37">
        <f t="shared" si="7"/>
        <v>0.8</v>
      </c>
      <c r="Z9" s="42">
        <v>0</v>
      </c>
      <c r="AA9" s="42">
        <v>0</v>
      </c>
      <c r="AB9" s="42">
        <v>0</v>
      </c>
      <c r="AC9" s="19">
        <f>Q9*S9*(1+U9)*V9*(1+W9)*X9*Y9*(1+Z9)*(1+AA9)*(1+AB9)*O9</f>
        <v>68537.5662046825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4"/>
      <c r="L10" s="49"/>
      <c r="M10" s="50"/>
      <c r="O10" s="35">
        <v>1</v>
      </c>
      <c r="P10" s="119" t="s">
        <v>118</v>
      </c>
      <c r="Q10" s="39">
        <v>0.5013</v>
      </c>
      <c r="R10" s="37" t="s">
        <v>59</v>
      </c>
      <c r="S10" s="38">
        <f t="shared" si="1"/>
        <v>48976.4</v>
      </c>
      <c r="T10" s="39">
        <f t="shared" si="2"/>
        <v>2.30921621621622</v>
      </c>
      <c r="U10" s="39">
        <f t="shared" si="3"/>
        <v>0.9</v>
      </c>
      <c r="V10" s="41">
        <f t="shared" si="4"/>
        <v>2.49625</v>
      </c>
      <c r="W10" s="40">
        <f t="shared" si="5"/>
        <v>0.2</v>
      </c>
      <c r="X10" s="41">
        <f t="shared" si="6"/>
        <v>0.509274150316286</v>
      </c>
      <c r="Y10" s="37">
        <f t="shared" si="7"/>
        <v>0.8</v>
      </c>
      <c r="Z10" s="42">
        <v>0</v>
      </c>
      <c r="AA10" s="42">
        <v>0</v>
      </c>
      <c r="AB10" s="42">
        <v>0</v>
      </c>
      <c r="AC10" s="19">
        <f>Q10*S10*(1+U10)*V10*(1+W10)*X10*Y10*(1+Z10)*(1+AA10)*(1+AB10)*O10</f>
        <v>56931.0388374604</v>
      </c>
    </row>
    <row r="11" s="1" customFormat="1" ht="15" spans="2:33">
      <c r="B11" s="66"/>
      <c r="C11" s="66"/>
      <c r="D11" s="1" t="s">
        <v>126</v>
      </c>
      <c r="E11" s="109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23" t="s">
        <v>127</v>
      </c>
      <c r="Q11" s="39">
        <f>6.49%+3.63%+1.82%+1.82%+1.82%+2.13%+2.13%+2.13%+4.26%+2.74%*5+7.2%+28.8%</f>
        <v>0.7593</v>
      </c>
      <c r="R11" s="37" t="s">
        <v>59</v>
      </c>
      <c r="S11" s="38">
        <f>$C$4*(1+C$5+C$6+C$7+C$8)+C$9+C$10</f>
        <v>48976.4</v>
      </c>
      <c r="T11" s="39">
        <f>($C$5+$C$6+$C$7+$C$8)+($C$9+$C$10)/$C$4</f>
        <v>2.30921621621622</v>
      </c>
      <c r="U11" s="39">
        <f>IF(R11=$C$1,SUM($E$4:$E$9),SUM($E$4:$E$8))</f>
        <v>0.9</v>
      </c>
      <c r="V11" s="41">
        <f>1+$G$10*($I$10-1)</f>
        <v>2.49625</v>
      </c>
      <c r="W11" s="40">
        <f>IF(R11=$C$1,$K$4+$K$5,$K$4)</f>
        <v>0.2</v>
      </c>
      <c r="X11" s="41">
        <f>$AF$4</f>
        <v>0.509274150316286</v>
      </c>
      <c r="Y11" s="37">
        <f>$AF$11</f>
        <v>0.8</v>
      </c>
      <c r="Z11" s="42">
        <v>0</v>
      </c>
      <c r="AA11" s="42">
        <v>0</v>
      </c>
      <c r="AB11" s="42">
        <v>0</v>
      </c>
      <c r="AC11" s="19">
        <f>Q11*S11*(1+U11)*V11*(1+W11)*X11*Y11*(1+Z11)*(1+AA11)*(1+AB11)*O11</f>
        <v>86231.2742654771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26" t="s">
        <v>128</v>
      </c>
      <c r="Q12" s="127">
        <v>0.9184</v>
      </c>
      <c r="R12" s="128" t="s">
        <v>1</v>
      </c>
      <c r="S12" s="129">
        <f t="shared" ref="S12:S20" si="8">$C$4*(1+C$5+C$6+C$7+C$8)+C$9+C$10</f>
        <v>48976.4</v>
      </c>
      <c r="T12" s="127">
        <f>($C$5+$C$6+$C$7+$C$8)+($C$9+$C$10)/$C$4</f>
        <v>2.30921621621622</v>
      </c>
      <c r="U12" s="127">
        <f>IF(R12=$C$1,SUM($E$4:$E$9),SUM($E$4:$E$8))</f>
        <v>0.9</v>
      </c>
      <c r="V12" s="130">
        <f>1+$G$10*($I$10-1)</f>
        <v>2.49625</v>
      </c>
      <c r="W12" s="131">
        <f>IF(R12=$C$1,$K$4+$K$5,$K$4)+60%</f>
        <v>0.8</v>
      </c>
      <c r="X12" s="130">
        <f t="shared" ref="X12:X20" si="9">$AF$4</f>
        <v>0.509274150316286</v>
      </c>
      <c r="Y12" s="128">
        <f>$AF$11</f>
        <v>0.8</v>
      </c>
      <c r="Z12" s="132">
        <v>0</v>
      </c>
      <c r="AA12" s="132">
        <v>0</v>
      </c>
      <c r="AB12" s="132">
        <v>0</v>
      </c>
      <c r="AC12" s="19">
        <f t="shared" ref="AC12:AC20" si="10">Q12*S12*(1+U12)*V12*(1+W12)*X12*Y12*(1+Z12)*(1+AA12)*(1+AB12)*O12</f>
        <v>156449.629169131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35" t="s">
        <v>118</v>
      </c>
      <c r="Q13" s="39">
        <v>0.5013</v>
      </c>
      <c r="R13" s="37" t="s">
        <v>59</v>
      </c>
      <c r="S13" s="38">
        <f t="shared" si="8"/>
        <v>48976.4</v>
      </c>
      <c r="T13" s="39">
        <f>($C$5+$C$6+$C$7+$C$8)+($C$9+$C$10)/$C$4</f>
        <v>2.30921621621622</v>
      </c>
      <c r="U13" s="39">
        <f>IF(R13=$C$1,SUM($E$4:$E$9),SUM($E$4:$E$8))</f>
        <v>0.9</v>
      </c>
      <c r="V13" s="41">
        <f>1+$G$10*($I$10-1)</f>
        <v>2.49625</v>
      </c>
      <c r="W13" s="40">
        <f>IF(R13=$C$1,$K$4+$K$5,$K$4)</f>
        <v>0.2</v>
      </c>
      <c r="X13" s="41">
        <f t="shared" si="9"/>
        <v>0.509274150316286</v>
      </c>
      <c r="Y13" s="37">
        <f>$AF$11</f>
        <v>0.8</v>
      </c>
      <c r="Z13" s="42">
        <v>0</v>
      </c>
      <c r="AA13" s="42">
        <v>0</v>
      </c>
      <c r="AB13" s="42">
        <v>0</v>
      </c>
      <c r="AC13" s="19">
        <f t="shared" si="10"/>
        <v>56931.0388374604</v>
      </c>
      <c r="AE13" s="125" t="s">
        <v>65</v>
      </c>
      <c r="AF13" s="125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35" t="s">
        <v>62</v>
      </c>
      <c r="Q14" s="39">
        <v>0.2953</v>
      </c>
      <c r="R14" s="37" t="s">
        <v>59</v>
      </c>
      <c r="S14" s="38">
        <f t="shared" si="8"/>
        <v>48976.4</v>
      </c>
      <c r="T14" s="39">
        <f>($C$5+$C$6+$C$7+$C$8)+($C$9+$C$10)/$C$4</f>
        <v>2.30921621621622</v>
      </c>
      <c r="U14" s="39">
        <f>IF(R14=$C$1,SUM($E$4:$E$9),SUM($E$4:$E$8))</f>
        <v>0.9</v>
      </c>
      <c r="V14" s="41">
        <f>1+$G$10*($I$10-1)</f>
        <v>2.49625</v>
      </c>
      <c r="W14" s="40">
        <f>IF(R14=$C$1,$K$4+$K$5,$K$4)</f>
        <v>0.2</v>
      </c>
      <c r="X14" s="41">
        <f t="shared" si="9"/>
        <v>0.509274150316286</v>
      </c>
      <c r="Y14" s="37">
        <f>$AF$11</f>
        <v>0.8</v>
      </c>
      <c r="Z14" s="42">
        <v>0</v>
      </c>
      <c r="AA14" s="42">
        <v>0</v>
      </c>
      <c r="AB14" s="42">
        <v>0</v>
      </c>
      <c r="AC14" s="19">
        <f t="shared" si="10"/>
        <v>33536.2772166408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35" t="s">
        <v>78</v>
      </c>
      <c r="Q15" s="39">
        <v>0.1248</v>
      </c>
      <c r="R15" s="37" t="s">
        <v>59</v>
      </c>
      <c r="S15" s="38">
        <f t="shared" si="8"/>
        <v>48976.4</v>
      </c>
      <c r="T15" s="39">
        <f>($C$5+$C$6+$C$7+$C$8)+($C$9+$C$10)/$C$4</f>
        <v>2.30921621621622</v>
      </c>
      <c r="U15" s="39">
        <f>IF(R15=$C$1,SUM($E$4:$E$9),SUM($E$4:$E$8))</f>
        <v>0.9</v>
      </c>
      <c r="V15" s="41">
        <f>1+$G$10*($I$10-1)</f>
        <v>2.49625</v>
      </c>
      <c r="W15" s="40">
        <f>IF(R15=$C$1,$K$4+$K$5,$K$4)</f>
        <v>0.2</v>
      </c>
      <c r="X15" s="41">
        <f t="shared" si="9"/>
        <v>0.509274150316286</v>
      </c>
      <c r="Y15" s="37">
        <f>$AF$11</f>
        <v>0.8</v>
      </c>
      <c r="Z15" s="42">
        <v>0</v>
      </c>
      <c r="AA15" s="42">
        <v>0</v>
      </c>
      <c r="AB15" s="42">
        <v>0</v>
      </c>
      <c r="AC15" s="19">
        <f t="shared" si="10"/>
        <v>14173.1371372732</v>
      </c>
      <c r="AE15" s="133" t="s">
        <v>73</v>
      </c>
      <c r="AF15" s="134">
        <v>0.8</v>
      </c>
    </row>
    <row r="16" s="1" customFormat="1" ht="15" spans="2:33">
      <c r="B16" s="4" t="s">
        <v>74</v>
      </c>
      <c r="C16" s="100">
        <f>SUM(AC3:AC16)</f>
        <v>713701.059335383</v>
      </c>
      <c r="D16" s="100">
        <f>C16/$E$16</f>
        <v>25489.3235476922</v>
      </c>
      <c r="E16" s="101">
        <v>28</v>
      </c>
      <c r="F16" s="102">
        <f>C16/$C$19</f>
        <v>0.868862342630045</v>
      </c>
      <c r="G16" s="2"/>
      <c r="O16" s="35">
        <v>1</v>
      </c>
      <c r="P16" s="135" t="s">
        <v>121</v>
      </c>
      <c r="Q16" s="39">
        <v>0.3387</v>
      </c>
      <c r="R16" s="37" t="s">
        <v>59</v>
      </c>
      <c r="S16" s="38">
        <f t="shared" si="8"/>
        <v>48976.4</v>
      </c>
      <c r="T16" s="39">
        <f>($C$5+$C$6+$C$7+$C$8)+($C$9+$C$10)/$C$4</f>
        <v>2.30921621621622</v>
      </c>
      <c r="U16" s="39">
        <f>IF(R16=$C$1,SUM($E$4:$E$9),SUM($E$4:$E$8))</f>
        <v>0.9</v>
      </c>
      <c r="V16" s="41">
        <f>1+$G$10*($I$10-1)</f>
        <v>2.49625</v>
      </c>
      <c r="W16" s="40">
        <f>IF(R16=$C$1,$K$4+$K$5,$K$4)</f>
        <v>0.2</v>
      </c>
      <c r="X16" s="41">
        <f t="shared" si="9"/>
        <v>0.509274150316286</v>
      </c>
      <c r="Y16" s="37">
        <f>$AF$11</f>
        <v>0.8</v>
      </c>
      <c r="Z16" s="42">
        <v>0</v>
      </c>
      <c r="AA16" s="42">
        <v>0</v>
      </c>
      <c r="AB16" s="42">
        <v>0</v>
      </c>
      <c r="AC16" s="19">
        <f t="shared" si="10"/>
        <v>38465.0765095708</v>
      </c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AC21</f>
        <v>68956.8904884319</v>
      </c>
      <c r="D17" s="100">
        <f>C17/$E$16</f>
        <v>2462.74608887257</v>
      </c>
      <c r="E17" s="103"/>
      <c r="F17" s="102">
        <f>C17/$C$19</f>
        <v>0.0839483767420157</v>
      </c>
      <c r="G17" s="2"/>
      <c r="J17" s="39"/>
    </row>
    <row r="18" s="1" customFormat="1" ht="15" spans="2:32">
      <c r="B18" s="4" t="s">
        <v>129</v>
      </c>
      <c r="C18" s="100">
        <f>AC24</f>
        <v>38762.2272493573</v>
      </c>
      <c r="D18" s="100">
        <f>C18/$E$16</f>
        <v>1384.36525890562</v>
      </c>
      <c r="E18" s="103"/>
      <c r="F18" s="102"/>
      <c r="G18" s="2"/>
      <c r="O18" s="70">
        <f t="shared" ref="O18:O20" si="11">$O$21</f>
        <v>1</v>
      </c>
      <c r="P18" s="72" t="s">
        <v>81</v>
      </c>
      <c r="Q18" s="71">
        <v>18.8075</v>
      </c>
      <c r="R18" s="72" t="s">
        <v>82</v>
      </c>
      <c r="S18" s="72">
        <v>10027</v>
      </c>
      <c r="T18" s="71">
        <v>0</v>
      </c>
      <c r="U18" s="71">
        <v>0</v>
      </c>
      <c r="V18" s="73">
        <v>1</v>
      </c>
      <c r="W18" s="74">
        <v>0</v>
      </c>
      <c r="X18" s="73">
        <f t="shared" ref="X18:X21" si="12">$AF$3</f>
        <v>0.488431876606684</v>
      </c>
      <c r="Y18" s="72">
        <f t="shared" ref="Y18:Y21" si="13">$AF$18</f>
        <v>0.8</v>
      </c>
      <c r="Z18" s="75">
        <v>0</v>
      </c>
      <c r="AA18" s="75">
        <v>0</v>
      </c>
      <c r="AB18" s="34">
        <v>0.5</v>
      </c>
      <c r="AC18" s="137">
        <f t="shared" ref="AC18:AC21" si="14">Q18*S18*(1+T18)*(1+U18)*V18*(1+W18)*X18*Y18*(1+Z18)*(1+AA18)*(1+AB18)*O18</f>
        <v>110531.822544987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821420.177073172</v>
      </c>
      <c r="D19" s="104">
        <f>C19/E16</f>
        <v>29336.4348954704</v>
      </c>
      <c r="E19" s="105"/>
      <c r="F19" s="106"/>
      <c r="G19" s="2"/>
      <c r="O19" s="29">
        <f t="shared" si="11"/>
        <v>1</v>
      </c>
      <c r="P19" s="66" t="s">
        <v>83</v>
      </c>
      <c r="Q19" s="80">
        <v>2.9822</v>
      </c>
      <c r="R19" s="66" t="s">
        <v>82</v>
      </c>
      <c r="S19" s="66">
        <v>10027</v>
      </c>
      <c r="T19" s="80">
        <v>0</v>
      </c>
      <c r="U19" s="80">
        <v>0</v>
      </c>
      <c r="V19" s="81">
        <v>1</v>
      </c>
      <c r="W19" s="82">
        <v>0</v>
      </c>
      <c r="X19" s="81">
        <f t="shared" si="12"/>
        <v>0.488431876606684</v>
      </c>
      <c r="Y19" s="66">
        <f t="shared" si="13"/>
        <v>0.8</v>
      </c>
      <c r="Z19" s="83">
        <v>0</v>
      </c>
      <c r="AA19" s="83">
        <v>0</v>
      </c>
      <c r="AB19" s="31">
        <v>0.5</v>
      </c>
      <c r="AC19" s="137">
        <f t="shared" si="14"/>
        <v>17526.4123989717</v>
      </c>
    </row>
    <row r="20" s="1" customFormat="1" ht="15" spans="2:32">
      <c r="B20" s="4"/>
      <c r="C20" s="4"/>
      <c r="D20" s="4"/>
      <c r="G20" s="2"/>
      <c r="O20" s="29">
        <f t="shared" si="11"/>
        <v>1</v>
      </c>
      <c r="P20" s="66" t="s">
        <v>85</v>
      </c>
      <c r="Q20" s="80">
        <v>5.9643</v>
      </c>
      <c r="R20" s="66" t="s">
        <v>82</v>
      </c>
      <c r="S20" s="66">
        <v>10027</v>
      </c>
      <c r="T20" s="80">
        <v>0</v>
      </c>
      <c r="U20" s="80">
        <v>0</v>
      </c>
      <c r="V20" s="81">
        <v>1</v>
      </c>
      <c r="W20" s="82">
        <v>0</v>
      </c>
      <c r="X20" s="81">
        <f t="shared" si="12"/>
        <v>0.488431876606684</v>
      </c>
      <c r="Y20" s="66">
        <f t="shared" si="13"/>
        <v>0.8</v>
      </c>
      <c r="Z20" s="83">
        <v>0</v>
      </c>
      <c r="AA20" s="83">
        <v>0</v>
      </c>
      <c r="AB20" s="31">
        <v>0.5</v>
      </c>
      <c r="AC20" s="138">
        <f t="shared" si="14"/>
        <v>35052.2370971722</v>
      </c>
    </row>
    <row r="21" s="1" customFormat="1" ht="15" spans="2:32">
      <c r="B21" s="4"/>
      <c r="C21" s="4"/>
      <c r="D21" s="4"/>
      <c r="F21" s="4"/>
      <c r="G21" s="2"/>
      <c r="H21" s="1"/>
      <c r="O21" s="16">
        <v>1</v>
      </c>
      <c r="P21" s="139" t="s">
        <v>77</v>
      </c>
      <c r="Q21" s="140">
        <v>16</v>
      </c>
      <c r="R21" s="139" t="s">
        <v>86</v>
      </c>
      <c r="S21" s="139">
        <v>10027</v>
      </c>
      <c r="T21" s="140">
        <v>0</v>
      </c>
      <c r="U21" s="140">
        <v>0</v>
      </c>
      <c r="V21" s="141">
        <v>1</v>
      </c>
      <c r="W21" s="142">
        <v>0</v>
      </c>
      <c r="X21" s="141">
        <f t="shared" si="12"/>
        <v>0.488431876606684</v>
      </c>
      <c r="Y21" s="139">
        <f t="shared" si="13"/>
        <v>0.8</v>
      </c>
      <c r="Z21" s="143">
        <v>0</v>
      </c>
      <c r="AA21" s="143">
        <v>0</v>
      </c>
      <c r="AB21" s="144">
        <v>0.1</v>
      </c>
      <c r="AC21" s="145">
        <f t="shared" si="14"/>
        <v>68956.8904884319</v>
      </c>
    </row>
    <row r="22" s="1" customFormat="1" spans="2:32">
      <c r="B22" s="1" t="s">
        <v>130</v>
      </c>
      <c r="F22" s="4"/>
      <c r="G22" s="2"/>
      <c r="Q22" s="2"/>
      <c r="U22" s="2"/>
      <c r="V22" s="3"/>
      <c r="AB22" s="4"/>
      <c r="AC22" s="4"/>
    </row>
    <row r="23" s="1" customFormat="1" spans="2:32">
      <c r="G23" s="2"/>
      <c r="N23" s="146" t="s">
        <v>91</v>
      </c>
      <c r="O23" s="147" t="s">
        <v>4</v>
      </c>
      <c r="P23" s="147"/>
      <c r="Q23" s="148"/>
      <c r="R23" s="147"/>
      <c r="S23" s="147"/>
      <c r="T23" s="147"/>
      <c r="U23" s="148"/>
      <c r="V23" s="149"/>
      <c r="W23" s="147"/>
      <c r="X23" s="147"/>
      <c r="Y23" s="147"/>
      <c r="Z23" s="147"/>
      <c r="AA23" s="147"/>
      <c r="AB23" s="150"/>
      <c r="AC23" s="151"/>
    </row>
    <row r="24" s="1" customFormat="1" ht="15" spans="2:32">
      <c r="B24" s="4"/>
      <c r="C24" s="4"/>
      <c r="D24" s="4"/>
      <c r="F24" s="4"/>
      <c r="G24" s="2"/>
      <c r="N24" s="29">
        <v>3</v>
      </c>
      <c r="O24" s="66">
        <v>12</v>
      </c>
      <c r="P24" s="152" t="s">
        <v>87</v>
      </c>
      <c r="Q24" s="153">
        <f>IF(N24&gt;0,(MAX(45%,112.5%+112.5%*(N24-2))),(IF(N24&lt;=0,0)))</f>
        <v>2.25</v>
      </c>
      <c r="R24" s="152" t="s">
        <v>87</v>
      </c>
      <c r="S24" s="154">
        <v>3674.1</v>
      </c>
      <c r="T24" s="155">
        <v>0</v>
      </c>
      <c r="U24" s="155">
        <v>0</v>
      </c>
      <c r="V24" s="156">
        <v>1</v>
      </c>
      <c r="W24" s="157">
        <v>0</v>
      </c>
      <c r="X24" s="156">
        <f t="shared" ref="X24:X27" si="15">$AF$3</f>
        <v>0.488431876606684</v>
      </c>
      <c r="Y24" s="152">
        <f>$AF$13</f>
        <v>0.8</v>
      </c>
      <c r="Z24" s="158">
        <v>0</v>
      </c>
      <c r="AA24" s="158">
        <v>0</v>
      </c>
      <c r="AB24" s="158">
        <v>0</v>
      </c>
      <c r="AC24" s="159">
        <f>Q24*S24*(1+T24)*(1+U24)*V24*(1+W24)*X24*Y24*(1+Z24)*(1+AA24)*(1+AB24)*O24</f>
        <v>38762.2272493573</v>
      </c>
    </row>
    <row r="25" s="1" customFormat="1" ht="15" spans="2:32">
      <c r="B25" s="4"/>
      <c r="C25" s="4"/>
      <c r="D25" s="4"/>
      <c r="F25" s="4"/>
      <c r="N25" s="29">
        <v>10</v>
      </c>
      <c r="O25" s="66">
        <v>1</v>
      </c>
      <c r="P25" s="160" t="s">
        <v>88</v>
      </c>
      <c r="Q25" s="161">
        <f>IF(N25=1,0.3,IF(AND(N25&gt;=2,N25&lt;=10),0.3+0.2439*(N25-1),IF(AND(N25&gt;=11),2.4951+0.8317*(N25-10),IF(AND(N25&lt;=0),0,""))))</f>
        <v>2.4951</v>
      </c>
      <c r="R25" s="160" t="s">
        <v>88</v>
      </c>
      <c r="S25" s="162">
        <v>3674.1</v>
      </c>
      <c r="T25" s="163">
        <v>0</v>
      </c>
      <c r="U25" s="163">
        <v>0</v>
      </c>
      <c r="V25" s="164">
        <v>1</v>
      </c>
      <c r="W25" s="165">
        <v>0</v>
      </c>
      <c r="X25" s="164">
        <f t="shared" si="15"/>
        <v>0.488431876606684</v>
      </c>
      <c r="Y25" s="160">
        <f>$AF$11</f>
        <v>0.8</v>
      </c>
      <c r="Z25" s="166">
        <v>0</v>
      </c>
      <c r="AA25" s="166">
        <v>0</v>
      </c>
      <c r="AB25" s="166">
        <v>0</v>
      </c>
      <c r="AC25" s="167">
        <f t="shared" ref="AC24:AC27" si="16">Q25*S25*(1+T25)*(1+U25)*V25*(1+W25)*X25*Y25*(1+Z25)*(1+AA25)*(1+AB25)*O25</f>
        <v>3582.0604892545</v>
      </c>
    </row>
    <row r="26" s="1" customFormat="1" ht="15" spans="2:32">
      <c r="G26" s="2"/>
      <c r="N26" s="29">
        <v>13</v>
      </c>
      <c r="O26" s="66">
        <v>1</v>
      </c>
      <c r="P26" s="133" t="s">
        <v>89</v>
      </c>
      <c r="Q26" s="168">
        <f>IF(N26=1,24.5%,IF(AND(10&gt;=N26,N26&gt;=2),24.5%+(N26-1)*19.9185%,IF(AND(13&gt;=N26,N26&gt;=11),203.77%+(N26-10)*(271.69%-203.77%),"")))</f>
        <v>4.0753</v>
      </c>
      <c r="R26" s="133" t="s">
        <v>89</v>
      </c>
      <c r="S26" s="169">
        <v>3674.1</v>
      </c>
      <c r="T26" s="170">
        <v>0</v>
      </c>
      <c r="U26" s="170">
        <v>0</v>
      </c>
      <c r="V26" s="171">
        <v>1</v>
      </c>
      <c r="W26" s="172">
        <v>0</v>
      </c>
      <c r="X26" s="171">
        <f t="shared" si="15"/>
        <v>0.488431876606684</v>
      </c>
      <c r="Y26" s="133">
        <f>$AF$15</f>
        <v>0.8</v>
      </c>
      <c r="Z26" s="173">
        <v>0</v>
      </c>
      <c r="AA26" s="173">
        <v>0</v>
      </c>
      <c r="AB26" s="173">
        <v>0</v>
      </c>
      <c r="AC26" s="174">
        <f t="shared" si="16"/>
        <v>5850.65572997429</v>
      </c>
    </row>
    <row r="27" s="1" customFormat="1" ht="15" spans="2:32">
      <c r="B27" s="4"/>
      <c r="C27" s="4"/>
      <c r="D27" s="4"/>
      <c r="F27" s="4"/>
      <c r="G27" s="2"/>
      <c r="N27" s="49">
        <v>13</v>
      </c>
      <c r="O27" s="94">
        <v>1</v>
      </c>
      <c r="P27" s="175" t="s">
        <v>90</v>
      </c>
      <c r="Q27" s="176">
        <f>IF(N27=1,0.84,IF(N27=2,1.5229,IF(N27=3,2.2058,IF(N27=4,2.8888,IF(N27=5,3.5717,IF(N27=6,4.2546,IF(N27=7,4.9375,IF(N27=8,5.6204,IF(N27=9,6.3034,IF(N27=10,6.9863,IF(N27=11,9.315,IF(N27=12,11.6438,IF(N27=13,13.9726,"")))))))))))))</f>
        <v>13.9726</v>
      </c>
      <c r="R27" s="175" t="s">
        <v>90</v>
      </c>
      <c r="S27" s="177">
        <v>3674.1</v>
      </c>
      <c r="T27" s="178">
        <v>0</v>
      </c>
      <c r="U27" s="178">
        <v>0</v>
      </c>
      <c r="V27" s="179">
        <v>1</v>
      </c>
      <c r="W27" s="180">
        <v>0</v>
      </c>
      <c r="X27" s="179">
        <f t="shared" si="15"/>
        <v>0.488431876606684</v>
      </c>
      <c r="Y27" s="175">
        <f>$AF$16</f>
        <v>0.8</v>
      </c>
      <c r="Z27" s="181">
        <v>0</v>
      </c>
      <c r="AA27" s="181">
        <v>0</v>
      </c>
      <c r="AB27" s="181">
        <v>0</v>
      </c>
      <c r="AC27" s="182">
        <f t="shared" si="16"/>
        <v>20059.596165347</v>
      </c>
    </row>
    <row r="28" s="1" customFormat="1" spans="2:32">
      <c r="B28" s="4"/>
      <c r="C28" s="4"/>
      <c r="D28" s="4"/>
      <c r="F28" s="4"/>
      <c r="G28" s="2"/>
      <c r="Q28" s="2"/>
      <c r="U28" s="2"/>
      <c r="V28" s="3"/>
      <c r="AB28" s="4"/>
      <c r="AC28" s="4"/>
    </row>
    <row r="29" s="1" customFormat="1" spans="2:32"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F30" s="4"/>
      <c r="G30" s="2"/>
      <c r="Q30" s="2"/>
      <c r="U30" s="2"/>
      <c r="V30" s="3"/>
      <c r="AB30" s="4"/>
      <c r="AC30" s="4"/>
    </row>
    <row r="31" s="1" customFormat="1" spans="2:32">
      <c r="B31" s="4"/>
      <c r="C31" s="4"/>
      <c r="D31" s="4"/>
      <c r="G31" s="2"/>
      <c r="Q31" s="2"/>
      <c r="U31" s="2"/>
      <c r="V31" s="3"/>
      <c r="AB31" s="4"/>
      <c r="AC31" s="4"/>
    </row>
    <row r="32" s="1" customFormat="1" spans="2:32">
      <c r="G32" s="2"/>
      <c r="Q32" s="2"/>
      <c r="U32" s="2"/>
      <c r="V32" s="3"/>
      <c r="AB32" s="4"/>
      <c r="AC32" s="4"/>
    </row>
    <row r="33" s="1" customFormat="1" spans="2:29">
      <c r="B33" s="4"/>
      <c r="C33" s="4"/>
      <c r="D33" s="4"/>
      <c r="G33" s="2"/>
      <c r="Q33" s="2"/>
      <c r="U33" s="2"/>
      <c r="V33" s="3"/>
      <c r="AB33" s="4"/>
      <c r="AC33" s="4"/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L1" workbookViewId="0">
      <selection activeCell="S24" sqref="S24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116</v>
      </c>
      <c r="T2" s="114" t="s">
        <v>117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118</v>
      </c>
      <c r="Q3" s="39">
        <v>0.5013</v>
      </c>
      <c r="R3" s="37" t="s">
        <v>59</v>
      </c>
      <c r="S3" s="38">
        <f t="shared" ref="S3:S6" si="0">$C$4*(1+C$5+C$6+C$7+C$8)+C$9+C$10</f>
        <v>48976.4</v>
      </c>
      <c r="T3" s="39">
        <f t="shared" ref="T3:T6" si="1">($C$5+$C$6+$C$7+$C$8)+($C$9+$C$10)/$C$4</f>
        <v>2.30921621621622</v>
      </c>
      <c r="U3" s="39">
        <f t="shared" ref="U3:U6" si="2">IF(R3=$C$1,SUM($E$4:$E$9),SUM($E$4:$E$8))</f>
        <v>1.2</v>
      </c>
      <c r="V3" s="41">
        <f t="shared" ref="V3:V6" si="3">1+$G$10*($I$10-1)</f>
        <v>2.49625</v>
      </c>
      <c r="W3" s="40">
        <f t="shared" ref="W3:W6" si="4">IF(R3=$C$1,$K$4+$K$5,$K$4)</f>
        <v>0.2</v>
      </c>
      <c r="X3" s="41">
        <f t="shared" ref="X3:X6" si="5">$AF$4</f>
        <v>0.509274150316286</v>
      </c>
      <c r="Y3" s="37">
        <f t="shared" ref="Y3:Y6" si="6">$AF$11</f>
        <v>0.8</v>
      </c>
      <c r="Z3" s="42">
        <v>0.5</v>
      </c>
      <c r="AA3" s="42">
        <v>0</v>
      </c>
      <c r="AB3" s="42">
        <v>0</v>
      </c>
      <c r="AC3" s="19">
        <f>Q3*S3*(1+U3)*V3*(1+W3)*X3*Y3*(1+Z3)*(1+AA3)*(1+AB3)*O3</f>
        <v>98880.2253492733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f>20%+(E11-1)*5%</f>
        <v>0.2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 t="shared" si="0"/>
        <v>48976.4</v>
      </c>
      <c r="T4" s="39">
        <f t="shared" si="1"/>
        <v>2.30921621621622</v>
      </c>
      <c r="U4" s="39">
        <f t="shared" si="2"/>
        <v>1.2</v>
      </c>
      <c r="V4" s="41">
        <f t="shared" si="3"/>
        <v>2.49625</v>
      </c>
      <c r="W4" s="40">
        <f t="shared" si="4"/>
        <v>0.2</v>
      </c>
      <c r="X4" s="41">
        <f t="shared" si="5"/>
        <v>0.509274150316286</v>
      </c>
      <c r="Y4" s="37">
        <f t="shared" si="6"/>
        <v>0.8</v>
      </c>
      <c r="Z4" s="42">
        <v>0</v>
      </c>
      <c r="AA4" s="42">
        <v>0</v>
      </c>
      <c r="AB4" s="42">
        <v>0</v>
      </c>
      <c r="AC4" s="19">
        <f>Q4*S4*(1+U4)*V4*(1+W4)*X4*Y4*(1+Z4)*(1+AA4)*(1+AB4)*O4</f>
        <v>38831.4788824262</v>
      </c>
      <c r="AD4" s="14">
        <f>8+(E11-1)*2</f>
        <v>8</v>
      </c>
      <c r="AE4" s="14"/>
      <c r="AF4" s="15">
        <f>1520/(1520+(792+8*AG4)*(1-AE4/100)*(1-AD4/100))</f>
        <v>0.509274150316286</v>
      </c>
      <c r="AG4" s="28">
        <v>100</v>
      </c>
    </row>
    <row r="5" s="1" customFormat="1" ht="15" spans="2:33">
      <c r="B5" s="29" t="s">
        <v>33</v>
      </c>
      <c r="C5" s="31">
        <f>24%+72.2%+(E11-1)*3%</f>
        <v>0.962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121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si="0"/>
        <v>48976.4</v>
      </c>
      <c r="T5" s="39">
        <f t="shared" si="1"/>
        <v>2.30921621621622</v>
      </c>
      <c r="U5" s="39">
        <f t="shared" si="2"/>
        <v>1.2</v>
      </c>
      <c r="V5" s="41">
        <f t="shared" si="3"/>
        <v>2.49625</v>
      </c>
      <c r="W5" s="40">
        <f t="shared" si="4"/>
        <v>0.2</v>
      </c>
      <c r="X5" s="41">
        <f t="shared" si="5"/>
        <v>0.509274150316286</v>
      </c>
      <c r="Y5" s="37">
        <f t="shared" si="6"/>
        <v>0.8</v>
      </c>
      <c r="Z5" s="42">
        <v>0.5</v>
      </c>
      <c r="AA5" s="42">
        <v>0</v>
      </c>
      <c r="AB5" s="42">
        <v>0</v>
      </c>
      <c r="AC5" s="19">
        <f t="shared" ref="AC5:AC10" si="8">Q5*S5*(1+U5)*V5*(1+W5)*X5*Y5*(1+Z5)*(1+AA5)*(1+AB5)*O5</f>
        <v>24616.501343685</v>
      </c>
      <c r="AD5" s="14">
        <v>0</v>
      </c>
      <c r="AE5" s="14"/>
      <c r="AF5" s="15">
        <f t="shared" si="7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0"/>
        <v>48976.4</v>
      </c>
      <c r="T6" s="39">
        <f t="shared" si="1"/>
        <v>2.30921621621622</v>
      </c>
      <c r="U6" s="39">
        <f t="shared" si="2"/>
        <v>1.2</v>
      </c>
      <c r="V6" s="41">
        <f t="shared" si="3"/>
        <v>2.49625</v>
      </c>
      <c r="W6" s="40">
        <f t="shared" si="4"/>
        <v>0.2</v>
      </c>
      <c r="X6" s="41">
        <f t="shared" si="5"/>
        <v>0.509274150316286</v>
      </c>
      <c r="Y6" s="37">
        <f t="shared" si="6"/>
        <v>0.8</v>
      </c>
      <c r="Z6" s="42">
        <v>2</v>
      </c>
      <c r="AA6" s="42">
        <v>0</v>
      </c>
      <c r="AB6" s="42">
        <v>0</v>
      </c>
      <c r="AC6" s="19">
        <f t="shared" si="8"/>
        <v>133615.528927983</v>
      </c>
      <c r="AD6" s="14">
        <v>0</v>
      </c>
      <c r="AE6" s="14"/>
      <c r="AF6" s="15">
        <f t="shared" si="7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0.6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f t="shared" si="8"/>
        <v>0</v>
      </c>
      <c r="AD7" s="14">
        <v>0</v>
      </c>
      <c r="AE7" s="14"/>
      <c r="AF7" s="15">
        <f t="shared" si="7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3" t="s">
        <v>122</v>
      </c>
      <c r="Q8" s="39">
        <v>0.4961</v>
      </c>
      <c r="R8" s="37" t="s">
        <v>62</v>
      </c>
      <c r="S8" s="38">
        <f t="shared" ref="S8:S10" si="9">$C$4*(1+C$5+C$6+C$7+C$8)+C$9+C$10</f>
        <v>48976.4</v>
      </c>
      <c r="T8" s="39">
        <f t="shared" ref="T8:T10" si="10">($C$5+$C$6+$C$7+$C$8)+($C$9+$C$10)/$C$4</f>
        <v>2.30921621621622</v>
      </c>
      <c r="U8" s="39">
        <f t="shared" ref="U8:U10" si="11">IF(R8=$C$1,SUM($E$4:$E$9),SUM($E$4:$E$8))</f>
        <v>1.2</v>
      </c>
      <c r="V8" s="41">
        <f>1+$G$10*($I$10-1+0.25)</f>
        <v>2.71</v>
      </c>
      <c r="W8" s="40">
        <f t="shared" ref="W8:W10" si="12">IF(R8=$C$1,$K$4+$K$5,$K$4)</f>
        <v>0.2</v>
      </c>
      <c r="X8" s="41">
        <f t="shared" ref="X8:X10" si="13">$AF$4</f>
        <v>0.509274150316286</v>
      </c>
      <c r="Y8" s="37">
        <f t="shared" ref="Y8:Y10" si="14">$AF$11</f>
        <v>0.8</v>
      </c>
      <c r="Z8" s="42">
        <v>0</v>
      </c>
      <c r="AA8" s="42">
        <v>0</v>
      </c>
      <c r="AB8" s="42">
        <v>0</v>
      </c>
      <c r="AC8" s="19">
        <f t="shared" si="8"/>
        <v>70822.4463147538</v>
      </c>
      <c r="AD8" s="14">
        <v>0</v>
      </c>
      <c r="AE8" s="14"/>
      <c r="AF8" s="15">
        <f t="shared" si="7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3" t="s">
        <v>124</v>
      </c>
      <c r="Q9" s="39">
        <f>2.13%+2.13%+2.13%+4.26%+2.74%*5+7.2%+28.8%</f>
        <v>0.6035</v>
      </c>
      <c r="R9" s="37" t="s">
        <v>59</v>
      </c>
      <c r="S9" s="38">
        <f t="shared" si="9"/>
        <v>48976.4</v>
      </c>
      <c r="T9" s="39">
        <f t="shared" si="10"/>
        <v>2.30921621621622</v>
      </c>
      <c r="U9" s="39">
        <f t="shared" si="11"/>
        <v>1.2</v>
      </c>
      <c r="V9" s="41">
        <f>1+$G$10*($I$10-1+0.5)</f>
        <v>2.92375</v>
      </c>
      <c r="W9" s="40">
        <f t="shared" si="12"/>
        <v>0.2</v>
      </c>
      <c r="X9" s="41">
        <f t="shared" si="13"/>
        <v>0.509274150316286</v>
      </c>
      <c r="Y9" s="37">
        <f t="shared" si="14"/>
        <v>0.8</v>
      </c>
      <c r="Z9" s="42">
        <v>0</v>
      </c>
      <c r="AA9" s="42">
        <v>0</v>
      </c>
      <c r="AB9" s="42">
        <v>0</v>
      </c>
      <c r="AC9" s="19">
        <f t="shared" si="8"/>
        <v>92950.111529414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4"/>
      <c r="L10" s="49"/>
      <c r="M10" s="50"/>
      <c r="O10" s="35">
        <v>1</v>
      </c>
      <c r="P10" s="119" t="s">
        <v>118</v>
      </c>
      <c r="Q10" s="39">
        <v>0.5013</v>
      </c>
      <c r="R10" s="37" t="s">
        <v>59</v>
      </c>
      <c r="S10" s="38">
        <f t="shared" si="9"/>
        <v>48976.4</v>
      </c>
      <c r="T10" s="39">
        <f t="shared" si="10"/>
        <v>2.30921621621622</v>
      </c>
      <c r="U10" s="39">
        <f t="shared" si="11"/>
        <v>1.2</v>
      </c>
      <c r="V10" s="41">
        <f>1+$G$10*($I$10-1)</f>
        <v>2.49625</v>
      </c>
      <c r="W10" s="40">
        <f t="shared" si="12"/>
        <v>0.2</v>
      </c>
      <c r="X10" s="41">
        <f t="shared" si="13"/>
        <v>0.509274150316286</v>
      </c>
      <c r="Y10" s="37">
        <f t="shared" si="14"/>
        <v>0.8</v>
      </c>
      <c r="Z10" s="42">
        <v>0.5</v>
      </c>
      <c r="AA10" s="42">
        <v>0</v>
      </c>
      <c r="AB10" s="42">
        <v>0</v>
      </c>
      <c r="AC10" s="19">
        <f t="shared" si="8"/>
        <v>98880.2253492733</v>
      </c>
    </row>
    <row r="11" s="1" customFormat="1" ht="15" spans="2:33">
      <c r="B11" s="66"/>
      <c r="C11" s="66"/>
      <c r="D11" s="1" t="s">
        <v>126</v>
      </c>
      <c r="E11" s="109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78</v>
      </c>
      <c r="Q11" s="39">
        <v>0.1248</v>
      </c>
      <c r="R11" s="37" t="s">
        <v>59</v>
      </c>
      <c r="S11" s="38">
        <f>$C$4*(1+C$5+C$6+C$7+C$8)+C$9+C$10</f>
        <v>48976.4</v>
      </c>
      <c r="T11" s="39">
        <f>($C$5+$C$6+$C$7+$C$8)+($C$9+$C$10)/$C$4</f>
        <v>2.30921621621622</v>
      </c>
      <c r="U11" s="39">
        <f t="shared" ref="U11:U15" si="15">IF(R11=$C$1,SUM($E$4:$E$9),SUM($E$4:$E$8))</f>
        <v>1.2</v>
      </c>
      <c r="V11" s="41">
        <f>1+$G$10*($I$10-1)</f>
        <v>2.49625</v>
      </c>
      <c r="W11" s="40">
        <f>IF(R11=$C$1,$K$4+$K$5,$K$4)</f>
        <v>0.2</v>
      </c>
      <c r="X11" s="41">
        <f>$AF$4</f>
        <v>0.509274150316286</v>
      </c>
      <c r="Y11" s="37">
        <f>$AF$11</f>
        <v>0.8</v>
      </c>
      <c r="Z11" s="42">
        <v>0.5</v>
      </c>
      <c r="AA11" s="42">
        <v>0</v>
      </c>
      <c r="AB11" s="42">
        <v>0</v>
      </c>
      <c r="AC11" s="19">
        <f>Q11*S11*(1+U11)*V11*(1+W11)*X11*Y11*(1+Z11)*(1+AA11)*(1+AB11)*O11</f>
        <v>24616.501343685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62</v>
      </c>
      <c r="Q12" s="39">
        <v>0.2953</v>
      </c>
      <c r="R12" s="37" t="s">
        <v>59</v>
      </c>
      <c r="S12" s="38">
        <f>$C$4*(1+C$5+C$6+C$7+C$8)+C$9+C$10</f>
        <v>48976.4</v>
      </c>
      <c r="T12" s="39">
        <f>($C$5+$C$6+$C$7+$C$8)+($C$9+$C$10)/$C$4</f>
        <v>2.30921621621622</v>
      </c>
      <c r="U12" s="39">
        <f t="shared" si="15"/>
        <v>1.2</v>
      </c>
      <c r="V12" s="41">
        <f>1+$G$10*($I$10-1)</f>
        <v>2.49625</v>
      </c>
      <c r="W12" s="40">
        <f>IF(R12=$C$1,$K$4+$K$5,$K$4)</f>
        <v>0.2</v>
      </c>
      <c r="X12" s="41">
        <f>$AF$4</f>
        <v>0.509274150316286</v>
      </c>
      <c r="Y12" s="37">
        <f>$AF$11</f>
        <v>0.8</v>
      </c>
      <c r="Z12" s="42">
        <v>0</v>
      </c>
      <c r="AA12" s="42">
        <v>0</v>
      </c>
      <c r="AB12" s="42">
        <v>0</v>
      </c>
      <c r="AC12" s="19">
        <f>Q12*S12*(1+U12)*V12*(1+W12)*X12*Y12*(1+Z12)*(1+AA12)*(1+AB12)*O12</f>
        <v>38831.4788824262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121</v>
      </c>
      <c r="Q13" s="39">
        <v>0.3387</v>
      </c>
      <c r="R13" s="37" t="s">
        <v>59</v>
      </c>
      <c r="S13" s="38">
        <f>$C$4*(1+C$5+C$6+C$7+C$8)+C$9+C$10</f>
        <v>48976.4</v>
      </c>
      <c r="T13" s="39">
        <f>($C$5+$C$6+$C$7+$C$8)+($C$9+$C$10)/$C$4</f>
        <v>2.30921621621622</v>
      </c>
      <c r="U13" s="39">
        <f t="shared" si="15"/>
        <v>1.2</v>
      </c>
      <c r="V13" s="41">
        <f>1+$G$10*($I$10-1)</f>
        <v>2.49625</v>
      </c>
      <c r="W13" s="40">
        <f>IF(R13=$C$1,$K$4+$K$5,$K$4)</f>
        <v>0.2</v>
      </c>
      <c r="X13" s="41">
        <f>$AF$4</f>
        <v>0.509274150316286</v>
      </c>
      <c r="Y13" s="37">
        <f>$AF$11</f>
        <v>0.8</v>
      </c>
      <c r="Z13" s="42">
        <v>2</v>
      </c>
      <c r="AA13" s="42">
        <v>0</v>
      </c>
      <c r="AB13" s="42">
        <v>0</v>
      </c>
      <c r="AC13" s="19">
        <f>Q13*S13*(1+U13)*V13*(1+W13)*X13*Y13*(1+Z13)*(1+AA13)*(1+AB13)*O13</f>
        <v>133615.528927983</v>
      </c>
      <c r="AE13" s="125" t="s">
        <v>65</v>
      </c>
      <c r="AF13" s="125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23" t="s">
        <v>127</v>
      </c>
      <c r="Q14" s="39">
        <f>6.49%+3.63%+1.82%+1.82%+1.82%+2.13%+2.13%+2.13%+4.26%+2.74%*5+7.2%+28.8%</f>
        <v>0.7593</v>
      </c>
      <c r="R14" s="37" t="s">
        <v>59</v>
      </c>
      <c r="S14" s="38">
        <f>$C$4*(1+C$5+C$6+C$7+C$8)+C$9+C$10</f>
        <v>48976.4</v>
      </c>
      <c r="T14" s="39">
        <f>($C$5+$C$6+$C$7+$C$8)+($C$9+$C$10)/$C$4</f>
        <v>2.30921621621622</v>
      </c>
      <c r="U14" s="39">
        <f t="shared" si="15"/>
        <v>1.2</v>
      </c>
      <c r="V14" s="41">
        <f>1+$G$10*($I$10-1+0.75)</f>
        <v>3.1375</v>
      </c>
      <c r="W14" s="40">
        <f>IF(R14=$C$1,$K$4+$K$5,$K$4)</f>
        <v>0.2</v>
      </c>
      <c r="X14" s="41">
        <f>$AF$4</f>
        <v>0.509274150316286</v>
      </c>
      <c r="Y14" s="37">
        <f>$AF$11</f>
        <v>0.8</v>
      </c>
      <c r="Z14" s="42">
        <v>0</v>
      </c>
      <c r="AA14" s="42">
        <v>0</v>
      </c>
      <c r="AB14" s="42">
        <v>0</v>
      </c>
      <c r="AC14" s="19">
        <f>Q14*S14*(1+U14)*V14*(1+W14)*X14*Y14*(1+Z14)*(1+AA14)*(1+AB14)*O14</f>
        <v>125495.900823331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26" t="s">
        <v>128</v>
      </c>
      <c r="Q15" s="127">
        <v>0.9184</v>
      </c>
      <c r="R15" s="128" t="s">
        <v>1</v>
      </c>
      <c r="S15" s="129">
        <f>$C$4*(1+C$5+C$6+C$7+C$8)+C$9+C$10</f>
        <v>48976.4</v>
      </c>
      <c r="T15" s="127">
        <f>($C$5+$C$6+$C$7+$C$8)+($C$9+$C$10)/$C$4</f>
        <v>2.30921621621622</v>
      </c>
      <c r="U15" s="127">
        <f t="shared" si="15"/>
        <v>1.2</v>
      </c>
      <c r="V15" s="130">
        <f>1+$G$10*($I$10-1+1)</f>
        <v>3.35125</v>
      </c>
      <c r="W15" s="131">
        <f>IF(R15=$C$1,$K$4+$K$5,$K$4)+60%</f>
        <v>0.8</v>
      </c>
      <c r="X15" s="130">
        <f>$AF$4</f>
        <v>0.509274150316286</v>
      </c>
      <c r="Y15" s="128">
        <f>$AF$11</f>
        <v>0.8</v>
      </c>
      <c r="Z15" s="132">
        <v>0</v>
      </c>
      <c r="AA15" s="132">
        <v>0</v>
      </c>
      <c r="AB15" s="132">
        <v>0</v>
      </c>
      <c r="AC15" s="19">
        <f>Q15*S15*(1+U15)*V15*(1+W15)*X15*Y15*(1+Z15)*(1+AA15)*(1+AB15)*O15</f>
        <v>243199.326032567</v>
      </c>
      <c r="AE15" s="133" t="s">
        <v>73</v>
      </c>
      <c r="AF15" s="134">
        <v>0.8</v>
      </c>
    </row>
    <row r="16" s="1" customFormat="1" ht="15" spans="2:33">
      <c r="B16" s="4" t="s">
        <v>74</v>
      </c>
      <c r="C16" s="100">
        <f>SUM(AC3:AC22)</f>
        <v>1582850.7410734</v>
      </c>
      <c r="D16" s="100">
        <f>C16/$E$16</f>
        <v>51059.7013249483</v>
      </c>
      <c r="E16" s="101">
        <v>31</v>
      </c>
      <c r="F16" s="102">
        <f>C16/$C$19</f>
        <v>0.896868328969326</v>
      </c>
      <c r="G16" s="2"/>
      <c r="O16" s="35">
        <v>1</v>
      </c>
      <c r="P16" s="135" t="s">
        <v>118</v>
      </c>
      <c r="Q16" s="39">
        <v>0.5013</v>
      </c>
      <c r="R16" s="37" t="s">
        <v>59</v>
      </c>
      <c r="S16" s="38">
        <f>$C$4*(1+C$5+C$6+C$7+C$8)+C$9+C$10</f>
        <v>48976.4</v>
      </c>
      <c r="T16" s="39">
        <f>($C$5+$C$6+$C$7+$C$8)+($C$9+$C$10)/$C$4</f>
        <v>2.30921621621622</v>
      </c>
      <c r="U16" s="39">
        <f>IF(R16=$C$1,SUM($E$4:$E$9),SUM($E$4:$E$8))</f>
        <v>1.2</v>
      </c>
      <c r="V16" s="41">
        <f>1+$G$10*($I$10-1)</f>
        <v>2.49625</v>
      </c>
      <c r="W16" s="40">
        <f>IF(R16=$C$1,$K$4+$K$5,$K$4)</f>
        <v>0.2</v>
      </c>
      <c r="X16" s="41">
        <f>$AF$4</f>
        <v>0.509274150316286</v>
      </c>
      <c r="Y16" s="37">
        <f>$AF$11</f>
        <v>0.8</v>
      </c>
      <c r="Z16" s="42">
        <v>0.5</v>
      </c>
      <c r="AA16" s="42">
        <v>0</v>
      </c>
      <c r="AB16" s="42">
        <v>0</v>
      </c>
      <c r="AC16" s="19">
        <f>Q16*S16*(1+U16)*V16*(1+W16)*X16*Y16*(1+Z16)*(1+AA16)*(1+AB16)*O16</f>
        <v>98880.2253492733</v>
      </c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AC27</f>
        <v>68956.8904884319</v>
      </c>
      <c r="D17" s="100">
        <f>C17/$E$16</f>
        <v>2224.41582220748</v>
      </c>
      <c r="E17" s="103"/>
      <c r="F17" s="102">
        <f>C17/$C$19</f>
        <v>0.0390720675920087</v>
      </c>
      <c r="G17" s="2"/>
      <c r="J17" s="39"/>
      <c r="O17" s="35">
        <v>1</v>
      </c>
      <c r="P17" s="135" t="s">
        <v>78</v>
      </c>
      <c r="Q17" s="39">
        <v>0.1248</v>
      </c>
      <c r="R17" s="37" t="s">
        <v>59</v>
      </c>
      <c r="S17" s="38">
        <f t="shared" ref="S17:S22" si="16">$C$4*(1+C$5+C$6+C$7+C$8)+C$9+C$10</f>
        <v>48976.4</v>
      </c>
      <c r="T17" s="39">
        <f t="shared" ref="T17:T22" si="17">($C$5+$C$6+$C$7+$C$8)+($C$9+$C$10)/$C$4</f>
        <v>2.30921621621622</v>
      </c>
      <c r="U17" s="39">
        <f t="shared" ref="U17:U22" si="18">IF(R17=$C$1,SUM($E$4:$E$9),SUM($E$4:$E$8))</f>
        <v>1.2</v>
      </c>
      <c r="V17" s="41">
        <f t="shared" ref="V17:V22" si="19">1+$G$10*($I$10-1)</f>
        <v>2.49625</v>
      </c>
      <c r="W17" s="40">
        <f t="shared" ref="W17:W22" si="20">IF(R17=$C$1,$K$4+$K$5,$K$4)</f>
        <v>0.2</v>
      </c>
      <c r="X17" s="41">
        <f t="shared" ref="X17:X22" si="21">$AF$4</f>
        <v>0.509274150316286</v>
      </c>
      <c r="Y17" s="37">
        <f t="shared" ref="Y17:Y22" si="22">$AF$11</f>
        <v>0.8</v>
      </c>
      <c r="Z17" s="42">
        <v>0.5</v>
      </c>
      <c r="AA17" s="42">
        <v>0</v>
      </c>
      <c r="AB17" s="42">
        <v>0</v>
      </c>
      <c r="AC17" s="19">
        <f t="shared" ref="AC17:AC22" si="23">Q17*S17*(1+U17)*V17*(1+W17)*X17*Y17*(1+Z17)*(1+AA17)*(1+AB17)*O17</f>
        <v>24616.501343685</v>
      </c>
    </row>
    <row r="18" s="1" customFormat="1" ht="15" spans="2:32">
      <c r="B18" s="4" t="s">
        <v>129</v>
      </c>
      <c r="C18" s="100">
        <f>AC30</f>
        <v>113056.496143959</v>
      </c>
      <c r="D18" s="100">
        <f>C18/$E$16</f>
        <v>3646.98374657932</v>
      </c>
      <c r="E18" s="103"/>
      <c r="F18" s="102"/>
      <c r="G18" s="2"/>
      <c r="O18" s="35">
        <v>1</v>
      </c>
      <c r="P18" s="135" t="s">
        <v>131</v>
      </c>
      <c r="Q18" s="39">
        <v>0.099</v>
      </c>
      <c r="R18" s="37" t="s">
        <v>59</v>
      </c>
      <c r="S18" s="38">
        <f t="shared" si="16"/>
        <v>48976.4</v>
      </c>
      <c r="T18" s="39">
        <f t="shared" si="17"/>
        <v>2.30921621621622</v>
      </c>
      <c r="U18" s="39">
        <f t="shared" si="18"/>
        <v>1.2</v>
      </c>
      <c r="V18" s="41">
        <f t="shared" si="19"/>
        <v>2.49625</v>
      </c>
      <c r="W18" s="40">
        <f t="shared" si="20"/>
        <v>0.2</v>
      </c>
      <c r="X18" s="41">
        <f t="shared" si="21"/>
        <v>0.509274150316286</v>
      </c>
      <c r="Y18" s="37">
        <f t="shared" si="22"/>
        <v>0.8</v>
      </c>
      <c r="Z18" s="42">
        <v>2</v>
      </c>
      <c r="AA18" s="42">
        <v>0</v>
      </c>
      <c r="AB18" s="42">
        <v>0</v>
      </c>
      <c r="AC18" s="19">
        <f t="shared" si="23"/>
        <v>39055.0261702695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1764864.12770579</v>
      </c>
      <c r="D19" s="104">
        <f>C19/E16</f>
        <v>56931.100893735</v>
      </c>
      <c r="E19" s="105"/>
      <c r="F19" s="106"/>
      <c r="G19" s="2"/>
      <c r="O19" s="35">
        <v>1</v>
      </c>
      <c r="P19" s="135" t="s">
        <v>118</v>
      </c>
      <c r="Q19" s="39">
        <v>0.5013</v>
      </c>
      <c r="R19" s="37" t="s">
        <v>59</v>
      </c>
      <c r="S19" s="38">
        <f t="shared" si="16"/>
        <v>48976.4</v>
      </c>
      <c r="T19" s="39">
        <f t="shared" si="17"/>
        <v>2.30921621621622</v>
      </c>
      <c r="U19" s="39">
        <f t="shared" si="18"/>
        <v>1.2</v>
      </c>
      <c r="V19" s="41">
        <f t="shared" si="19"/>
        <v>2.49625</v>
      </c>
      <c r="W19" s="40">
        <f t="shared" si="20"/>
        <v>0.2</v>
      </c>
      <c r="X19" s="41">
        <f t="shared" si="21"/>
        <v>0.509274150316286</v>
      </c>
      <c r="Y19" s="37">
        <f t="shared" si="22"/>
        <v>0.8</v>
      </c>
      <c r="Z19" s="42">
        <v>0.5</v>
      </c>
      <c r="AA19" s="42">
        <v>0</v>
      </c>
      <c r="AB19" s="42">
        <v>0</v>
      </c>
      <c r="AC19" s="19">
        <f t="shared" si="23"/>
        <v>98880.2253492733</v>
      </c>
    </row>
    <row r="20" s="1" customFormat="1" ht="15" spans="2:32">
      <c r="B20" s="4"/>
      <c r="C20" s="4"/>
      <c r="D20" s="4"/>
      <c r="G20" s="2"/>
      <c r="O20" s="35">
        <v>1</v>
      </c>
      <c r="P20" s="135" t="s">
        <v>78</v>
      </c>
      <c r="Q20" s="39">
        <v>0.1248</v>
      </c>
      <c r="R20" s="37" t="s">
        <v>59</v>
      </c>
      <c r="S20" s="38">
        <f t="shared" si="16"/>
        <v>48976.4</v>
      </c>
      <c r="T20" s="39">
        <f t="shared" si="17"/>
        <v>2.30921621621622</v>
      </c>
      <c r="U20" s="39">
        <f t="shared" si="18"/>
        <v>1.2</v>
      </c>
      <c r="V20" s="41">
        <f t="shared" si="19"/>
        <v>2.49625</v>
      </c>
      <c r="W20" s="40">
        <f t="shared" si="20"/>
        <v>0.2</v>
      </c>
      <c r="X20" s="41">
        <f t="shared" si="21"/>
        <v>0.509274150316286</v>
      </c>
      <c r="Y20" s="37">
        <f t="shared" si="22"/>
        <v>0.8</v>
      </c>
      <c r="Z20" s="42">
        <v>0.5</v>
      </c>
      <c r="AA20" s="42">
        <v>0</v>
      </c>
      <c r="AB20" s="42">
        <v>0</v>
      </c>
      <c r="AC20" s="19">
        <f t="shared" si="23"/>
        <v>24616.501343685</v>
      </c>
    </row>
    <row r="21" s="1" customFormat="1" ht="15" spans="2:32">
      <c r="B21" s="4"/>
      <c r="C21" s="4"/>
      <c r="D21" s="4"/>
      <c r="F21" s="4"/>
      <c r="G21" s="2"/>
      <c r="O21" s="35">
        <v>1</v>
      </c>
      <c r="P21" s="135" t="s">
        <v>62</v>
      </c>
      <c r="Q21" s="39">
        <v>0.2953</v>
      </c>
      <c r="R21" s="37" t="s">
        <v>59</v>
      </c>
      <c r="S21" s="38">
        <f t="shared" si="16"/>
        <v>48976.4</v>
      </c>
      <c r="T21" s="39">
        <f t="shared" si="17"/>
        <v>2.30921621621622</v>
      </c>
      <c r="U21" s="39">
        <f t="shared" si="18"/>
        <v>1.2</v>
      </c>
      <c r="V21" s="41">
        <f t="shared" si="19"/>
        <v>2.49625</v>
      </c>
      <c r="W21" s="40">
        <f t="shared" si="20"/>
        <v>0.2</v>
      </c>
      <c r="X21" s="41">
        <f t="shared" si="21"/>
        <v>0.509274150316286</v>
      </c>
      <c r="Y21" s="37">
        <f t="shared" si="22"/>
        <v>0.8</v>
      </c>
      <c r="Z21" s="42">
        <v>0</v>
      </c>
      <c r="AA21" s="42">
        <v>0</v>
      </c>
      <c r="AB21" s="42">
        <v>0</v>
      </c>
      <c r="AC21" s="19">
        <f t="shared" si="23"/>
        <v>38831.4788824262</v>
      </c>
    </row>
    <row r="22" s="1" customFormat="1" ht="15" spans="2:32">
      <c r="F22" s="4"/>
      <c r="G22" s="2"/>
      <c r="O22" s="35">
        <v>1</v>
      </c>
      <c r="P22" s="135" t="s">
        <v>121</v>
      </c>
      <c r="Q22" s="39">
        <v>0.3387</v>
      </c>
      <c r="R22" s="37" t="s">
        <v>59</v>
      </c>
      <c r="S22" s="38">
        <f>$C$4*(1+C$5+C$6+C$7+C$8)+C$9+C$10</f>
        <v>48976.4</v>
      </c>
      <c r="T22" s="39">
        <f>($C$5+$C$6+$C$7+$C$8)+($C$9+$C$10)/$C$4</f>
        <v>2.30921621621622</v>
      </c>
      <c r="U22" s="39">
        <f>IF(R22=$C$1,SUM($E$4:$E$9),SUM($E$4:$E$8))</f>
        <v>1.2</v>
      </c>
      <c r="V22" s="41">
        <f>1+$G$10*($I$10-1)</f>
        <v>2.49625</v>
      </c>
      <c r="W22" s="40">
        <f>IF(R22=$C$1,$K$4+$K$5,$K$4)</f>
        <v>0.2</v>
      </c>
      <c r="X22" s="41">
        <f>$AF$4</f>
        <v>0.509274150316286</v>
      </c>
      <c r="Y22" s="37">
        <f>$AF$11</f>
        <v>0.8</v>
      </c>
      <c r="Z22" s="42">
        <v>2</v>
      </c>
      <c r="AA22" s="42">
        <v>0</v>
      </c>
      <c r="AB22" s="42">
        <v>0</v>
      </c>
      <c r="AC22" s="19">
        <f>Q22*S22*(1+U22)*V22*(1+W22)*X22*Y22*(1+Z22)*(1+AA22)*(1+AB22)*O22</f>
        <v>133615.528927983</v>
      </c>
    </row>
    <row r="23" s="1" customFormat="1" spans="2:32">
      <c r="G23" s="2"/>
      <c r="J23" s="1">
        <v>29336</v>
      </c>
      <c r="Q23" s="39"/>
    </row>
    <row r="24" s="1" customFormat="1" ht="15" spans="2:32">
      <c r="B24" s="4"/>
      <c r="C24" s="4"/>
      <c r="D24" s="4"/>
      <c r="F24" s="4"/>
      <c r="G24" s="2"/>
      <c r="J24" s="1">
        <v>56931</v>
      </c>
      <c r="K24" s="1"/>
      <c r="O24" s="70">
        <f t="shared" ref="O24:O26" si="24">$O$27</f>
        <v>1</v>
      </c>
      <c r="P24" s="72" t="s">
        <v>81</v>
      </c>
      <c r="Q24" s="71">
        <v>18.8075</v>
      </c>
      <c r="R24" s="72" t="s">
        <v>82</v>
      </c>
      <c r="S24" s="72">
        <v>10027</v>
      </c>
      <c r="T24" s="71">
        <v>0</v>
      </c>
      <c r="U24" s="71">
        <v>0</v>
      </c>
      <c r="V24" s="73">
        <v>1</v>
      </c>
      <c r="W24" s="74">
        <v>0</v>
      </c>
      <c r="X24" s="73">
        <f t="shared" ref="X24:X27" si="25">$AF$3</f>
        <v>0.488431876606684</v>
      </c>
      <c r="Y24" s="72">
        <f t="shared" ref="Y24:Y27" si="26">$AF$18</f>
        <v>0.8</v>
      </c>
      <c r="Z24" s="75">
        <v>0</v>
      </c>
      <c r="AA24" s="75">
        <v>0</v>
      </c>
      <c r="AB24" s="34">
        <v>0.5</v>
      </c>
      <c r="AC24" s="137">
        <f t="shared" ref="AC24:AC27" si="27">Q24*S24*(1+T24)*(1+U24)*V24*(1+W24)*X24*Y24*(1+Z24)*(1+AA24)*(1+AB24)*O24</f>
        <v>110531.822544987</v>
      </c>
    </row>
    <row r="25" s="1" customFormat="1" ht="15" spans="2:32">
      <c r="B25" s="4"/>
      <c r="C25" s="4"/>
      <c r="D25" s="4"/>
      <c r="F25" s="4"/>
      <c r="O25" s="29">
        <f t="shared" si="24"/>
        <v>1</v>
      </c>
      <c r="P25" s="66" t="s">
        <v>83</v>
      </c>
      <c r="Q25" s="80">
        <v>2.9822</v>
      </c>
      <c r="R25" s="66" t="s">
        <v>82</v>
      </c>
      <c r="S25" s="66">
        <v>10027</v>
      </c>
      <c r="T25" s="80">
        <v>0</v>
      </c>
      <c r="U25" s="80">
        <v>0</v>
      </c>
      <c r="V25" s="81">
        <v>1</v>
      </c>
      <c r="W25" s="82">
        <v>0</v>
      </c>
      <c r="X25" s="81">
        <f t="shared" si="25"/>
        <v>0.488431876606684</v>
      </c>
      <c r="Y25" s="66">
        <f t="shared" si="26"/>
        <v>0.8</v>
      </c>
      <c r="Z25" s="83">
        <v>0</v>
      </c>
      <c r="AA25" s="83">
        <v>0</v>
      </c>
      <c r="AB25" s="31">
        <v>0.5</v>
      </c>
      <c r="AC25" s="137">
        <f t="shared" si="27"/>
        <v>17526.4123989717</v>
      </c>
    </row>
    <row r="26" s="1" customFormat="1" ht="15" spans="2:32">
      <c r="G26" s="2"/>
      <c r="O26" s="29">
        <f t="shared" si="24"/>
        <v>1</v>
      </c>
      <c r="P26" s="66" t="s">
        <v>85</v>
      </c>
      <c r="Q26" s="80">
        <v>5.9643</v>
      </c>
      <c r="R26" s="66" t="s">
        <v>82</v>
      </c>
      <c r="S26" s="66">
        <v>10027</v>
      </c>
      <c r="T26" s="80">
        <v>0</v>
      </c>
      <c r="U26" s="80">
        <v>0</v>
      </c>
      <c r="V26" s="81">
        <v>1</v>
      </c>
      <c r="W26" s="82">
        <v>0</v>
      </c>
      <c r="X26" s="81">
        <f t="shared" si="25"/>
        <v>0.488431876606684</v>
      </c>
      <c r="Y26" s="66">
        <f t="shared" si="26"/>
        <v>0.8</v>
      </c>
      <c r="Z26" s="83">
        <v>0</v>
      </c>
      <c r="AA26" s="83">
        <v>0</v>
      </c>
      <c r="AB26" s="31">
        <v>0.5</v>
      </c>
      <c r="AC26" s="138">
        <f t="shared" si="27"/>
        <v>35052.2370971722</v>
      </c>
    </row>
    <row r="27" s="1" customFormat="1" ht="15" spans="2:32">
      <c r="B27" s="4"/>
      <c r="C27" s="4"/>
      <c r="D27" s="4"/>
      <c r="F27" s="4"/>
      <c r="G27" s="2"/>
      <c r="O27" s="16">
        <v>1</v>
      </c>
      <c r="P27" s="139" t="s">
        <v>77</v>
      </c>
      <c r="Q27" s="140">
        <v>16</v>
      </c>
      <c r="R27" s="139" t="s">
        <v>86</v>
      </c>
      <c r="S27" s="139">
        <v>10027</v>
      </c>
      <c r="T27" s="140">
        <v>0</v>
      </c>
      <c r="U27" s="140">
        <v>0</v>
      </c>
      <c r="V27" s="141">
        <v>1</v>
      </c>
      <c r="W27" s="142">
        <v>0</v>
      </c>
      <c r="X27" s="141">
        <f t="shared" si="25"/>
        <v>0.488431876606684</v>
      </c>
      <c r="Y27" s="139">
        <f t="shared" si="26"/>
        <v>0.8</v>
      </c>
      <c r="Z27" s="143">
        <v>0</v>
      </c>
      <c r="AA27" s="143">
        <v>0</v>
      </c>
      <c r="AB27" s="144">
        <v>0.1</v>
      </c>
      <c r="AC27" s="145">
        <f t="shared" si="27"/>
        <v>68956.8904884319</v>
      </c>
    </row>
    <row r="28" s="1" customFormat="1" spans="2:32">
      <c r="B28" s="4"/>
      <c r="C28" s="4"/>
      <c r="D28" s="4"/>
      <c r="F28" s="4"/>
      <c r="G28" s="2"/>
      <c r="Q28" s="2"/>
      <c r="U28" s="2"/>
      <c r="V28" s="3"/>
      <c r="AB28" s="4"/>
      <c r="AC28" s="4"/>
    </row>
    <row r="29" s="1" customFormat="1" spans="2:32">
      <c r="G29" s="2"/>
      <c r="N29" s="146" t="s">
        <v>91</v>
      </c>
      <c r="O29" s="147" t="s">
        <v>4</v>
      </c>
      <c r="P29" s="147"/>
      <c r="Q29" s="148"/>
      <c r="R29" s="147"/>
      <c r="S29" s="147"/>
      <c r="T29" s="147"/>
      <c r="U29" s="148"/>
      <c r="V29" s="149"/>
      <c r="W29" s="147"/>
      <c r="X29" s="147"/>
      <c r="Y29" s="147"/>
      <c r="Z29" s="147"/>
      <c r="AA29" s="147"/>
      <c r="AB29" s="150"/>
      <c r="AC29" s="151"/>
    </row>
    <row r="30" s="1" customFormat="1" ht="15" spans="2:32">
      <c r="B30" s="4"/>
      <c r="C30" s="4"/>
      <c r="D30" s="4"/>
      <c r="F30" s="4"/>
      <c r="G30" s="2"/>
      <c r="N30" s="29">
        <v>6</v>
      </c>
      <c r="O30" s="66">
        <v>14</v>
      </c>
      <c r="P30" s="152" t="s">
        <v>87</v>
      </c>
      <c r="Q30" s="153">
        <f>IF(N30&gt;0,(MAX(45%,112.5%+112.5%*(N30-2))),(IF(N30&lt;=0,0)))</f>
        <v>5.625</v>
      </c>
      <c r="R30" s="152" t="s">
        <v>87</v>
      </c>
      <c r="S30" s="154">
        <v>3674.1</v>
      </c>
      <c r="T30" s="155">
        <v>0</v>
      </c>
      <c r="U30" s="155">
        <v>0</v>
      </c>
      <c r="V30" s="156">
        <v>1</v>
      </c>
      <c r="W30" s="157">
        <v>0</v>
      </c>
      <c r="X30" s="156">
        <f t="shared" ref="X30:X33" si="28">$AF$3</f>
        <v>0.488431876606684</v>
      </c>
      <c r="Y30" s="152">
        <f>$AF$13</f>
        <v>0.8</v>
      </c>
      <c r="Z30" s="158">
        <v>0</v>
      </c>
      <c r="AA30" s="158">
        <v>0</v>
      </c>
      <c r="AB30" s="158">
        <v>0</v>
      </c>
      <c r="AC30" s="159">
        <f>Q30*S30*(1+T30)*(1+U30)*V30*(1+W30)*X30*Y30*(1+Z30)*(1+AA30)*(1+AB30)*O30</f>
        <v>113056.496143959</v>
      </c>
    </row>
    <row r="31" s="1" customFormat="1" ht="15" spans="2:32">
      <c r="B31" s="4"/>
      <c r="C31" s="4"/>
      <c r="D31" s="4"/>
      <c r="G31" s="2"/>
      <c r="N31" s="29">
        <v>10</v>
      </c>
      <c r="O31" s="66">
        <v>1</v>
      </c>
      <c r="P31" s="160" t="s">
        <v>88</v>
      </c>
      <c r="Q31" s="161">
        <f>IF(N31=1,0.3,IF(AND(N31&gt;=2,N31&lt;=10),0.3+0.2439*(N31-1),IF(AND(N31&gt;=11),2.4951+0.8317*(N31-10),IF(AND(N31&lt;=0),0,""))))</f>
        <v>2.4951</v>
      </c>
      <c r="R31" s="160" t="s">
        <v>88</v>
      </c>
      <c r="S31" s="162">
        <v>3674.1</v>
      </c>
      <c r="T31" s="163">
        <v>0</v>
      </c>
      <c r="U31" s="163">
        <v>0</v>
      </c>
      <c r="V31" s="164">
        <v>1</v>
      </c>
      <c r="W31" s="165">
        <v>0</v>
      </c>
      <c r="X31" s="164">
        <f t="shared" si="28"/>
        <v>0.488431876606684</v>
      </c>
      <c r="Y31" s="160">
        <f>$AF$11</f>
        <v>0.8</v>
      </c>
      <c r="Z31" s="166">
        <v>0</v>
      </c>
      <c r="AA31" s="166">
        <v>0</v>
      </c>
      <c r="AB31" s="166">
        <v>0</v>
      </c>
      <c r="AC31" s="167">
        <f t="shared" ref="AC30:AC33" si="29">Q31*S31*(1+T31)*(1+U31)*V31*(1+W31)*X31*Y31*(1+Z31)*(1+AA31)*(1+AB31)*O31</f>
        <v>3582.0604892545</v>
      </c>
    </row>
    <row r="32" s="1" customFormat="1" ht="15" spans="2:32">
      <c r="G32" s="2"/>
      <c r="N32" s="29">
        <v>13</v>
      </c>
      <c r="O32" s="66">
        <v>1</v>
      </c>
      <c r="P32" s="133" t="s">
        <v>89</v>
      </c>
      <c r="Q32" s="168">
        <f>IF(N32=1,24.5%,IF(AND(10&gt;=N32,N32&gt;=2),24.5%+(N32-1)*19.9185%,IF(AND(13&gt;=N32,N32&gt;=11),203.77%+(N32-10)*(271.69%-203.77%),"")))</f>
        <v>4.0753</v>
      </c>
      <c r="R32" s="133" t="s">
        <v>89</v>
      </c>
      <c r="S32" s="169">
        <v>3674.1</v>
      </c>
      <c r="T32" s="170">
        <v>0</v>
      </c>
      <c r="U32" s="170">
        <v>0</v>
      </c>
      <c r="V32" s="171">
        <v>1</v>
      </c>
      <c r="W32" s="172">
        <v>0</v>
      </c>
      <c r="X32" s="171">
        <f t="shared" si="28"/>
        <v>0.488431876606684</v>
      </c>
      <c r="Y32" s="133">
        <f>$AF$15</f>
        <v>0.8</v>
      </c>
      <c r="Z32" s="173">
        <v>0</v>
      </c>
      <c r="AA32" s="173">
        <v>0</v>
      </c>
      <c r="AB32" s="173">
        <v>0</v>
      </c>
      <c r="AC32" s="174">
        <f t="shared" si="29"/>
        <v>5850.65572997429</v>
      </c>
    </row>
    <row r="33" s="1" customFormat="1" ht="15" spans="2:29">
      <c r="B33" s="4"/>
      <c r="C33" s="4"/>
      <c r="D33" s="4"/>
      <c r="G33" s="2"/>
      <c r="N33" s="49">
        <v>13</v>
      </c>
      <c r="O33" s="94">
        <v>1</v>
      </c>
      <c r="P33" s="175" t="s">
        <v>90</v>
      </c>
      <c r="Q33" s="176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75" t="s">
        <v>90</v>
      </c>
      <c r="S33" s="177">
        <v>3674.1</v>
      </c>
      <c r="T33" s="178">
        <v>0</v>
      </c>
      <c r="U33" s="178">
        <v>0</v>
      </c>
      <c r="V33" s="179">
        <v>1</v>
      </c>
      <c r="W33" s="180">
        <v>0</v>
      </c>
      <c r="X33" s="179">
        <f t="shared" si="28"/>
        <v>0.488431876606684</v>
      </c>
      <c r="Y33" s="175">
        <f>$AF$16</f>
        <v>0.8</v>
      </c>
      <c r="Z33" s="181">
        <v>0</v>
      </c>
      <c r="AA33" s="181">
        <v>0</v>
      </c>
      <c r="AB33" s="181">
        <v>0</v>
      </c>
      <c r="AC33" s="182">
        <f t="shared" si="29"/>
        <v>20059.596165347</v>
      </c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A7" workbookViewId="0">
      <selection activeCell="F22" sqref="F22:K29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7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3" t="s">
        <v>4</v>
      </c>
      <c r="P2" s="114" t="s">
        <v>5</v>
      </c>
      <c r="Q2" s="115" t="s">
        <v>6</v>
      </c>
      <c r="R2" s="114" t="s">
        <v>7</v>
      </c>
      <c r="S2" s="114" t="s">
        <v>116</v>
      </c>
      <c r="T2" s="114" t="s">
        <v>117</v>
      </c>
      <c r="U2" s="115" t="s">
        <v>10</v>
      </c>
      <c r="V2" s="116" t="s">
        <v>11</v>
      </c>
      <c r="W2" s="114" t="s">
        <v>12</v>
      </c>
      <c r="X2" s="114" t="s">
        <v>13</v>
      </c>
      <c r="Y2" s="114" t="s">
        <v>14</v>
      </c>
      <c r="Z2" s="114" t="s">
        <v>15</v>
      </c>
      <c r="AA2" s="114" t="s">
        <v>16</v>
      </c>
      <c r="AB2" s="117" t="s">
        <v>17</v>
      </c>
      <c r="AC2" s="118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9" t="s">
        <v>118</v>
      </c>
      <c r="Q3" s="39">
        <v>0.5013</v>
      </c>
      <c r="R3" s="37" t="s">
        <v>59</v>
      </c>
      <c r="S3" s="38">
        <f t="shared" ref="S3:S6" si="0">$C$4*(1+C$5+C$6+C$7+C$8)+C$9+C$10</f>
        <v>50752.4</v>
      </c>
      <c r="T3" s="39">
        <f t="shared" ref="T3:T6" si="1">($C$5+$C$6+$C$7+$C$8)+($C$9+$C$10)/$C$4</f>
        <v>2.42921621621622</v>
      </c>
      <c r="U3" s="39">
        <f t="shared" ref="U3:U6" si="2">IF(R3=$C$1,SUM($E$4:$E$9),SUM($E$4:$E$8))</f>
        <v>1.4</v>
      </c>
      <c r="V3" s="41">
        <f t="shared" ref="V3:V6" si="3">1+$G$10*($I$10-1)</f>
        <v>2.49625</v>
      </c>
      <c r="W3" s="40">
        <f t="shared" ref="W3:W6" si="4">IF(R3=$C$1,$K$4+$K$5,$K$4)</f>
        <v>0.4</v>
      </c>
      <c r="X3" s="41">
        <f t="shared" ref="X3:X6" si="5">$AF$4</f>
        <v>0.531974465225669</v>
      </c>
      <c r="Y3" s="37">
        <f t="shared" ref="Y3:Y6" si="6">$AF$11</f>
        <v>0.8</v>
      </c>
      <c r="Z3" s="42">
        <v>0.5</v>
      </c>
      <c r="AA3" s="42">
        <v>0</v>
      </c>
      <c r="AB3" s="42">
        <v>0</v>
      </c>
      <c r="AC3" s="19">
        <f t="shared" ref="AC3:AC22" si="7">Q3*S3*(1+U3)*V3*(1+W3)*X3*Y3*(1+Z3)*(1+AA3)*(1+AB3)*O3</f>
        <v>136224.015136412</v>
      </c>
      <c r="AD3" s="14">
        <v>0</v>
      </c>
      <c r="AE3" s="14">
        <v>0</v>
      </c>
      <c r="AF3" s="15">
        <f t="shared" ref="AF3:AF8" si="8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20" t="s">
        <v>30</v>
      </c>
      <c r="K4" s="31">
        <f>20%+(E11-1)*5%</f>
        <v>0.4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 t="shared" si="0"/>
        <v>50752.4</v>
      </c>
      <c r="T4" s="39">
        <f t="shared" si="1"/>
        <v>2.42921621621622</v>
      </c>
      <c r="U4" s="39">
        <f t="shared" si="2"/>
        <v>1.4</v>
      </c>
      <c r="V4" s="41">
        <f t="shared" si="3"/>
        <v>2.49625</v>
      </c>
      <c r="W4" s="40">
        <f t="shared" si="4"/>
        <v>0.4</v>
      </c>
      <c r="X4" s="41">
        <f t="shared" si="5"/>
        <v>0.531974465225669</v>
      </c>
      <c r="Y4" s="37">
        <f t="shared" si="6"/>
        <v>0.8</v>
      </c>
      <c r="Z4" s="42">
        <v>0</v>
      </c>
      <c r="AA4" s="42">
        <v>0</v>
      </c>
      <c r="AB4" s="42">
        <v>0</v>
      </c>
      <c r="AC4" s="19">
        <f t="shared" si="7"/>
        <v>53496.8437659185</v>
      </c>
      <c r="AD4" s="14">
        <f>8+(E11-1)*2</f>
        <v>16</v>
      </c>
      <c r="AE4" s="14"/>
      <c r="AF4" s="15">
        <f>1520/(1520+(792+8*AG4)*(1-AE4/100)*(1-AD4/100))</f>
        <v>0.531974465225669</v>
      </c>
      <c r="AG4" s="28">
        <v>100</v>
      </c>
    </row>
    <row r="5" s="1" customFormat="1" ht="15" spans="2:33">
      <c r="B5" s="29" t="s">
        <v>33</v>
      </c>
      <c r="C5" s="31">
        <f>24%+72.2%+(E11-1)*3%</f>
        <v>1.082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121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si="0"/>
        <v>50752.4</v>
      </c>
      <c r="T5" s="39">
        <f t="shared" si="1"/>
        <v>2.42921621621622</v>
      </c>
      <c r="U5" s="39">
        <f t="shared" si="2"/>
        <v>1.4</v>
      </c>
      <c r="V5" s="41">
        <f t="shared" si="3"/>
        <v>2.49625</v>
      </c>
      <c r="W5" s="40">
        <f t="shared" si="4"/>
        <v>0.4</v>
      </c>
      <c r="X5" s="41">
        <f t="shared" si="5"/>
        <v>0.531974465225669</v>
      </c>
      <c r="Y5" s="37">
        <f t="shared" si="6"/>
        <v>0.8</v>
      </c>
      <c r="Z5" s="42">
        <v>0.5</v>
      </c>
      <c r="AA5" s="42">
        <v>0</v>
      </c>
      <c r="AB5" s="42">
        <v>0</v>
      </c>
      <c r="AC5" s="19">
        <f t="shared" si="7"/>
        <v>33913.3394953605</v>
      </c>
      <c r="AD5" s="14">
        <v>0</v>
      </c>
      <c r="AE5" s="14"/>
      <c r="AF5" s="15">
        <f t="shared" si="8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0"/>
        <v>50752.4</v>
      </c>
      <c r="T6" s="39">
        <f t="shared" si="1"/>
        <v>2.42921621621622</v>
      </c>
      <c r="U6" s="39">
        <f t="shared" si="2"/>
        <v>1.4</v>
      </c>
      <c r="V6" s="41">
        <f t="shared" si="3"/>
        <v>2.49625</v>
      </c>
      <c r="W6" s="40">
        <f t="shared" si="4"/>
        <v>0.4</v>
      </c>
      <c r="X6" s="41">
        <f t="shared" si="5"/>
        <v>0.531974465225669</v>
      </c>
      <c r="Y6" s="37">
        <f t="shared" si="6"/>
        <v>0.8</v>
      </c>
      <c r="Z6" s="42">
        <v>2</v>
      </c>
      <c r="AA6" s="42">
        <v>0</v>
      </c>
      <c r="AB6" s="42">
        <v>0</v>
      </c>
      <c r="AC6" s="19">
        <f t="shared" si="7"/>
        <v>184077.693703183</v>
      </c>
      <c r="AD6" s="14">
        <v>0</v>
      </c>
      <c r="AE6" s="14"/>
      <c r="AF6" s="15">
        <f t="shared" si="8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0.6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f t="shared" si="7"/>
        <v>0</v>
      </c>
      <c r="AD7" s="14">
        <v>0</v>
      </c>
      <c r="AE7" s="14"/>
      <c r="AF7" s="15">
        <f t="shared" si="8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122">
        <v>0.2</v>
      </c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3" t="s">
        <v>122</v>
      </c>
      <c r="Q8" s="39">
        <v>0.4961</v>
      </c>
      <c r="R8" s="37" t="s">
        <v>62</v>
      </c>
      <c r="S8" s="38">
        <f t="shared" ref="S8:S22" si="9">$C$4*(1+C$5+C$6+C$7+C$8)+C$9+C$10</f>
        <v>50752.4</v>
      </c>
      <c r="T8" s="39">
        <f t="shared" ref="T8:T22" si="10">($C$5+$C$6+$C$7+$C$8)+($C$9+$C$10)/$C$4</f>
        <v>2.42921621621622</v>
      </c>
      <c r="U8" s="39">
        <f t="shared" ref="U8:U22" si="11">IF(R8=$C$1,SUM($E$4:$E$9),SUM($E$4:$E$8))</f>
        <v>1.4</v>
      </c>
      <c r="V8" s="41">
        <f>1+$G$10*($I$10-1+0.25)</f>
        <v>2.71</v>
      </c>
      <c r="W8" s="40">
        <f t="shared" ref="W8:W14" si="12">IF(R8=$C$1,$K$4+$K$5,$K$4)</f>
        <v>0.4</v>
      </c>
      <c r="X8" s="41">
        <f t="shared" ref="X8:X22" si="13">$AF$4</f>
        <v>0.531974465225669</v>
      </c>
      <c r="Y8" s="37">
        <f t="shared" ref="Y8:Y22" si="14">$AF$11</f>
        <v>0.8</v>
      </c>
      <c r="Z8" s="42">
        <v>0</v>
      </c>
      <c r="AA8" s="42">
        <v>0</v>
      </c>
      <c r="AB8" s="42">
        <v>0.4</v>
      </c>
      <c r="AC8" s="19">
        <f t="shared" si="7"/>
        <v>136597.637703396</v>
      </c>
      <c r="AD8" s="14">
        <v>0</v>
      </c>
      <c r="AE8" s="14"/>
      <c r="AF8" s="15">
        <f t="shared" si="8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3" t="s">
        <v>124</v>
      </c>
      <c r="Q9" s="39">
        <f>2.13%+2.13%+2.13%+4.26%+2.74%*5+7.2%+28.8%</f>
        <v>0.6035</v>
      </c>
      <c r="R9" s="37" t="s">
        <v>59</v>
      </c>
      <c r="S9" s="38">
        <f t="shared" si="9"/>
        <v>50752.4</v>
      </c>
      <c r="T9" s="39">
        <f t="shared" si="10"/>
        <v>2.42921621621622</v>
      </c>
      <c r="U9" s="39">
        <f t="shared" si="11"/>
        <v>1.4</v>
      </c>
      <c r="V9" s="41">
        <f>1+$G$10*($I$10-1+0.5)</f>
        <v>2.92375</v>
      </c>
      <c r="W9" s="40">
        <f t="shared" si="12"/>
        <v>0.4</v>
      </c>
      <c r="X9" s="41">
        <f t="shared" si="13"/>
        <v>0.531974465225669</v>
      </c>
      <c r="Y9" s="37">
        <f t="shared" si="14"/>
        <v>0.8</v>
      </c>
      <c r="Z9" s="42">
        <v>0</v>
      </c>
      <c r="AA9" s="42">
        <v>0</v>
      </c>
      <c r="AB9" s="42">
        <v>0.4</v>
      </c>
      <c r="AC9" s="19">
        <f t="shared" si="7"/>
        <v>179276.010923957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4"/>
      <c r="L10" s="49"/>
      <c r="M10" s="50"/>
      <c r="O10" s="35">
        <v>1</v>
      </c>
      <c r="P10" s="119" t="s">
        <v>118</v>
      </c>
      <c r="Q10" s="39">
        <v>0.5013</v>
      </c>
      <c r="R10" s="37" t="s">
        <v>59</v>
      </c>
      <c r="S10" s="38">
        <f t="shared" si="9"/>
        <v>50752.4</v>
      </c>
      <c r="T10" s="39">
        <f t="shared" si="10"/>
        <v>2.42921621621622</v>
      </c>
      <c r="U10" s="39">
        <f t="shared" si="11"/>
        <v>1.4</v>
      </c>
      <c r="V10" s="41">
        <f t="shared" ref="V10:V13" si="15">1+$G$10*($I$10-1)</f>
        <v>2.49625</v>
      </c>
      <c r="W10" s="40">
        <f t="shared" si="12"/>
        <v>0.4</v>
      </c>
      <c r="X10" s="41">
        <f t="shared" si="13"/>
        <v>0.531974465225669</v>
      </c>
      <c r="Y10" s="37">
        <f t="shared" si="14"/>
        <v>0.8</v>
      </c>
      <c r="Z10" s="42">
        <v>0.5</v>
      </c>
      <c r="AA10" s="42">
        <v>0</v>
      </c>
      <c r="AB10" s="42">
        <v>0</v>
      </c>
      <c r="AC10" s="19">
        <f t="shared" si="7"/>
        <v>136224.015136412</v>
      </c>
    </row>
    <row r="11" s="1" customFormat="1" ht="15" spans="2:33">
      <c r="B11" s="66"/>
      <c r="C11" s="66"/>
      <c r="D11" s="1" t="s">
        <v>126</v>
      </c>
      <c r="E11" s="109">
        <v>5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78</v>
      </c>
      <c r="Q11" s="39">
        <v>0.1248</v>
      </c>
      <c r="R11" s="37" t="s">
        <v>59</v>
      </c>
      <c r="S11" s="38">
        <f t="shared" si="9"/>
        <v>50752.4</v>
      </c>
      <c r="T11" s="39">
        <f t="shared" si="10"/>
        <v>2.42921621621622</v>
      </c>
      <c r="U11" s="39">
        <f t="shared" si="11"/>
        <v>1.4</v>
      </c>
      <c r="V11" s="41">
        <f t="shared" si="15"/>
        <v>2.49625</v>
      </c>
      <c r="W11" s="40">
        <f t="shared" si="12"/>
        <v>0.4</v>
      </c>
      <c r="X11" s="41">
        <f t="shared" si="13"/>
        <v>0.531974465225669</v>
      </c>
      <c r="Y11" s="37">
        <f t="shared" si="14"/>
        <v>0.8</v>
      </c>
      <c r="Z11" s="42">
        <v>0.5</v>
      </c>
      <c r="AA11" s="42">
        <v>0</v>
      </c>
      <c r="AB11" s="42">
        <v>0</v>
      </c>
      <c r="AC11" s="19">
        <f t="shared" si="7"/>
        <v>33913.3394953605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62</v>
      </c>
      <c r="Q12" s="39">
        <v>0.2953</v>
      </c>
      <c r="R12" s="37" t="s">
        <v>59</v>
      </c>
      <c r="S12" s="38">
        <f t="shared" si="9"/>
        <v>50752.4</v>
      </c>
      <c r="T12" s="39">
        <f t="shared" si="10"/>
        <v>2.42921621621622</v>
      </c>
      <c r="U12" s="39">
        <f t="shared" si="11"/>
        <v>1.4</v>
      </c>
      <c r="V12" s="41">
        <f t="shared" si="15"/>
        <v>2.49625</v>
      </c>
      <c r="W12" s="40">
        <f t="shared" si="12"/>
        <v>0.4</v>
      </c>
      <c r="X12" s="41">
        <f t="shared" si="13"/>
        <v>0.531974465225669</v>
      </c>
      <c r="Y12" s="37">
        <f t="shared" si="14"/>
        <v>0.8</v>
      </c>
      <c r="Z12" s="42">
        <v>0</v>
      </c>
      <c r="AA12" s="42">
        <v>0</v>
      </c>
      <c r="AB12" s="42">
        <v>0</v>
      </c>
      <c r="AC12" s="19">
        <f t="shared" si="7"/>
        <v>53496.8437659185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121</v>
      </c>
      <c r="Q13" s="39">
        <v>0.3387</v>
      </c>
      <c r="R13" s="37" t="s">
        <v>59</v>
      </c>
      <c r="S13" s="38">
        <f t="shared" si="9"/>
        <v>50752.4</v>
      </c>
      <c r="T13" s="39">
        <f t="shared" si="10"/>
        <v>2.42921621621622</v>
      </c>
      <c r="U13" s="39">
        <f t="shared" si="11"/>
        <v>1.4</v>
      </c>
      <c r="V13" s="41">
        <f t="shared" si="15"/>
        <v>2.49625</v>
      </c>
      <c r="W13" s="40">
        <f t="shared" si="12"/>
        <v>0.4</v>
      </c>
      <c r="X13" s="41">
        <f t="shared" si="13"/>
        <v>0.531974465225669</v>
      </c>
      <c r="Y13" s="37">
        <f t="shared" si="14"/>
        <v>0.8</v>
      </c>
      <c r="Z13" s="42">
        <v>2</v>
      </c>
      <c r="AA13" s="42">
        <v>0</v>
      </c>
      <c r="AB13" s="42">
        <v>0</v>
      </c>
      <c r="AC13" s="19">
        <f t="shared" si="7"/>
        <v>184077.693703183</v>
      </c>
      <c r="AE13" s="125" t="s">
        <v>65</v>
      </c>
      <c r="AF13" s="125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23" t="s">
        <v>127</v>
      </c>
      <c r="Q14" s="39">
        <f>6.49%+3.63%+1.82%+1.82%+1.82%+2.13%+2.13%+2.13%+4.26%+2.74%*5+7.2%+28.8%</f>
        <v>0.7593</v>
      </c>
      <c r="R14" s="37" t="s">
        <v>59</v>
      </c>
      <c r="S14" s="38">
        <f t="shared" si="9"/>
        <v>50752.4</v>
      </c>
      <c r="T14" s="39">
        <f t="shared" si="10"/>
        <v>2.42921621621622</v>
      </c>
      <c r="U14" s="39">
        <f t="shared" si="11"/>
        <v>1.4</v>
      </c>
      <c r="V14" s="41">
        <f>1+$G$10*($I$10-1+0.75)</f>
        <v>3.1375</v>
      </c>
      <c r="W14" s="40">
        <f t="shared" si="12"/>
        <v>0.4</v>
      </c>
      <c r="X14" s="41">
        <f t="shared" si="13"/>
        <v>0.531974465225669</v>
      </c>
      <c r="Y14" s="37">
        <f t="shared" si="14"/>
        <v>0.8</v>
      </c>
      <c r="Z14" s="42">
        <v>0</v>
      </c>
      <c r="AA14" s="42">
        <v>0</v>
      </c>
      <c r="AB14" s="42">
        <v>0.4</v>
      </c>
      <c r="AC14" s="19">
        <f t="shared" si="7"/>
        <v>242048.170967452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26" t="s">
        <v>128</v>
      </c>
      <c r="Q15" s="127">
        <v>0.9184</v>
      </c>
      <c r="R15" s="128" t="s">
        <v>1</v>
      </c>
      <c r="S15" s="129">
        <f t="shared" si="9"/>
        <v>50752.4</v>
      </c>
      <c r="T15" s="127">
        <f t="shared" si="10"/>
        <v>2.42921621621622</v>
      </c>
      <c r="U15" s="127">
        <f t="shared" si="11"/>
        <v>1.4</v>
      </c>
      <c r="V15" s="130">
        <f>1+$G$10*($I$10-1+1)</f>
        <v>3.35125</v>
      </c>
      <c r="W15" s="131">
        <f>IF(R15=$C$1,$K$4+$K$5,$K$4)+60%</f>
        <v>1</v>
      </c>
      <c r="X15" s="130">
        <f t="shared" si="13"/>
        <v>0.531974465225669</v>
      </c>
      <c r="Y15" s="128">
        <f t="shared" si="14"/>
        <v>0.8</v>
      </c>
      <c r="Z15" s="132">
        <v>1</v>
      </c>
      <c r="AA15" s="132">
        <v>0</v>
      </c>
      <c r="AB15" s="132">
        <v>0.4</v>
      </c>
      <c r="AC15" s="19">
        <f t="shared" si="7"/>
        <v>893460.441420648</v>
      </c>
      <c r="AE15" s="133" t="s">
        <v>73</v>
      </c>
      <c r="AF15" s="134">
        <v>0.8</v>
      </c>
    </row>
    <row r="16" s="1" customFormat="1" ht="15" spans="2:33">
      <c r="B16" s="4" t="s">
        <v>74</v>
      </c>
      <c r="C16" s="100">
        <f>SUM(AC3:AC22)</f>
        <v>2898460.10941845</v>
      </c>
      <c r="D16" s="100">
        <f t="shared" ref="D16:D18" si="16">C16/$E$16</f>
        <v>93498.7132070467</v>
      </c>
      <c r="E16" s="101">
        <v>31</v>
      </c>
      <c r="F16" s="102">
        <f>C16/$C$19</f>
        <v>0.912217286914027</v>
      </c>
      <c r="G16" s="2"/>
      <c r="O16" s="35">
        <v>1</v>
      </c>
      <c r="P16" s="135" t="s">
        <v>118</v>
      </c>
      <c r="Q16" s="39">
        <v>0.5013</v>
      </c>
      <c r="R16" s="37" t="s">
        <v>59</v>
      </c>
      <c r="S16" s="38">
        <f t="shared" si="9"/>
        <v>50752.4</v>
      </c>
      <c r="T16" s="39">
        <f t="shared" si="10"/>
        <v>2.42921621621622</v>
      </c>
      <c r="U16" s="39">
        <f t="shared" si="11"/>
        <v>1.4</v>
      </c>
      <c r="V16" s="41">
        <f t="shared" ref="V16:V22" si="17">1+$G$10*($I$10-1)</f>
        <v>2.49625</v>
      </c>
      <c r="W16" s="40">
        <f t="shared" ref="W16:W22" si="18">IF(R16=$C$1,$K$4+$K$5,$K$4)</f>
        <v>0.4</v>
      </c>
      <c r="X16" s="41">
        <f t="shared" si="13"/>
        <v>0.531974465225669</v>
      </c>
      <c r="Y16" s="37">
        <f t="shared" si="14"/>
        <v>0.8</v>
      </c>
      <c r="Z16" s="42">
        <v>0.5</v>
      </c>
      <c r="AA16" s="42">
        <v>0</v>
      </c>
      <c r="AB16" s="42">
        <v>0</v>
      </c>
      <c r="AC16" s="19">
        <f t="shared" si="7"/>
        <v>136224.015136412</v>
      </c>
      <c r="AE16" s="136" t="s">
        <v>76</v>
      </c>
      <c r="AF16" s="136">
        <v>0.8</v>
      </c>
    </row>
    <row r="17" s="1" customFormat="1" ht="15" spans="2:32">
      <c r="B17" s="4" t="s">
        <v>77</v>
      </c>
      <c r="C17" s="100">
        <f>AC27</f>
        <v>68956.8904884319</v>
      </c>
      <c r="D17" s="100">
        <f t="shared" si="16"/>
        <v>2224.41582220748</v>
      </c>
      <c r="E17" s="103"/>
      <c r="F17" s="102">
        <f>C17/$C$19</f>
        <v>0.0217024437738445</v>
      </c>
      <c r="G17" s="2"/>
      <c r="J17" s="39"/>
      <c r="O17" s="35">
        <v>1</v>
      </c>
      <c r="P17" s="135" t="s">
        <v>78</v>
      </c>
      <c r="Q17" s="39">
        <v>0.1248</v>
      </c>
      <c r="R17" s="37" t="s">
        <v>59</v>
      </c>
      <c r="S17" s="38">
        <f t="shared" si="9"/>
        <v>50752.4</v>
      </c>
      <c r="T17" s="39">
        <f t="shared" si="10"/>
        <v>2.42921621621622</v>
      </c>
      <c r="U17" s="39">
        <f t="shared" si="11"/>
        <v>1.4</v>
      </c>
      <c r="V17" s="41">
        <f t="shared" si="17"/>
        <v>2.49625</v>
      </c>
      <c r="W17" s="40">
        <f t="shared" si="18"/>
        <v>0.4</v>
      </c>
      <c r="X17" s="41">
        <f t="shared" si="13"/>
        <v>0.531974465225669</v>
      </c>
      <c r="Y17" s="37">
        <f t="shared" si="14"/>
        <v>0.8</v>
      </c>
      <c r="Z17" s="42">
        <v>0.5</v>
      </c>
      <c r="AA17" s="42">
        <v>0</v>
      </c>
      <c r="AB17" s="42">
        <v>0</v>
      </c>
      <c r="AC17" s="19">
        <f t="shared" si="7"/>
        <v>33913.3394953605</v>
      </c>
    </row>
    <row r="18" s="1" customFormat="1" ht="15" spans="2:32">
      <c r="B18" s="4" t="s">
        <v>129</v>
      </c>
      <c r="C18" s="100">
        <f>AC30</f>
        <v>209962.064267352</v>
      </c>
      <c r="D18" s="100">
        <f t="shared" si="16"/>
        <v>6772.96981507588</v>
      </c>
      <c r="E18" s="103"/>
      <c r="F18" s="102"/>
      <c r="G18" s="2"/>
      <c r="O18" s="35">
        <v>1</v>
      </c>
      <c r="P18" s="135" t="s">
        <v>131</v>
      </c>
      <c r="Q18" s="39">
        <v>0.099</v>
      </c>
      <c r="R18" s="37" t="s">
        <v>59</v>
      </c>
      <c r="S18" s="38">
        <f t="shared" si="9"/>
        <v>50752.4</v>
      </c>
      <c r="T18" s="39">
        <f t="shared" si="10"/>
        <v>2.42921621621622</v>
      </c>
      <c r="U18" s="39">
        <f t="shared" si="11"/>
        <v>1.4</v>
      </c>
      <c r="V18" s="41">
        <f t="shared" si="17"/>
        <v>2.49625</v>
      </c>
      <c r="W18" s="40">
        <f t="shared" si="18"/>
        <v>0.4</v>
      </c>
      <c r="X18" s="41">
        <f t="shared" si="13"/>
        <v>0.531974465225669</v>
      </c>
      <c r="Y18" s="37">
        <f t="shared" si="14"/>
        <v>0.8</v>
      </c>
      <c r="Z18" s="42">
        <v>2</v>
      </c>
      <c r="AA18" s="42">
        <v>0</v>
      </c>
      <c r="AB18" s="42">
        <v>0</v>
      </c>
      <c r="AC18" s="19">
        <f t="shared" si="7"/>
        <v>53804.8174686007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3177379.06417423</v>
      </c>
      <c r="D19" s="104">
        <f>C19/E16</f>
        <v>102496.09884433</v>
      </c>
      <c r="E19" s="105"/>
      <c r="F19" s="106"/>
      <c r="G19" s="2"/>
      <c r="O19" s="35">
        <v>1</v>
      </c>
      <c r="P19" s="135" t="s">
        <v>118</v>
      </c>
      <c r="Q19" s="39">
        <v>0.5013</v>
      </c>
      <c r="R19" s="37" t="s">
        <v>59</v>
      </c>
      <c r="S19" s="38">
        <f t="shared" si="9"/>
        <v>50752.4</v>
      </c>
      <c r="T19" s="39">
        <f t="shared" si="10"/>
        <v>2.42921621621622</v>
      </c>
      <c r="U19" s="39">
        <f t="shared" si="11"/>
        <v>1.4</v>
      </c>
      <c r="V19" s="41">
        <f t="shared" si="17"/>
        <v>2.49625</v>
      </c>
      <c r="W19" s="40">
        <f t="shared" si="18"/>
        <v>0.4</v>
      </c>
      <c r="X19" s="41">
        <f t="shared" si="13"/>
        <v>0.531974465225669</v>
      </c>
      <c r="Y19" s="37">
        <f t="shared" si="14"/>
        <v>0.8</v>
      </c>
      <c r="Z19" s="42">
        <v>0.5</v>
      </c>
      <c r="AA19" s="42">
        <v>0</v>
      </c>
      <c r="AB19" s="42">
        <v>0</v>
      </c>
      <c r="AC19" s="19">
        <f t="shared" si="7"/>
        <v>136224.015136412</v>
      </c>
    </row>
    <row r="20" s="1" customFormat="1" ht="15" spans="2:32">
      <c r="B20" s="4"/>
      <c r="C20" s="4"/>
      <c r="D20" s="4"/>
      <c r="G20" s="2"/>
      <c r="O20" s="35">
        <v>1</v>
      </c>
      <c r="P20" s="135" t="s">
        <v>78</v>
      </c>
      <c r="Q20" s="39">
        <v>0.1248</v>
      </c>
      <c r="R20" s="37" t="s">
        <v>59</v>
      </c>
      <c r="S20" s="38">
        <f t="shared" si="9"/>
        <v>50752.4</v>
      </c>
      <c r="T20" s="39">
        <f t="shared" si="10"/>
        <v>2.42921621621622</v>
      </c>
      <c r="U20" s="39">
        <f t="shared" si="11"/>
        <v>1.4</v>
      </c>
      <c r="V20" s="41">
        <f t="shared" si="17"/>
        <v>2.49625</v>
      </c>
      <c r="W20" s="40">
        <f t="shared" si="18"/>
        <v>0.4</v>
      </c>
      <c r="X20" s="41">
        <f t="shared" si="13"/>
        <v>0.531974465225669</v>
      </c>
      <c r="Y20" s="37">
        <f t="shared" si="14"/>
        <v>0.8</v>
      </c>
      <c r="Z20" s="42">
        <v>0.5</v>
      </c>
      <c r="AA20" s="42">
        <v>0</v>
      </c>
      <c r="AB20" s="42">
        <v>0</v>
      </c>
      <c r="AC20" s="19">
        <f t="shared" si="7"/>
        <v>33913.3394953605</v>
      </c>
    </row>
    <row r="21" s="1" customFormat="1" ht="15" spans="2:32">
      <c r="B21" s="4"/>
      <c r="C21" s="4"/>
      <c r="D21" s="4"/>
      <c r="F21" s="4"/>
      <c r="G21" s="2"/>
      <c r="O21" s="35">
        <v>1</v>
      </c>
      <c r="P21" s="135" t="s">
        <v>62</v>
      </c>
      <c r="Q21" s="39">
        <v>0.2953</v>
      </c>
      <c r="R21" s="37" t="s">
        <v>59</v>
      </c>
      <c r="S21" s="38">
        <f t="shared" si="9"/>
        <v>50752.4</v>
      </c>
      <c r="T21" s="39">
        <f t="shared" si="10"/>
        <v>2.42921621621622</v>
      </c>
      <c r="U21" s="39">
        <f t="shared" si="11"/>
        <v>1.4</v>
      </c>
      <c r="V21" s="41">
        <f t="shared" si="17"/>
        <v>2.49625</v>
      </c>
      <c r="W21" s="40">
        <f t="shared" si="18"/>
        <v>0.4</v>
      </c>
      <c r="X21" s="41">
        <f t="shared" si="13"/>
        <v>0.531974465225669</v>
      </c>
      <c r="Y21" s="37">
        <f t="shared" si="14"/>
        <v>0.8</v>
      </c>
      <c r="Z21" s="42">
        <v>0</v>
      </c>
      <c r="AA21" s="42">
        <v>0</v>
      </c>
      <c r="AB21" s="42">
        <v>0</v>
      </c>
      <c r="AC21" s="19">
        <f t="shared" si="7"/>
        <v>53496.8437659185</v>
      </c>
    </row>
    <row r="22" s="1" customFormat="1" ht="15" spans="2:32">
      <c r="F22" s="107" t="s">
        <v>101</v>
      </c>
      <c r="G22" s="108" t="s">
        <v>115</v>
      </c>
      <c r="H22" s="108" t="s">
        <v>94</v>
      </c>
      <c r="I22" s="108" t="s">
        <v>92</v>
      </c>
      <c r="J22" s="108" t="s">
        <v>132</v>
      </c>
      <c r="K22" s="108" t="s">
        <v>94</v>
      </c>
      <c r="O22" s="35">
        <v>1</v>
      </c>
      <c r="P22" s="135" t="s">
        <v>121</v>
      </c>
      <c r="Q22" s="39">
        <v>0.3387</v>
      </c>
      <c r="R22" s="37" t="s">
        <v>59</v>
      </c>
      <c r="S22" s="38">
        <f t="shared" si="9"/>
        <v>50752.4</v>
      </c>
      <c r="T22" s="39">
        <f t="shared" si="10"/>
        <v>2.42921621621622</v>
      </c>
      <c r="U22" s="39">
        <f t="shared" si="11"/>
        <v>1.4</v>
      </c>
      <c r="V22" s="41">
        <f t="shared" si="17"/>
        <v>2.49625</v>
      </c>
      <c r="W22" s="40">
        <f t="shared" si="18"/>
        <v>0.4</v>
      </c>
      <c r="X22" s="41">
        <f t="shared" si="13"/>
        <v>0.531974465225669</v>
      </c>
      <c r="Y22" s="37">
        <f t="shared" si="14"/>
        <v>0.8</v>
      </c>
      <c r="Z22" s="42">
        <v>2</v>
      </c>
      <c r="AA22" s="42">
        <v>0</v>
      </c>
      <c r="AB22" s="42">
        <v>0</v>
      </c>
      <c r="AC22" s="19">
        <f t="shared" si="7"/>
        <v>184077.693703183</v>
      </c>
    </row>
    <row r="23" s="1" customFormat="1" spans="2:32">
      <c r="F23" s="186" t="s">
        <v>95</v>
      </c>
      <c r="G23" s="1">
        <v>23165</v>
      </c>
      <c r="I23" s="187" t="s">
        <v>95</v>
      </c>
      <c r="J23" s="1">
        <v>29336</v>
      </c>
      <c r="Q23" s="39"/>
    </row>
    <row r="24" s="1" customFormat="1" ht="15" spans="2:32">
      <c r="B24" s="4"/>
      <c r="C24" s="4"/>
      <c r="D24" s="4"/>
      <c r="F24" s="1">
        <v>11</v>
      </c>
      <c r="G24" s="1">
        <v>28645</v>
      </c>
      <c r="H24" s="2">
        <f t="shared" ref="H24:H29" si="19">G24/G23-1</f>
        <v>0.236563781567019</v>
      </c>
      <c r="I24" s="1">
        <v>21</v>
      </c>
      <c r="J24" s="1">
        <v>55889</v>
      </c>
      <c r="K24" s="2">
        <f>J24/J23-1</f>
        <v>0.90513362421598</v>
      </c>
      <c r="O24" s="70">
        <f t="shared" ref="O24:O26" si="20">$O$27</f>
        <v>1</v>
      </c>
      <c r="P24" s="72" t="s">
        <v>81</v>
      </c>
      <c r="Q24" s="71">
        <v>18.8075</v>
      </c>
      <c r="R24" s="72" t="s">
        <v>82</v>
      </c>
      <c r="S24" s="72">
        <v>10027</v>
      </c>
      <c r="T24" s="71">
        <v>0</v>
      </c>
      <c r="U24" s="71">
        <v>0</v>
      </c>
      <c r="V24" s="73">
        <v>1</v>
      </c>
      <c r="W24" s="74">
        <v>0</v>
      </c>
      <c r="X24" s="73">
        <f t="shared" ref="X24:X27" si="21">$AF$3</f>
        <v>0.488431876606684</v>
      </c>
      <c r="Y24" s="72">
        <f t="shared" ref="Y24:Y27" si="22">$AF$18</f>
        <v>0.8</v>
      </c>
      <c r="Z24" s="75">
        <v>0</v>
      </c>
      <c r="AA24" s="75">
        <v>0</v>
      </c>
      <c r="AB24" s="34">
        <v>0.5</v>
      </c>
      <c r="AC24" s="137">
        <f t="shared" ref="AC24:AC27" si="23">Q24*S24*(1+T24)*(1+U24)*V24*(1+W24)*X24*Y24*(1+Z24)*(1+AA24)*(1+AB24)*O24</f>
        <v>110531.822544987</v>
      </c>
    </row>
    <row r="25" s="1" customFormat="1" ht="15" spans="2:32">
      <c r="B25" s="4"/>
      <c r="C25" s="4"/>
      <c r="D25" s="4"/>
      <c r="F25" s="109">
        <v>21</v>
      </c>
      <c r="G25" s="1">
        <v>34890</v>
      </c>
      <c r="H25" s="2">
        <f t="shared" si="19"/>
        <v>0.218013614941525</v>
      </c>
      <c r="I25" s="1">
        <v>31</v>
      </c>
      <c r="J25" s="1">
        <v>64516</v>
      </c>
      <c r="K25" s="2">
        <f>J25/J24-1</f>
        <v>0.154359534076473</v>
      </c>
      <c r="O25" s="29">
        <f t="shared" si="20"/>
        <v>1</v>
      </c>
      <c r="P25" s="66" t="s">
        <v>83</v>
      </c>
      <c r="Q25" s="80">
        <v>2.9822</v>
      </c>
      <c r="R25" s="66" t="s">
        <v>82</v>
      </c>
      <c r="S25" s="66">
        <v>10027</v>
      </c>
      <c r="T25" s="80">
        <v>0</v>
      </c>
      <c r="U25" s="80">
        <v>0</v>
      </c>
      <c r="V25" s="81">
        <v>1</v>
      </c>
      <c r="W25" s="82">
        <v>0</v>
      </c>
      <c r="X25" s="81">
        <f t="shared" si="21"/>
        <v>0.488431876606684</v>
      </c>
      <c r="Y25" s="66">
        <f t="shared" si="22"/>
        <v>0.8</v>
      </c>
      <c r="Z25" s="83">
        <v>0</v>
      </c>
      <c r="AA25" s="83">
        <v>0</v>
      </c>
      <c r="AB25" s="31">
        <v>0.5</v>
      </c>
      <c r="AC25" s="137">
        <f t="shared" si="23"/>
        <v>17526.4123989717</v>
      </c>
    </row>
    <row r="26" s="1" customFormat="1" ht="15" spans="2:32">
      <c r="F26" s="1">
        <v>31</v>
      </c>
      <c r="G26" s="1">
        <v>42139</v>
      </c>
      <c r="H26" s="2">
        <f t="shared" si="19"/>
        <v>0.207767268558326</v>
      </c>
      <c r="I26" s="1">
        <v>41</v>
      </c>
      <c r="J26" s="1">
        <v>69871</v>
      </c>
      <c r="K26" s="2">
        <f>J26/J25-1</f>
        <v>0.083002666005332</v>
      </c>
      <c r="O26" s="29">
        <f t="shared" si="20"/>
        <v>1</v>
      </c>
      <c r="P26" s="66" t="s">
        <v>85</v>
      </c>
      <c r="Q26" s="80">
        <v>5.9643</v>
      </c>
      <c r="R26" s="66" t="s">
        <v>82</v>
      </c>
      <c r="S26" s="66">
        <v>10027</v>
      </c>
      <c r="T26" s="80">
        <v>0</v>
      </c>
      <c r="U26" s="80">
        <v>0</v>
      </c>
      <c r="V26" s="81">
        <v>1</v>
      </c>
      <c r="W26" s="82">
        <v>0</v>
      </c>
      <c r="X26" s="81">
        <f t="shared" si="21"/>
        <v>0.488431876606684</v>
      </c>
      <c r="Y26" s="66">
        <f t="shared" si="22"/>
        <v>0.8</v>
      </c>
      <c r="Z26" s="83">
        <v>0</v>
      </c>
      <c r="AA26" s="83">
        <v>0</v>
      </c>
      <c r="AB26" s="31">
        <v>0.5</v>
      </c>
      <c r="AC26" s="138">
        <f t="shared" si="23"/>
        <v>35052.2370971722</v>
      </c>
    </row>
    <row r="27" s="1" customFormat="1" ht="15" spans="2:32">
      <c r="B27" s="4"/>
      <c r="C27" s="4"/>
      <c r="D27" s="4"/>
      <c r="F27" s="109">
        <v>51</v>
      </c>
      <c r="G27" s="1">
        <v>43981</v>
      </c>
      <c r="H27" s="2">
        <f t="shared" si="19"/>
        <v>0.0437124753791025</v>
      </c>
      <c r="I27" s="1">
        <v>61</v>
      </c>
      <c r="J27" s="1">
        <v>84176</v>
      </c>
      <c r="K27" s="2">
        <f>J27/J26-1</f>
        <v>0.204734439180776</v>
      </c>
      <c r="O27" s="16">
        <v>1</v>
      </c>
      <c r="P27" s="139" t="s">
        <v>77</v>
      </c>
      <c r="Q27" s="140">
        <v>16</v>
      </c>
      <c r="R27" s="139" t="s">
        <v>86</v>
      </c>
      <c r="S27" s="139">
        <v>10027</v>
      </c>
      <c r="T27" s="140">
        <v>0</v>
      </c>
      <c r="U27" s="140">
        <v>0</v>
      </c>
      <c r="V27" s="141">
        <v>1</v>
      </c>
      <c r="W27" s="142">
        <v>0</v>
      </c>
      <c r="X27" s="141">
        <f t="shared" si="21"/>
        <v>0.488431876606684</v>
      </c>
      <c r="Y27" s="139">
        <f t="shared" si="22"/>
        <v>0.8</v>
      </c>
      <c r="Z27" s="143">
        <v>0</v>
      </c>
      <c r="AA27" s="143">
        <v>0</v>
      </c>
      <c r="AB27" s="144">
        <v>0.1</v>
      </c>
      <c r="AC27" s="145">
        <f t="shared" si="23"/>
        <v>68956.8904884319</v>
      </c>
    </row>
    <row r="28" s="1" customFormat="1" spans="2:32">
      <c r="B28" s="4"/>
      <c r="C28" s="4"/>
      <c r="D28" s="4"/>
      <c r="F28" s="1">
        <v>61</v>
      </c>
      <c r="G28" s="1">
        <v>55308</v>
      </c>
      <c r="H28" s="2">
        <f t="shared" si="19"/>
        <v>0.257543029944749</v>
      </c>
      <c r="I28" s="1">
        <v>65</v>
      </c>
      <c r="J28" s="1">
        <v>102496</v>
      </c>
      <c r="K28" s="2">
        <f>J28/J27-1</f>
        <v>0.217639232085155</v>
      </c>
      <c r="Q28" s="2"/>
      <c r="U28" s="2"/>
      <c r="V28" s="3"/>
      <c r="AB28" s="4"/>
      <c r="AC28" s="4"/>
    </row>
    <row r="29" s="1" customFormat="1" spans="2:32">
      <c r="F29" s="109">
        <v>65</v>
      </c>
      <c r="G29" s="1">
        <v>64468</v>
      </c>
      <c r="H29" s="2">
        <f t="shared" si="19"/>
        <v>0.165617993780285</v>
      </c>
      <c r="N29" s="146" t="s">
        <v>91</v>
      </c>
      <c r="O29" s="147" t="s">
        <v>4</v>
      </c>
      <c r="P29" s="147"/>
      <c r="Q29" s="148"/>
      <c r="R29" s="147"/>
      <c r="S29" s="147"/>
      <c r="T29" s="147"/>
      <c r="U29" s="148"/>
      <c r="V29" s="149"/>
      <c r="W29" s="147"/>
      <c r="X29" s="147"/>
      <c r="Y29" s="147"/>
      <c r="Z29" s="147"/>
      <c r="AA29" s="147"/>
      <c r="AB29" s="150"/>
      <c r="AC29" s="151"/>
    </row>
    <row r="30" s="1" customFormat="1" ht="15" spans="2:32">
      <c r="B30" s="4"/>
      <c r="C30" s="4"/>
      <c r="D30" s="4"/>
      <c r="F30" s="4"/>
      <c r="G30" s="2"/>
      <c r="N30" s="29">
        <v>6</v>
      </c>
      <c r="O30" s="66">
        <v>26</v>
      </c>
      <c r="P30" s="152" t="s">
        <v>87</v>
      </c>
      <c r="Q30" s="153">
        <f>IF(N30&gt;0,(MAX(45%,112.5%+112.5%*(N30-2))),(IF(N30&lt;=0,0)))</f>
        <v>5.625</v>
      </c>
      <c r="R30" s="152" t="s">
        <v>87</v>
      </c>
      <c r="S30" s="154">
        <v>3674.1</v>
      </c>
      <c r="T30" s="155">
        <v>0</v>
      </c>
      <c r="U30" s="155">
        <v>0</v>
      </c>
      <c r="V30" s="156">
        <v>1</v>
      </c>
      <c r="W30" s="157">
        <v>0</v>
      </c>
      <c r="X30" s="156">
        <f t="shared" ref="X30:X33" si="24">$AF$3</f>
        <v>0.488431876606684</v>
      </c>
      <c r="Y30" s="152">
        <f>$AF$13</f>
        <v>0.8</v>
      </c>
      <c r="Z30" s="158">
        <v>0</v>
      </c>
      <c r="AA30" s="158">
        <v>0</v>
      </c>
      <c r="AB30" s="158">
        <v>0</v>
      </c>
      <c r="AC30" s="159">
        <f t="shared" ref="AC30:AC33" si="25">Q30*S30*(1+T30)*(1+U30)*V30*(1+W30)*X30*Y30*(1+Z30)*(1+AA30)*(1+AB30)*O30</f>
        <v>209962.064267352</v>
      </c>
    </row>
    <row r="31" s="1" customFormat="1" ht="15" spans="2:32">
      <c r="B31" s="4"/>
      <c r="C31" s="4"/>
      <c r="D31" s="4"/>
      <c r="G31" s="2"/>
      <c r="N31" s="29">
        <v>10</v>
      </c>
      <c r="O31" s="66">
        <v>1</v>
      </c>
      <c r="P31" s="160" t="s">
        <v>88</v>
      </c>
      <c r="Q31" s="161">
        <f>IF(N31=1,0.3,IF(AND(N31&gt;=2,N31&lt;=10),0.3+0.2439*(N31-1),IF(AND(N31&gt;=11),2.4951+0.8317*(N31-10),IF(AND(N31&lt;=0),0,""))))</f>
        <v>2.4951</v>
      </c>
      <c r="R31" s="160" t="s">
        <v>88</v>
      </c>
      <c r="S31" s="162">
        <v>3674.1</v>
      </c>
      <c r="T31" s="163">
        <v>0</v>
      </c>
      <c r="U31" s="163">
        <v>0</v>
      </c>
      <c r="V31" s="164">
        <v>1</v>
      </c>
      <c r="W31" s="165">
        <v>0</v>
      </c>
      <c r="X31" s="164">
        <f t="shared" si="24"/>
        <v>0.488431876606684</v>
      </c>
      <c r="Y31" s="160">
        <f>$AF$11</f>
        <v>0.8</v>
      </c>
      <c r="Z31" s="166">
        <v>0</v>
      </c>
      <c r="AA31" s="166">
        <v>0</v>
      </c>
      <c r="AB31" s="166">
        <v>0</v>
      </c>
      <c r="AC31" s="167">
        <f t="shared" si="25"/>
        <v>3582.0604892545</v>
      </c>
    </row>
    <row r="32" s="1" customFormat="1" ht="15" spans="2:32">
      <c r="G32" s="2"/>
      <c r="N32" s="29">
        <v>13</v>
      </c>
      <c r="O32" s="66">
        <v>1</v>
      </c>
      <c r="P32" s="133" t="s">
        <v>89</v>
      </c>
      <c r="Q32" s="168">
        <f>IF(N32=1,24.5%,IF(AND(10&gt;=N32,N32&gt;=2),24.5%+(N32-1)*19.9185%,IF(AND(13&gt;=N32,N32&gt;=11),203.77%+(N32-10)*(271.69%-203.77%),"")))</f>
        <v>4.0753</v>
      </c>
      <c r="R32" s="133" t="s">
        <v>89</v>
      </c>
      <c r="S32" s="169">
        <v>3674.1</v>
      </c>
      <c r="T32" s="170">
        <v>0</v>
      </c>
      <c r="U32" s="170">
        <v>0</v>
      </c>
      <c r="V32" s="171">
        <v>1</v>
      </c>
      <c r="W32" s="172">
        <v>0</v>
      </c>
      <c r="X32" s="171">
        <f t="shared" si="24"/>
        <v>0.488431876606684</v>
      </c>
      <c r="Y32" s="133">
        <f>$AF$15</f>
        <v>0.8</v>
      </c>
      <c r="Z32" s="173">
        <v>0</v>
      </c>
      <c r="AA32" s="173">
        <v>0</v>
      </c>
      <c r="AB32" s="173">
        <v>0</v>
      </c>
      <c r="AC32" s="174">
        <f t="shared" si="25"/>
        <v>5850.65572997429</v>
      </c>
    </row>
    <row r="33" s="1" customFormat="1" ht="15" spans="2:29">
      <c r="B33" s="4"/>
      <c r="C33" s="4"/>
      <c r="D33" s="4"/>
      <c r="G33" s="2"/>
      <c r="N33" s="49">
        <v>13</v>
      </c>
      <c r="O33" s="94">
        <v>1</v>
      </c>
      <c r="P33" s="175" t="s">
        <v>90</v>
      </c>
      <c r="Q33" s="176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75" t="s">
        <v>90</v>
      </c>
      <c r="S33" s="177">
        <v>3674.1</v>
      </c>
      <c r="T33" s="178">
        <v>0</v>
      </c>
      <c r="U33" s="178">
        <v>0</v>
      </c>
      <c r="V33" s="179">
        <v>1</v>
      </c>
      <c r="W33" s="180">
        <v>0</v>
      </c>
      <c r="X33" s="179">
        <f t="shared" si="24"/>
        <v>0.488431876606684</v>
      </c>
      <c r="Y33" s="175">
        <f>$AF$16</f>
        <v>0.8</v>
      </c>
      <c r="Z33" s="181">
        <v>0</v>
      </c>
      <c r="AA33" s="181">
        <v>0</v>
      </c>
      <c r="AB33" s="181">
        <v>0</v>
      </c>
      <c r="AC33" s="182">
        <f t="shared" si="25"/>
        <v>20059.596165347</v>
      </c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U59" s="2"/>
      <c r="V59" s="3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D21" sqref="D2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5.54545454545455" style="2" customWidth="1"/>
    <col min="8" max="9" width="11.8181818181818" style="1" customWidth="1"/>
    <col min="10" max="10" width="14" style="1" customWidth="1"/>
    <col min="11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1:33">
      <c r="B2" s="7" t="s">
        <v>133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1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50</v>
      </c>
      <c r="Q3" s="20">
        <v>2.736</v>
      </c>
      <c r="R3" s="21" t="s">
        <v>50</v>
      </c>
      <c r="S3" s="22">
        <f>$C$4*(1+C$5+C$6+C$7+C$8)+C$9</f>
        <v>2325.424</v>
      </c>
      <c r="T3" s="23">
        <f>S3/$C$4-1</f>
        <v>1.29784980237154</v>
      </c>
      <c r="U3" s="23">
        <f>IF(R3=$C$1,SUM($E$4:$E$9),SUM($E$4:$E$8))</f>
        <v>0.72</v>
      </c>
      <c r="V3" s="24">
        <f>1+$G$10*($I$10-1)</f>
        <v>3.0049</v>
      </c>
      <c r="W3" s="25">
        <f>IF(R3=$C$1,$K$4+$K$5,$K$4)</f>
        <v>0</v>
      </c>
      <c r="X3" s="24">
        <f>$AF$3</f>
        <v>0.488431876606684</v>
      </c>
      <c r="Y3" s="21">
        <f>$AF$14</f>
        <v>0.8</v>
      </c>
      <c r="Z3" s="26">
        <v>0</v>
      </c>
      <c r="AA3" s="26">
        <v>0</v>
      </c>
      <c r="AB3" s="27">
        <v>0</v>
      </c>
      <c r="AC3" s="19">
        <f>Q3*$C$4*(1+T3)*(1+U3)*V3*(1+W3)*X3*Y3*(1+Z3)*(1+AA3)*(1+AB3)*O3</f>
        <v>12849.0405782278</v>
      </c>
      <c r="AD3" s="14"/>
      <c r="AE3" s="14">
        <v>0</v>
      </c>
      <c r="AF3" s="15">
        <f t="shared" ref="AF3:AF8" si="0">1520/(1520+(792+8*AG3)*(1-AE3/100))</f>
        <v>0.488431876606684</v>
      </c>
      <c r="AG3" s="28">
        <v>100</v>
      </c>
    </row>
    <row r="4" s="1" customFormat="1" ht="15" spans="1:33">
      <c r="B4" s="29" t="s">
        <v>27</v>
      </c>
      <c r="C4" s="30">
        <f>425+587</f>
        <v>1012</v>
      </c>
      <c r="D4" s="29" t="s">
        <v>28</v>
      </c>
      <c r="E4" s="31">
        <f>E1*30%</f>
        <v>0.3</v>
      </c>
      <c r="F4" s="29" t="s">
        <v>29</v>
      </c>
      <c r="G4" s="32">
        <v>0.13</v>
      </c>
      <c r="H4" s="29" t="s">
        <v>29</v>
      </c>
      <c r="I4" s="32">
        <v>1.5</v>
      </c>
      <c r="J4" s="33" t="s">
        <v>30</v>
      </c>
      <c r="K4" s="34"/>
      <c r="L4" s="29" t="s">
        <v>31</v>
      </c>
      <c r="M4" s="32">
        <f>8.6%*2</f>
        <v>0.172</v>
      </c>
      <c r="O4" s="35">
        <v>1</v>
      </c>
      <c r="P4" s="19" t="s">
        <v>134</v>
      </c>
      <c r="Q4" s="36">
        <v>10.0402</v>
      </c>
      <c r="R4" s="37" t="s">
        <v>1</v>
      </c>
      <c r="S4" s="38">
        <f t="shared" ref="S4:S10" si="1">$C$4*(1+C$5+C$6+C$7+C$8)+C$9</f>
        <v>2325.424</v>
      </c>
      <c r="T4" s="39">
        <f t="shared" ref="T4:T10" si="2">S4/$C$4-1</f>
        <v>1.29784980237154</v>
      </c>
      <c r="U4" s="39">
        <f t="shared" ref="U4:U9" si="3">IF(R4=$C$1,SUM($E$4:$E$9),SUM($E$4:$E$8))</f>
        <v>1.142</v>
      </c>
      <c r="V4" s="24">
        <f t="shared" ref="V4:V10" si="4">1+$G$10*($I$10-1)</f>
        <v>3.0049</v>
      </c>
      <c r="W4" s="40">
        <f>IF(R4=$C$1,$K$4+$K$5,$K$4)</f>
        <v>0</v>
      </c>
      <c r="X4" s="41">
        <f>$AF$4</f>
        <v>0.584040329521702</v>
      </c>
      <c r="Y4" s="37">
        <f t="shared" ref="Y4:Y10" si="5">$AF$12</f>
        <v>0.9</v>
      </c>
      <c r="Z4" s="42">
        <v>0</v>
      </c>
      <c r="AA4" s="42">
        <v>0</v>
      </c>
      <c r="AB4" s="43">
        <v>0</v>
      </c>
      <c r="AC4" s="19">
        <f t="shared" ref="AC4:AC10" si="6">Q4*$C$4*(1+T4)*(1+U4)*V4*(1+W4)*X4*Y4*(1+Z4)*(1+AA4)*(1+AB4)*O4</f>
        <v>78991.3163796808</v>
      </c>
      <c r="AD4" s="14">
        <f>32</f>
        <v>32</v>
      </c>
      <c r="AE4" s="14">
        <v>0</v>
      </c>
      <c r="AF4" s="15">
        <f>1520/(1520+(792+8*AG4)*(1-AE4/100)*(1-AD4/100))</f>
        <v>0.584040329521702</v>
      </c>
      <c r="AG4" s="28">
        <v>100</v>
      </c>
    </row>
    <row r="5" s="1" customFormat="1" ht="15" spans="1:33">
      <c r="B5" s="29" t="s">
        <v>33</v>
      </c>
      <c r="C5" s="31">
        <v>0.12</v>
      </c>
      <c r="D5" s="29" t="s">
        <v>34</v>
      </c>
      <c r="E5" s="31">
        <v>0.3</v>
      </c>
      <c r="F5" s="29" t="s">
        <v>35</v>
      </c>
      <c r="G5" s="32">
        <v>0.243</v>
      </c>
      <c r="H5" s="29" t="s">
        <v>35</v>
      </c>
      <c r="I5" s="32">
        <v>0</v>
      </c>
      <c r="J5" s="44" t="s">
        <v>135</v>
      </c>
      <c r="K5" s="34"/>
      <c r="L5" s="29" t="s">
        <v>37</v>
      </c>
      <c r="M5" s="32">
        <f>8.6%*2</f>
        <v>0.172</v>
      </c>
      <c r="O5" s="35">
        <v>6</v>
      </c>
      <c r="P5" s="19" t="s">
        <v>136</v>
      </c>
      <c r="Q5" s="36">
        <v>3.4395</v>
      </c>
      <c r="R5" s="37" t="s">
        <v>59</v>
      </c>
      <c r="S5" s="38">
        <f t="shared" si="1"/>
        <v>2325.424</v>
      </c>
      <c r="T5" s="39">
        <f t="shared" si="2"/>
        <v>1.29784980237154</v>
      </c>
      <c r="U5" s="45">
        <f t="shared" si="3"/>
        <v>0.72</v>
      </c>
      <c r="V5" s="24">
        <f t="shared" si="4"/>
        <v>3.0049</v>
      </c>
      <c r="W5" s="40">
        <f>IF(R5=$C$1,$K$4+$K$5,$K$4)</f>
        <v>0</v>
      </c>
      <c r="X5" s="24">
        <f>$AF$3</f>
        <v>0.488431876606684</v>
      </c>
      <c r="Y5" s="37">
        <f>$AF$14</f>
        <v>0.8</v>
      </c>
      <c r="Z5" s="42">
        <v>0</v>
      </c>
      <c r="AA5" s="42">
        <v>0</v>
      </c>
      <c r="AB5" s="43">
        <v>0</v>
      </c>
      <c r="AC5" s="19">
        <f t="shared" si="6"/>
        <v>96917.2698877514</v>
      </c>
      <c r="AD5" s="14">
        <v>0</v>
      </c>
      <c r="AE5" s="14">
        <v>0</v>
      </c>
      <c r="AF5" s="15">
        <f t="shared" si="0"/>
        <v>0.488431876606684</v>
      </c>
      <c r="AG5" s="28">
        <v>100</v>
      </c>
    </row>
    <row r="6" s="1" customFormat="1" ht="15" spans="1:33">
      <c r="B6" s="29" t="s">
        <v>39</v>
      </c>
      <c r="C6" s="32">
        <f>18%+18%+M4+(2-E1)*30%</f>
        <v>0.832</v>
      </c>
      <c r="D6" s="29" t="s">
        <v>40</v>
      </c>
      <c r="E6" s="31">
        <v>0.12</v>
      </c>
      <c r="F6" s="29" t="s">
        <v>41</v>
      </c>
      <c r="G6" s="32">
        <v>0.2</v>
      </c>
      <c r="H6" s="29" t="s">
        <v>41</v>
      </c>
      <c r="I6" s="32">
        <v>0</v>
      </c>
      <c r="J6" s="44"/>
      <c r="K6" s="31"/>
      <c r="L6" s="29" t="s">
        <v>23</v>
      </c>
      <c r="M6" s="32">
        <f>8.1*5%</f>
        <v>0.405</v>
      </c>
      <c r="O6" s="35">
        <v>2</v>
      </c>
      <c r="P6" s="19" t="s">
        <v>137</v>
      </c>
      <c r="Q6" s="36">
        <v>3.579</v>
      </c>
      <c r="R6" s="37" t="s">
        <v>1</v>
      </c>
      <c r="S6" s="38">
        <f t="shared" si="1"/>
        <v>2325.424</v>
      </c>
      <c r="T6" s="39">
        <f t="shared" si="2"/>
        <v>1.29784980237154</v>
      </c>
      <c r="U6" s="45">
        <f t="shared" si="3"/>
        <v>1.142</v>
      </c>
      <c r="V6" s="24">
        <f t="shared" si="4"/>
        <v>3.0049</v>
      </c>
      <c r="W6" s="40">
        <f>IF(R6=$C$1,$K$4+$K$5,$K$4)</f>
        <v>0</v>
      </c>
      <c r="X6" s="41">
        <f t="shared" ref="X4:X10" si="7">$AF$4</f>
        <v>0.584040329521702</v>
      </c>
      <c r="Y6" s="37">
        <f t="shared" si="5"/>
        <v>0.9</v>
      </c>
      <c r="Z6" s="42">
        <v>0</v>
      </c>
      <c r="AA6" s="42">
        <v>0</v>
      </c>
      <c r="AB6" s="43">
        <v>0</v>
      </c>
      <c r="AC6" s="19">
        <f t="shared" si="6"/>
        <v>56315.5955703826</v>
      </c>
      <c r="AD6" s="14">
        <v>0</v>
      </c>
      <c r="AE6" s="14">
        <v>21.6</v>
      </c>
      <c r="AF6" s="15">
        <f t="shared" si="0"/>
        <v>0.549107555719967</v>
      </c>
      <c r="AG6" s="28">
        <v>100</v>
      </c>
    </row>
    <row r="7" s="1" customFormat="1" ht="15" spans="1:33">
      <c r="B7" s="29" t="s">
        <v>43</v>
      </c>
      <c r="C7" s="32"/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1"/>
      <c r="L7" s="29" t="s">
        <v>45</v>
      </c>
      <c r="M7" s="31">
        <f>16.2%*5</f>
        <v>0.81</v>
      </c>
      <c r="O7" s="35">
        <v>2</v>
      </c>
      <c r="P7" s="19" t="s">
        <v>138</v>
      </c>
      <c r="Q7" s="36">
        <v>3.4395</v>
      </c>
      <c r="R7" s="37" t="s">
        <v>59</v>
      </c>
      <c r="S7" s="38">
        <f t="shared" si="1"/>
        <v>2325.424</v>
      </c>
      <c r="T7" s="39">
        <f t="shared" si="2"/>
        <v>1.29784980237154</v>
      </c>
      <c r="U7" s="45">
        <f t="shared" si="3"/>
        <v>0.72</v>
      </c>
      <c r="V7" s="24">
        <f t="shared" si="4"/>
        <v>3.0049</v>
      </c>
      <c r="W7" s="40">
        <f>IF(R7=$C$1,$K$4+$K$5,$K$4)</f>
        <v>0</v>
      </c>
      <c r="X7" s="24">
        <f>$AF$3</f>
        <v>0.488431876606684</v>
      </c>
      <c r="Y7" s="37">
        <f>$AF$14</f>
        <v>0.8</v>
      </c>
      <c r="Z7" s="42">
        <v>0</v>
      </c>
      <c r="AA7" s="42">
        <v>0</v>
      </c>
      <c r="AB7" s="43">
        <v>0</v>
      </c>
      <c r="AC7" s="19">
        <f t="shared" si="6"/>
        <v>32305.7566292505</v>
      </c>
      <c r="AD7" s="14">
        <v>0</v>
      </c>
      <c r="AE7" s="14">
        <v>28.8</v>
      </c>
      <c r="AF7" s="15">
        <f t="shared" si="0"/>
        <v>0.572827476423627</v>
      </c>
      <c r="AG7" s="28">
        <v>100</v>
      </c>
    </row>
    <row r="8" s="1" customFormat="1" ht="15" spans="1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139</v>
      </c>
      <c r="I8" s="32">
        <v>0.3</v>
      </c>
      <c r="J8" s="44"/>
      <c r="K8" s="31"/>
      <c r="L8" s="29"/>
      <c r="M8" s="30"/>
      <c r="O8" s="35">
        <v>2</v>
      </c>
      <c r="P8" s="19" t="s">
        <v>140</v>
      </c>
      <c r="Q8" s="36">
        <v>3.579</v>
      </c>
      <c r="R8" s="37" t="s">
        <v>1</v>
      </c>
      <c r="S8" s="38">
        <f t="shared" si="1"/>
        <v>2325.424</v>
      </c>
      <c r="T8" s="39">
        <f t="shared" si="2"/>
        <v>1.29784980237154</v>
      </c>
      <c r="U8" s="45">
        <f t="shared" si="3"/>
        <v>1.142</v>
      </c>
      <c r="V8" s="24">
        <f t="shared" si="4"/>
        <v>3.0049</v>
      </c>
      <c r="W8" s="40">
        <f>IF(R8=$C$1,$K$4+$K$5,$K$4)</f>
        <v>0</v>
      </c>
      <c r="X8" s="41">
        <f t="shared" si="7"/>
        <v>0.584040329521702</v>
      </c>
      <c r="Y8" s="37">
        <f t="shared" si="5"/>
        <v>0.9</v>
      </c>
      <c r="Z8" s="42">
        <v>0</v>
      </c>
      <c r="AA8" s="42">
        <v>0</v>
      </c>
      <c r="AB8" s="43">
        <v>0</v>
      </c>
      <c r="AC8" s="19">
        <f t="shared" si="6"/>
        <v>56315.5955703826</v>
      </c>
      <c r="AD8" s="14">
        <v>0</v>
      </c>
      <c r="AE8" s="14">
        <v>36</v>
      </c>
      <c r="AF8" s="15">
        <f t="shared" si="0"/>
        <v>0.598689185782707</v>
      </c>
      <c r="AG8" s="28">
        <v>100</v>
      </c>
    </row>
    <row r="9" s="1" customFormat="1" ht="15" spans="1:33">
      <c r="B9" s="29" t="s">
        <v>51</v>
      </c>
      <c r="C9" s="30">
        <v>350</v>
      </c>
      <c r="D9" s="29" t="s">
        <v>141</v>
      </c>
      <c r="E9" s="48">
        <f>25%+M5</f>
        <v>0.422</v>
      </c>
      <c r="F9" s="29" t="s">
        <v>53</v>
      </c>
      <c r="G9" s="32"/>
      <c r="H9" s="29" t="s">
        <v>53</v>
      </c>
      <c r="I9" s="32"/>
      <c r="J9" s="44"/>
      <c r="K9" s="31"/>
      <c r="L9" s="29"/>
      <c r="M9" s="30"/>
      <c r="O9" s="35">
        <v>1</v>
      </c>
      <c r="P9" s="19" t="s">
        <v>142</v>
      </c>
      <c r="Q9" s="36">
        <v>2.32</v>
      </c>
      <c r="R9" s="37" t="s">
        <v>1</v>
      </c>
      <c r="S9" s="38">
        <f t="shared" si="1"/>
        <v>2325.424</v>
      </c>
      <c r="T9" s="39">
        <f t="shared" si="2"/>
        <v>1.29784980237154</v>
      </c>
      <c r="U9" s="45">
        <f t="shared" si="3"/>
        <v>1.142</v>
      </c>
      <c r="V9" s="24">
        <f t="shared" si="4"/>
        <v>3.0049</v>
      </c>
      <c r="W9" s="40">
        <f>IF(R9=$C$1,$K$4+$K$5,$K$4)+2</f>
        <v>2</v>
      </c>
      <c r="X9" s="41">
        <f t="shared" si="7"/>
        <v>0.584040329521702</v>
      </c>
      <c r="Y9" s="37">
        <f t="shared" si="5"/>
        <v>0.9</v>
      </c>
      <c r="Z9" s="42">
        <v>0</v>
      </c>
      <c r="AA9" s="42">
        <v>0</v>
      </c>
      <c r="AB9" s="43">
        <v>0</v>
      </c>
      <c r="AC9" s="19">
        <f t="shared" si="6"/>
        <v>54757.8297247643</v>
      </c>
    </row>
    <row r="10" s="1" customFormat="1" ht="15" spans="1:33">
      <c r="B10" s="49" t="s">
        <v>54</v>
      </c>
      <c r="C10" s="50"/>
      <c r="D10" s="49"/>
      <c r="E10" s="51"/>
      <c r="F10" s="52" t="s">
        <v>55</v>
      </c>
      <c r="G10" s="53">
        <f>MIN(100%,SUM(G4:G9))</f>
        <v>0.978</v>
      </c>
      <c r="H10" s="52" t="s">
        <v>56</v>
      </c>
      <c r="I10" s="53">
        <f>SUM(I4:I9)</f>
        <v>3.05</v>
      </c>
      <c r="J10" s="54"/>
      <c r="K10" s="51"/>
      <c r="L10" s="49"/>
      <c r="M10" s="50"/>
      <c r="O10" s="55">
        <v>1</v>
      </c>
      <c r="P10" s="19" t="s">
        <v>143</v>
      </c>
      <c r="Q10" s="56">
        <v>17.8929</v>
      </c>
      <c r="R10" s="57" t="s">
        <v>1</v>
      </c>
      <c r="S10" s="58">
        <f t="shared" si="1"/>
        <v>2325.424</v>
      </c>
      <c r="T10" s="59">
        <f t="shared" si="2"/>
        <v>1.29784980237154</v>
      </c>
      <c r="U10" s="60">
        <f>IF(R10=$C$1,SUM($E$4:$E$9),SUM($E$4:$E$8))+$E$10</f>
        <v>1.142</v>
      </c>
      <c r="V10" s="61">
        <f t="shared" si="4"/>
        <v>3.0049</v>
      </c>
      <c r="W10" s="62"/>
      <c r="X10" s="63">
        <f t="shared" si="7"/>
        <v>0.584040329521702</v>
      </c>
      <c r="Y10" s="57">
        <f t="shared" si="5"/>
        <v>0.9</v>
      </c>
      <c r="Z10" s="64">
        <v>0</v>
      </c>
      <c r="AA10" s="64">
        <v>0</v>
      </c>
      <c r="AB10" s="65">
        <v>0</v>
      </c>
      <c r="AC10" s="19">
        <f t="shared" si="6"/>
        <v>140772.467166988</v>
      </c>
    </row>
    <row r="11" s="1" customFormat="1" spans="1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E11"/>
      <c r="AF11"/>
    </row>
    <row r="12" s="1" customFormat="1" ht="15" spans="1:33">
      <c r="B12" s="66"/>
      <c r="C12" s="66"/>
      <c r="E12" s="67"/>
      <c r="G12" s="69"/>
      <c r="J12" s="2"/>
      <c r="K12" s="2"/>
      <c r="O12" s="70">
        <v>0</v>
      </c>
      <c r="P12" s="71" t="s">
        <v>144</v>
      </c>
      <c r="Q12" s="71">
        <v>1.0935</v>
      </c>
      <c r="R12" s="72" t="s">
        <v>82</v>
      </c>
      <c r="S12" s="72">
        <v>10027</v>
      </c>
      <c r="T12" s="71">
        <v>0</v>
      </c>
      <c r="U12" s="71">
        <v>0</v>
      </c>
      <c r="V12" s="73">
        <v>1</v>
      </c>
      <c r="W12" s="74">
        <v>0</v>
      </c>
      <c r="X12" s="73">
        <f t="shared" ref="X12:X16" si="8">$AF$3</f>
        <v>0.488431876606684</v>
      </c>
      <c r="Y12" s="72">
        <f t="shared" ref="Y12:Y16" si="9">$AF$13</f>
        <v>0.8</v>
      </c>
      <c r="Z12" s="75">
        <v>1.2</v>
      </c>
      <c r="AA12" s="75">
        <v>0</v>
      </c>
      <c r="AB12" s="75">
        <v>0.5</v>
      </c>
      <c r="AC12" s="76">
        <f t="shared" ref="AC12:AC16" si="10">Q12*$S$16*(1+T12)*(1+U12)*V12*(1+W12)*X12*Y12*(1+Z12)*(1+AA12)*(1+AB12)*O12</f>
        <v>0</v>
      </c>
      <c r="AE12" s="77" t="s">
        <v>1</v>
      </c>
      <c r="AF12" s="77">
        <v>0.9</v>
      </c>
    </row>
    <row r="13" s="1" customFormat="1" ht="15" spans="1:33">
      <c r="A13"/>
      <c r="B13"/>
      <c r="C13"/>
      <c r="D13" s="78"/>
      <c r="E13" s="78"/>
      <c r="F13" s="78" t="s">
        <v>145</v>
      </c>
      <c r="G13" s="79"/>
      <c r="H13" s="78"/>
      <c r="I13" s="78"/>
      <c r="J13" s="78"/>
      <c r="K13" s="78"/>
      <c r="L13" s="78"/>
      <c r="M13" s="78"/>
      <c r="O13" s="29">
        <v>0</v>
      </c>
      <c r="P13" s="66" t="s">
        <v>85</v>
      </c>
      <c r="Q13" s="80">
        <v>5.9643</v>
      </c>
      <c r="R13" s="66" t="s">
        <v>82</v>
      </c>
      <c r="S13" s="66">
        <v>10027</v>
      </c>
      <c r="T13" s="80">
        <v>0</v>
      </c>
      <c r="U13" s="80">
        <v>0</v>
      </c>
      <c r="V13" s="81">
        <v>1</v>
      </c>
      <c r="W13" s="82">
        <v>0</v>
      </c>
      <c r="X13" s="81">
        <f t="shared" si="8"/>
        <v>0.488431876606684</v>
      </c>
      <c r="Y13" s="66">
        <f t="shared" si="9"/>
        <v>0.8</v>
      </c>
      <c r="Z13" s="83">
        <v>0</v>
      </c>
      <c r="AA13" s="83">
        <v>0</v>
      </c>
      <c r="AB13" s="83">
        <v>0.5</v>
      </c>
      <c r="AC13" s="84">
        <f t="shared" si="10"/>
        <v>0</v>
      </c>
      <c r="AE13" s="85" t="s">
        <v>146</v>
      </c>
      <c r="AF13" s="85">
        <v>0.8</v>
      </c>
    </row>
    <row r="14" s="1" customFormat="1" ht="15" spans="1:33">
      <c r="A14" s="86"/>
      <c r="B14" s="87"/>
      <c r="C14" s="87"/>
      <c r="D14" s="87"/>
      <c r="E14" s="87"/>
      <c r="F14" s="87"/>
      <c r="G14" s="88"/>
      <c r="O14" s="29">
        <v>0</v>
      </c>
      <c r="P14" s="66" t="s">
        <v>81</v>
      </c>
      <c r="Q14" s="80">
        <v>18.8075</v>
      </c>
      <c r="R14" s="66" t="s">
        <v>82</v>
      </c>
      <c r="S14" s="66">
        <v>10027</v>
      </c>
      <c r="T14" s="80">
        <v>0</v>
      </c>
      <c r="U14" s="80">
        <v>0</v>
      </c>
      <c r="V14" s="81">
        <v>1</v>
      </c>
      <c r="W14" s="82">
        <v>0</v>
      </c>
      <c r="X14" s="81">
        <f t="shared" si="8"/>
        <v>0.488431876606684</v>
      </c>
      <c r="Y14" s="66">
        <f t="shared" si="9"/>
        <v>0.8</v>
      </c>
      <c r="Z14" s="83">
        <v>0</v>
      </c>
      <c r="AA14" s="83">
        <v>0</v>
      </c>
      <c r="AB14" s="83">
        <v>0.5</v>
      </c>
      <c r="AC14" s="84">
        <f t="shared" si="10"/>
        <v>0</v>
      </c>
      <c r="AE14" s="89" t="s">
        <v>147</v>
      </c>
      <c r="AF14" s="89">
        <v>0.8</v>
      </c>
    </row>
    <row r="15" s="1" customFormat="1" ht="15" spans="1:33">
      <c r="B15" s="90" t="s">
        <v>66</v>
      </c>
      <c r="C15" s="1"/>
      <c r="D15" s="1"/>
      <c r="E15" s="1"/>
      <c r="F15" s="1"/>
      <c r="G15" s="2"/>
      <c r="O15" s="29">
        <v>0</v>
      </c>
      <c r="P15" s="66" t="s">
        <v>83</v>
      </c>
      <c r="Q15" s="80">
        <v>2.9822</v>
      </c>
      <c r="R15" s="66" t="s">
        <v>82</v>
      </c>
      <c r="S15" s="66">
        <v>10027</v>
      </c>
      <c r="T15" s="80">
        <v>0</v>
      </c>
      <c r="U15" s="80">
        <v>0</v>
      </c>
      <c r="V15" s="81">
        <v>1</v>
      </c>
      <c r="W15" s="82">
        <v>0</v>
      </c>
      <c r="X15" s="81">
        <f t="shared" si="8"/>
        <v>0.488431876606684</v>
      </c>
      <c r="Y15" s="66">
        <f t="shared" si="9"/>
        <v>0.8</v>
      </c>
      <c r="Z15" s="83">
        <v>0</v>
      </c>
      <c r="AA15" s="83">
        <v>0</v>
      </c>
      <c r="AB15" s="83">
        <v>0.5</v>
      </c>
      <c r="AC15" s="84">
        <f t="shared" si="10"/>
        <v>0</v>
      </c>
      <c r="AE15" s="91" t="s">
        <v>148</v>
      </c>
      <c r="AF15" s="91">
        <v>0.8</v>
      </c>
    </row>
    <row r="16" s="1" customFormat="1" ht="15" spans="1:33">
      <c r="B16" s="92" t="s">
        <v>149</v>
      </c>
      <c r="C16" s="93" t="s">
        <v>68</v>
      </c>
      <c r="D16" s="93" t="s">
        <v>69</v>
      </c>
      <c r="E16" s="93" t="s">
        <v>70</v>
      </c>
      <c r="F16" s="93" t="s">
        <v>71</v>
      </c>
      <c r="G16" s="2"/>
      <c r="O16" s="49">
        <v>0.5</v>
      </c>
      <c r="P16" s="94" t="s">
        <v>77</v>
      </c>
      <c r="Q16" s="95">
        <v>16</v>
      </c>
      <c r="R16" s="94" t="s">
        <v>86</v>
      </c>
      <c r="S16" s="94">
        <v>10027</v>
      </c>
      <c r="T16" s="95">
        <v>0</v>
      </c>
      <c r="U16" s="95">
        <v>0</v>
      </c>
      <c r="V16" s="96">
        <v>1</v>
      </c>
      <c r="W16" s="97">
        <v>0</v>
      </c>
      <c r="X16" s="96">
        <f t="shared" si="8"/>
        <v>0.488431876606684</v>
      </c>
      <c r="Y16" s="94">
        <f t="shared" si="9"/>
        <v>0.8</v>
      </c>
      <c r="Z16" s="98">
        <v>0</v>
      </c>
      <c r="AA16" s="98">
        <v>0</v>
      </c>
      <c r="AB16" s="98">
        <v>0.1</v>
      </c>
      <c r="AC16" s="99">
        <f t="shared" si="10"/>
        <v>34478.4452442159</v>
      </c>
    </row>
    <row r="17" s="1" customFormat="1" ht="15" spans="2:30">
      <c r="B17" s="4" t="s">
        <v>150</v>
      </c>
      <c r="C17" s="100">
        <f>SUM(AC3:AC10)</f>
        <v>529224.871507428</v>
      </c>
      <c r="D17" s="100">
        <f>C17/$E$17</f>
        <v>21168.9948602971</v>
      </c>
      <c r="E17" s="101">
        <v>25</v>
      </c>
      <c r="F17" s="102">
        <f>C17/$C$21</f>
        <v>0.781716807602542</v>
      </c>
      <c r="G17" s="2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="1" customFormat="1" ht="15" spans="2:30">
      <c r="B18" s="4" t="s">
        <v>90</v>
      </c>
      <c r="C18" s="100">
        <f>20600*(6+2.5*2)/2</f>
        <v>113300</v>
      </c>
      <c r="D18" s="100">
        <f>C18/$E$17</f>
        <v>4532</v>
      </c>
      <c r="E18" s="103"/>
      <c r="F18" s="102">
        <f>C18/$C$21</f>
        <v>0.16735516237</v>
      </c>
      <c r="G18" s="2"/>
      <c r="Q18" s="2"/>
      <c r="U18" s="2"/>
      <c r="V18" s="3"/>
      <c r="AB18" s="4"/>
      <c r="AC18" s="4"/>
    </row>
    <row r="19" s="1" customFormat="1" ht="15" spans="2:30">
      <c r="B19" s="4" t="s">
        <v>77</v>
      </c>
      <c r="C19" s="100">
        <f>AC16</f>
        <v>34478.4452442159</v>
      </c>
      <c r="D19" s="100">
        <f>C19/$E$17</f>
        <v>1379.13780976864</v>
      </c>
      <c r="E19" s="103"/>
      <c r="F19" s="102">
        <f>C19/$C$21</f>
        <v>0.0509280300274574</v>
      </c>
      <c r="G19" s="2"/>
      <c r="Q19" s="2"/>
      <c r="U19" s="2"/>
      <c r="V19" s="3"/>
      <c r="AB19" s="4"/>
      <c r="AC19" s="4"/>
    </row>
    <row r="20" s="1" customFormat="1" ht="15" spans="2:30">
      <c r="B20" s="4"/>
      <c r="C20" s="100"/>
      <c r="D20" s="100"/>
      <c r="E20" s="103"/>
      <c r="F20" s="102"/>
      <c r="G20" s="2"/>
      <c r="Q20" s="2"/>
      <c r="U20" s="2"/>
      <c r="V20" s="3"/>
      <c r="AB20" s="4"/>
      <c r="AC20" s="4"/>
    </row>
    <row r="21" s="1" customFormat="1" ht="15" spans="2:30">
      <c r="B21" s="4" t="s">
        <v>79</v>
      </c>
      <c r="C21" s="104">
        <f>SUM(C17:C19)</f>
        <v>677003.316751644</v>
      </c>
      <c r="D21" s="104">
        <f>C21/E17</f>
        <v>27080.1326700657</v>
      </c>
      <c r="E21" s="105"/>
      <c r="F21" s="106"/>
      <c r="G21" s="107" t="s">
        <v>92</v>
      </c>
      <c r="H21" s="108" t="s">
        <v>151</v>
      </c>
      <c r="I21" s="108" t="s">
        <v>152</v>
      </c>
      <c r="J21" s="108" t="s">
        <v>153</v>
      </c>
      <c r="K21" s="108" t="s">
        <v>93</v>
      </c>
      <c r="L21" s="2"/>
      <c r="P21" s="2"/>
      <c r="Q21" s="3"/>
      <c r="W21" s="4"/>
      <c r="X21" s="4"/>
    </row>
    <row r="22" s="1" customFormat="1" spans="2:30">
      <c r="B22" s="4"/>
      <c r="C22" s="4"/>
      <c r="D22" s="4"/>
      <c r="E22" s="1"/>
      <c r="F22" s="1"/>
      <c r="G22" s="186" t="s">
        <v>95</v>
      </c>
      <c r="H22" s="91">
        <v>27080</v>
      </c>
      <c r="I22" s="1">
        <v>23165</v>
      </c>
      <c r="J22" s="110">
        <v>29336</v>
      </c>
      <c r="K22" s="111">
        <v>30841</v>
      </c>
      <c r="L22" s="2"/>
      <c r="P22" s="2"/>
      <c r="Q22" s="3"/>
      <c r="W22" s="4"/>
      <c r="X22" s="4"/>
    </row>
    <row r="23" s="1" customFormat="1" spans="2:30">
      <c r="B23" s="4"/>
      <c r="C23" s="4"/>
      <c r="D23" s="4"/>
      <c r="F23" s="4"/>
      <c r="G23" s="109">
        <v>21</v>
      </c>
      <c r="H23" s="91">
        <v>35941</v>
      </c>
      <c r="I23" s="1">
        <v>34890</v>
      </c>
      <c r="J23" s="111">
        <v>55889</v>
      </c>
      <c r="K23" s="110">
        <v>44782</v>
      </c>
      <c r="L23" s="2"/>
      <c r="P23" s="2"/>
      <c r="Q23" s="3"/>
      <c r="W23" s="4"/>
      <c r="X23" s="4"/>
    </row>
    <row r="24" s="1" customFormat="1" spans="2:30">
      <c r="B24" s="4"/>
      <c r="C24" s="4"/>
      <c r="D24" s="4"/>
      <c r="F24" s="4"/>
      <c r="G24" s="109">
        <v>31</v>
      </c>
      <c r="H24" s="91">
        <v>49026</v>
      </c>
      <c r="I24" s="1">
        <v>42139</v>
      </c>
      <c r="J24" s="111">
        <v>64516</v>
      </c>
      <c r="K24" s="110">
        <v>55686</v>
      </c>
      <c r="L24" s="2"/>
      <c r="P24" s="2"/>
      <c r="Q24" s="3"/>
      <c r="W24" s="4"/>
      <c r="X24" s="4"/>
      <c r="Y24"/>
    </row>
    <row r="25" s="1" customFormat="1" spans="2:30">
      <c r="G25" s="109">
        <v>61</v>
      </c>
      <c r="H25" s="110">
        <v>83273</v>
      </c>
      <c r="I25" s="1">
        <v>55308</v>
      </c>
      <c r="J25" s="111">
        <v>84176</v>
      </c>
      <c r="K25" s="91">
        <v>80824</v>
      </c>
      <c r="L25" s="2"/>
      <c r="P25" s="2"/>
      <c r="Q25" s="3"/>
      <c r="W25" s="4"/>
      <c r="X25" s="4"/>
      <c r="Y25"/>
    </row>
    <row r="26" s="1" customFormat="1" spans="2:30">
      <c r="B26" s="4"/>
      <c r="C26" s="4"/>
      <c r="D26" s="4"/>
      <c r="F26" s="4"/>
      <c r="G26" s="109">
        <v>65</v>
      </c>
      <c r="H26" s="111">
        <v>111624</v>
      </c>
      <c r="I26" s="1">
        <v>64468</v>
      </c>
      <c r="J26" s="91">
        <v>102496</v>
      </c>
      <c r="K26" s="110">
        <v>104493</v>
      </c>
      <c r="L26" s="2"/>
      <c r="P26" s="2"/>
      <c r="Q26" s="3"/>
      <c r="W26" s="4"/>
      <c r="X26" s="4"/>
    </row>
    <row r="27" s="1" customFormat="1" spans="2:30">
      <c r="B27" s="4"/>
      <c r="C27" s="4"/>
      <c r="D27" s="4"/>
      <c r="F27" s="4"/>
      <c r="G27" s="2"/>
      <c r="Q27" s="2"/>
      <c r="U27" s="2"/>
      <c r="V27" s="3"/>
      <c r="AB27" s="4"/>
      <c r="AC27" s="4"/>
    </row>
    <row r="28" s="1" customFormat="1" spans="2:30">
      <c r="G28" s="2"/>
      <c r="Q28" s="2"/>
      <c r="U28" s="2"/>
      <c r="V28" s="3"/>
      <c r="AB28" s="4"/>
      <c r="AC28" s="4"/>
    </row>
    <row r="29" s="1" customFormat="1" spans="2:30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0">
      <c r="B30" s="4"/>
      <c r="C30" s="4"/>
      <c r="D30" s="4"/>
      <c r="E30" s="1"/>
      <c r="F30" s="1"/>
      <c r="G30" s="2"/>
      <c r="Q30" s="2"/>
      <c r="U30" s="2"/>
      <c r="V30" s="3"/>
      <c r="AB30" s="4"/>
      <c r="AC30" s="4"/>
      <c r="AD30"/>
    </row>
    <row r="31" s="1" customFormat="1" spans="2:30">
      <c r="G31" s="2"/>
      <c r="Q31" s="2"/>
      <c r="U31" s="2"/>
      <c r="V31" s="3"/>
      <c r="AB31" s="4"/>
      <c r="AC31" s="4"/>
    </row>
    <row r="32" s="1" customFormat="1" spans="2:30">
      <c r="B32" s="4"/>
      <c r="C32" s="4"/>
      <c r="D32" s="4"/>
      <c r="E32" s="1"/>
      <c r="F32" s="1"/>
      <c r="G32" s="2"/>
      <c r="N32" s="112"/>
      <c r="Q32" s="2"/>
      <c r="U32" s="2"/>
      <c r="V32" s="3"/>
      <c r="AB32" s="4"/>
      <c r="AC32" s="4"/>
    </row>
    <row r="33" s="1" customFormat="1" spans="7:29">
      <c r="G33" s="2"/>
      <c r="N33" s="66"/>
      <c r="Q33" s="2"/>
      <c r="U33" s="2"/>
      <c r="V33" s="3"/>
      <c r="AB33" s="4"/>
      <c r="AC33" s="4"/>
    </row>
    <row r="34" s="1" customFormat="1" spans="7:29">
      <c r="G34" s="2"/>
      <c r="N34" s="66"/>
      <c r="Q34" s="2"/>
      <c r="U34" s="2"/>
      <c r="V34" s="3"/>
      <c r="AB34" s="4"/>
      <c r="AC34" s="4"/>
    </row>
    <row r="35" s="1" customFormat="1" spans="7:29">
      <c r="G35" s="2"/>
      <c r="N35" s="66"/>
      <c r="Q35" s="2"/>
      <c r="U35" s="2"/>
      <c r="V35" s="3"/>
      <c r="AB35" s="4"/>
      <c r="AC35" s="4"/>
    </row>
    <row r="36" s="1" customFormat="1" spans="7:29">
      <c r="G36" s="2"/>
      <c r="H36" s="1"/>
      <c r="I36" s="1"/>
      <c r="J36" s="1"/>
      <c r="N36" s="66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H38" s="1"/>
      <c r="I38" s="1"/>
      <c r="J38" s="1"/>
      <c r="K38" s="1"/>
      <c r="L38" s="1"/>
      <c r="Q38" s="2"/>
      <c r="U38" s="2"/>
      <c r="V38" s="3"/>
      <c r="AB38" s="4"/>
      <c r="AC38" s="4"/>
    </row>
    <row r="39" s="1" customFormat="1" spans="7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7:29">
      <c r="G40" s="2"/>
      <c r="H40" s="1"/>
      <c r="I40" s="1"/>
      <c r="J40" s="1"/>
      <c r="K40" s="1"/>
      <c r="L40" s="1"/>
      <c r="M40" s="1"/>
      <c r="Q40" s="2"/>
      <c r="U40" s="2"/>
      <c r="V40" s="3"/>
      <c r="AB40" s="4"/>
      <c r="AC40" s="4"/>
    </row>
    <row r="41" s="1" customFormat="1" spans="7:29">
      <c r="G41" s="2"/>
      <c r="H41" s="1"/>
      <c r="I41" s="1"/>
      <c r="J41" s="1"/>
      <c r="K41" s="1"/>
      <c r="L41" s="1"/>
      <c r="M41" s="1"/>
      <c r="Q41" s="2"/>
      <c r="U41" s="2"/>
      <c r="V41" s="3"/>
      <c r="AB41" s="4"/>
      <c r="AC41" s="4"/>
    </row>
    <row r="42" s="1" customFormat="1" spans="7:29">
      <c r="G42" s="2"/>
      <c r="H42" s="1"/>
      <c r="I42" s="1"/>
      <c r="J42" s="1"/>
      <c r="K42" s="1"/>
      <c r="L42" s="1"/>
      <c r="M42" s="1"/>
      <c r="Q42" s="2"/>
      <c r="U42" s="2"/>
      <c r="V42" s="3"/>
      <c r="AB42" s="4"/>
      <c r="AC42" s="4"/>
    </row>
    <row r="43" s="1" customFormat="1" spans="7:29">
      <c r="G43" s="2"/>
      <c r="H43" s="1"/>
      <c r="I43" s="1"/>
      <c r="J43" s="1"/>
      <c r="K43" s="1"/>
      <c r="L43" s="1"/>
      <c r="M43" s="1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7:29">
      <c r="G44" s="2"/>
      <c r="H44" s="1"/>
      <c r="I44" s="1"/>
      <c r="J44" s="1"/>
      <c r="K44" s="1"/>
      <c r="L44" s="1"/>
      <c r="M44" s="1"/>
      <c r="Q44" s="2"/>
      <c r="U44" s="2"/>
      <c r="V44" s="3"/>
      <c r="AB44" s="4"/>
      <c r="AC44" s="4"/>
    </row>
    <row r="45" s="1" customFormat="1" spans="7:29">
      <c r="G45" s="2"/>
      <c r="H45" s="1"/>
      <c r="I45" s="1"/>
      <c r="J45" s="1"/>
      <c r="K45" s="1"/>
      <c r="L45" s="1"/>
      <c r="M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7:29">
      <c r="G46" s="2"/>
      <c r="H46" s="1"/>
      <c r="I46" s="1"/>
      <c r="J46" s="1"/>
      <c r="K46" s="1"/>
      <c r="L46" s="1"/>
      <c r="M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7:29">
      <c r="G47" s="2"/>
      <c r="H47" s="1"/>
      <c r="I47" s="1"/>
      <c r="J47" s="1"/>
      <c r="K47" s="1"/>
      <c r="L47" s="1"/>
      <c r="M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7:29">
      <c r="G48" s="2"/>
      <c r="H48" s="1"/>
      <c r="I48" s="1"/>
      <c r="J48" s="1"/>
      <c r="K48" s="1"/>
      <c r="L48" s="1"/>
      <c r="M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  <row r="59" s="1" customFormat="1" spans="7:29">
      <c r="G59" s="2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  <row r="61" s="1" customFormat="1" spans="7:29">
      <c r="G61" s="2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0尤</vt:lpstr>
      <vt:lpstr>65尤</vt:lpstr>
      <vt:lpstr>01布兰特</vt:lpstr>
      <vt:lpstr>01卡提</vt:lpstr>
      <vt:lpstr>21卡提</vt:lpstr>
      <vt:lpstr>65卡提</vt:lpstr>
      <vt:lpstr>爱弥斯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2026-02-27T17:41:00Z</dcterms:created>
  <dcterms:modified xsi:type="dcterms:W3CDTF">2026-02-28T08:30:48Z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B216826B2CDA4D659E3AAB02A42E3A2C_11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