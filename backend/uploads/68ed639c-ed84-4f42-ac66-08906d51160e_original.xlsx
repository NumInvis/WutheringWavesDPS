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60" windowHeight="7250" activeTab="1"/>
  </bookViews>
  <sheets>
    <sheet name="01莫宁" sheetId="15" r:id="rId1"/>
    <sheet name="爱莫琳" sheetId="1" r:id="rId2"/>
    <sheet name="11" sheetId="2" r:id="rId3"/>
    <sheet name="21" sheetId="3" r:id="rId4"/>
    <sheet name="31" sheetId="4" r:id="rId5"/>
    <sheet name="61" sheetId="5" r:id="rId6"/>
    <sheet name="65" sheetId="6" r:id="rId7"/>
    <sheet name="05爱" sheetId="7" r:id="rId8"/>
    <sheet name="爱千" sheetId="8" r:id="rId9"/>
    <sheet name="爱千链" sheetId="9" r:id="rId10"/>
    <sheet name="爱千守" sheetId="10" r:id="rId11"/>
    <sheet name="爱琳守" sheetId="11" r:id="rId12"/>
    <sheet name="爱鉴守" sheetId="12" r:id="rId13"/>
    <sheet name="爱鉴莫" sheetId="13" r:id="rId14"/>
    <sheet name="Sheet1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<sst xmlns="http://schemas.openxmlformats.org/spreadsheetml/2006/main" count="2275" uniqueCount="142">
  <si>
    <t>琳奈</t>
  </si>
  <si>
    <t>动作</t>
  </si>
  <si>
    <t>倍率</t>
  </si>
  <si>
    <t>类型</t>
  </si>
  <si>
    <t>白值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</si>
  <si>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</si>
  <si>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</si>
  <si>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</si>
  <si>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</si>
  <si>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</si>
  <si>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</si>
  <si>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</si>
  <si>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</si>
  <si>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</si>
  <si>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</si>
  <si>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</si>
  <si>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</si>
  <si>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</si>
  <si>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</si>
  <si>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</si>
  <si>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</si>
  <si>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10双爆2攻2技</t>
  </si>
  <si>
    <t>变奏</t>
  </si>
  <si>
    <t>bz</t>
  </si>
  <si>
    <t>3C声骸</t>
  </si>
  <si>
    <t>基础</t>
  </si>
  <si>
    <t>全加深</t>
  </si>
  <si>
    <t>大攻击</t>
  </si>
  <si>
    <t>爆炸喷涂</t>
  </si>
  <si>
    <t>r</t>
  </si>
  <si>
    <t>固有和武器</t>
  </si>
  <si>
    <t>首位加成</t>
  </si>
  <si>
    <t>武器</t>
  </si>
  <si>
    <t>声骸</t>
  </si>
  <si>
    <t>声骸加深</t>
  </si>
  <si>
    <t>a伤</t>
  </si>
  <si>
    <t>琳奈式创想</t>
  </si>
  <si>
    <t>e</t>
  </si>
  <si>
    <t>声骸和词条</t>
  </si>
  <si>
    <t>套装效果</t>
  </si>
  <si>
    <t>首位</t>
  </si>
  <si>
    <t>套装</t>
  </si>
  <si>
    <t>共技加深</t>
  </si>
  <si>
    <t>灵感碰撞</t>
  </si>
  <si>
    <t>a</t>
  </si>
  <si>
    <t>自拐</t>
  </si>
  <si>
    <t>其他buff</t>
  </si>
  <si>
    <t>爆伤</t>
  </si>
  <si>
    <t>幻光折跃*3</t>
  </si>
  <si>
    <t>队友buff</t>
  </si>
  <si>
    <t>武器效果</t>
  </si>
  <si>
    <t>守岸人</t>
  </si>
  <si>
    <t>视觉冲击</t>
  </si>
  <si>
    <t>声骸固定攻击</t>
  </si>
  <si>
    <t>a加成</t>
  </si>
  <si>
    <t>面板暴击率</t>
  </si>
  <si>
    <t>面板暴击伤害</t>
  </si>
  <si>
    <t>加色混合</t>
  </si>
  <si>
    <t>有空一起兜风！</t>
  </si>
  <si>
    <t>yz</t>
  </si>
  <si>
    <t>额外固定攻击</t>
  </si>
  <si>
    <t>海维夏</t>
  </si>
  <si>
    <t>q</t>
  </si>
  <si>
    <t xml:space="preserve">                                                                             </t>
  </si>
  <si>
    <t>琳奈震谐</t>
  </si>
  <si>
    <t>zx</t>
  </si>
  <si>
    <t>爱弥斯</t>
  </si>
  <si>
    <t>莫宁震谐</t>
  </si>
  <si>
    <t>爱弥斯震谐</t>
  </si>
  <si>
    <t>光翼共奏*20</t>
  </si>
  <si>
    <t>自己buff</t>
  </si>
  <si>
    <t>r加深</t>
  </si>
  <si>
    <t>r伤害</t>
  </si>
  <si>
    <t>击破</t>
  </si>
  <si>
    <t>4C</t>
  </si>
  <si>
    <t>固有</t>
  </si>
  <si>
    <t>莫宁</t>
  </si>
  <si>
    <t>r加成</t>
  </si>
  <si>
    <t>抗性</t>
  </si>
  <si>
    <t>以旋律穿越长空</t>
  </si>
  <si>
    <t>星辉破界而来·过载</t>
  </si>
  <si>
    <t>20抗90级怪</t>
  </si>
  <si>
    <t>机兵a234</t>
  </si>
  <si>
    <t>裸伤</t>
  </si>
  <si>
    <t>dps</t>
  </si>
  <si>
    <t>秒数</t>
  </si>
  <si>
    <t>光翼共奏·登台</t>
  </si>
  <si>
    <t>琳奈本体</t>
  </si>
  <si>
    <t>爱弥斯a234</t>
  </si>
  <si>
    <t>光翼共奏·降临</t>
  </si>
  <si>
    <t>莫宁本体</t>
  </si>
  <si>
    <t>重击机兵</t>
  </si>
  <si>
    <t>星辉破界而来·终结</t>
  </si>
  <si>
    <t>爱弥斯本体</t>
  </si>
  <si>
    <t>01爱琳莫</t>
  </si>
  <si>
    <t>单人直伤dps</t>
  </si>
  <si>
    <t>双攻</t>
  </si>
  <si>
    <t>合计</t>
  </si>
  <si>
    <t>一攻一属</t>
  </si>
  <si>
    <t>双属</t>
  </si>
  <si>
    <t>带01琳11莫</t>
  </si>
  <si>
    <t>全队dps</t>
  </si>
  <si>
    <t>01爱</t>
  </si>
  <si>
    <t>11爱</t>
  </si>
  <si>
    <t>21爱</t>
  </si>
  <si>
    <t>31爱</t>
  </si>
  <si>
    <t>41爱</t>
  </si>
  <si>
    <t>61爱</t>
  </si>
  <si>
    <t>65爱</t>
  </si>
  <si>
    <t>千咲</t>
  </si>
  <si>
    <t>攻击白值</t>
  </si>
  <si>
    <t>解弦</t>
  </si>
  <si>
    <t>R伤害</t>
  </si>
  <si>
    <t>纷烈</t>
  </si>
  <si>
    <t>buff</t>
  </si>
  <si>
    <t>断命</t>
  </si>
  <si>
    <t>撤弦</t>
  </si>
  <si>
    <t>齿轨</t>
  </si>
  <si>
    <t>归无</t>
  </si>
  <si>
    <t>锯环</t>
  </si>
  <si>
    <t>终结</t>
  </si>
  <si>
    <t>q1</t>
  </si>
  <si>
    <t>q2</t>
  </si>
  <si>
    <t>聚爆</t>
  </si>
  <si>
    <t>共奏</t>
  </si>
  <si>
    <t>爱千二人转</t>
  </si>
  <si>
    <t>01</t>
  </si>
  <si>
    <t>鉴心</t>
  </si>
  <si>
    <t>配队</t>
  </si>
  <si>
    <t>保守预估dps</t>
  </si>
  <si>
    <t>爱琳莫</t>
  </si>
  <si>
    <t>爱琳守</t>
  </si>
  <si>
    <t>爱鉴守</t>
  </si>
  <si>
    <t>爱鉴莫</t>
  </si>
  <si>
    <t>0链爱弥斯直伤dps</t>
  </si>
  <si>
    <t>提升</t>
  </si>
  <si>
    <t>千古洑流</t>
  </si>
  <si>
    <t>谐振1专武</t>
  </si>
  <si>
    <t>谐振2专武</t>
  </si>
  <si>
    <t>谐振3专武</t>
  </si>
  <si>
    <t>谐振4专武</t>
  </si>
  <si>
    <t>谐振5专武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</si>
</sst>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21" applyNumberFormat="0" applyAlignment="0" applyProtection="0">
      <alignment vertical="center"/>
    </xf>
    <xf numFmtId="0" fontId="15" fillId="12" borderId="22" applyNumberFormat="0" applyAlignment="0" applyProtection="0">
      <alignment vertical="center"/>
    </xf>
    <xf numFmtId="0" fontId="16" fillId="12" borderId="21" applyNumberFormat="0" applyAlignment="0" applyProtection="0">
      <alignment vertical="center"/>
    </xf>
    <xf numFmtId="0" fontId="17" fillId="13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Fill="1" applyAlignment="1"/>
    <xf numFmtId="10" fontId="0" fillId="0" borderId="0" xfId="0" applyNumberFormat="1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5" borderId="0" xfId="0" applyNumberFormat="1" applyFont="1" applyFill="1" applyBorder="1" applyAlignment="1" applyProtection="1">
      <alignment horizontal="center" vertical="center"/>
    </xf>
    <xf numFmtId="9" fontId="0" fillId="5" borderId="0" xfId="0" applyNumberFormat="1" applyFill="1" applyAlignment="1">
      <alignment horizontal="center" vertical="center"/>
    </xf>
    <xf numFmtId="177" fontId="0" fillId="5" borderId="7" xfId="0" applyNumberFormat="1" applyFill="1" applyBorder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9" fontId="0" fillId="0" borderId="9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179" fontId="0" fillId="0" borderId="9" xfId="0" applyNumberFormat="1" applyFill="1" applyBorder="1" applyAlignment="1">
      <alignment horizontal="center" vertical="center"/>
    </xf>
    <xf numFmtId="9" fontId="0" fillId="0" borderId="9" xfId="0" applyNumberFormat="1" applyFont="1" applyFill="1" applyBorder="1" applyAlignment="1" applyProtection="1">
      <alignment horizontal="center" vertical="center"/>
    </xf>
    <xf numFmtId="9" fontId="2" fillId="0" borderId="9" xfId="0" applyNumberFormat="1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9" fontId="0" fillId="6" borderId="9" xfId="0" applyNumberForma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0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178" fontId="2" fillId="7" borderId="0" xfId="0" applyNumberFormat="1" applyFont="1" applyFill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9" fontId="0" fillId="0" borderId="4" xfId="0" applyNumberFormat="1" applyFill="1" applyBorder="1" applyAlignment="1">
      <alignment horizontal="center" vertical="center"/>
    </xf>
    <xf numFmtId="9" fontId="0" fillId="0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77" fontId="0" fillId="2" borderId="7" xfId="0" applyNumberFormat="1" applyFill="1" applyBorder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 wrapText="1"/>
    </xf>
    <xf numFmtId="177" fontId="0" fillId="0" borderId="0" xfId="0" applyNumberFormat="1" applyFill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10" fontId="5" fillId="9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NumberFormat="1" applyFont="1" applyFill="1" applyBorder="1" applyAlignment="1" applyProtection="1">
      <alignment horizontal="center" vertical="center"/>
    </xf>
    <xf numFmtId="10" fontId="5" fillId="8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0" fontId="0" fillId="0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  <xf numFmtId="177" fontId="0" fillId="0" borderId="0" xfId="0" applyNumberFormat="1" applyFill="1" applyAlignment="1"/>
    <xf numFmtId="177" fontId="0" fillId="0" borderId="0" xfId="0" applyNumberFormat="1" applyFill="1" applyAlignment="1">
      <alignment vertical="center"/>
    </xf>
    <xf numFmtId="0" fontId="1" fillId="5" borderId="0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10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7" fontId="0" fillId="5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9" borderId="0" xfId="0" applyFill="1" applyAlignment="1">
      <alignment horizontal="center" vertical="center"/>
    </xf>
    <xf numFmtId="10" fontId="0" fillId="9" borderId="0" xfId="0" applyNumberFormat="1" applyFill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22" workbookViewId="0">
      <selection activeCell="B28" sqref="B2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12.9090909090909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1.28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16169.1669361526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25%+20%</f>
        <v>0.45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1.28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62921.6514045652</v>
      </c>
      <c r="AD4" s="13">
        <v>32</v>
      </c>
      <c r="AE4" s="13">
        <v>0</v>
      </c>
      <c r="AF4" s="14">
        <f t="shared" ref="AF4:AF8" si="7">1520/(1520+(792+8*AG4)*(1-AE4/100)*(1-AD4/100))</f>
        <v>0.596508853447193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1.28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20040.9919191289</v>
      </c>
      <c r="AD5" s="13">
        <v>32</v>
      </c>
      <c r="AE5" s="13">
        <v>0</v>
      </c>
      <c r="AF5" s="14">
        <f t="shared" si="7"/>
        <v>0.596508853447193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1.812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49283.6400018994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</f>
        <v>0.24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1.812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27287.1474990717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1.812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107935.039353285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1.28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16731.6352877572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1.28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7192.68991821733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1.28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19679.1996162426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113448.229472296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35977.0982343008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</v>
      </c>
      <c r="AB17" s="22">
        <v>0.5</v>
      </c>
      <c r="AC17" s="23">
        <f t="shared" si="10"/>
        <v>290227.202596306</v>
      </c>
    </row>
    <row r="18" s="1" customFormat="1" spans="2:31">
      <c r="B18" s="25" t="s">
        <v>30</v>
      </c>
      <c r="C18" s="27">
        <v>0.12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 t="s">
        <v>73</v>
      </c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0.12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1.84784980237154</v>
      </c>
      <c r="U22" s="56">
        <f>SUM($E$17:$E$21)-40%</f>
        <v>1.3</v>
      </c>
      <c r="V22" s="58">
        <f t="shared" ref="V22:V30" si="13">1+$G$22*($I$22-1)</f>
        <v>3.4939</v>
      </c>
      <c r="W22" s="59">
        <f t="shared" ref="W22:W25" si="14">$K$17</f>
        <v>0.4</v>
      </c>
      <c r="X22" s="58">
        <f t="shared" ref="X22:X25" si="15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6">Q22*S22*(1+T22)*(1+U22)*V22*(1+W22)*X22*Y22*(1+Z22)*(1+AA22)*(1+AB22)</f>
        <v>35578.2355869246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1.84784980237154</v>
      </c>
      <c r="U23" s="56">
        <f>SUM($E$17:$E$21)-40%</f>
        <v>1.3</v>
      </c>
      <c r="V23" s="58">
        <f t="shared" si="13"/>
        <v>3.4939</v>
      </c>
      <c r="W23" s="59">
        <f t="shared" si="14"/>
        <v>0.4</v>
      </c>
      <c r="X23" s="58">
        <f t="shared" si="15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6"/>
        <v>17500.4347415508</v>
      </c>
      <c r="AE23" s="1">
        <v>0.9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200.8%+267.74%*3</f>
        <v>10.0402</v>
      </c>
      <c r="R24" s="57" t="s">
        <v>29</v>
      </c>
      <c r="S24" s="57">
        <f t="shared" si="11"/>
        <v>1012</v>
      </c>
      <c r="T24" s="56">
        <f t="shared" si="12"/>
        <v>1.84784980237154</v>
      </c>
      <c r="U24" s="56">
        <f>SUM($E$17:$E$22)-40%</f>
        <v>1.722</v>
      </c>
      <c r="V24" s="58">
        <f t="shared" si="13"/>
        <v>3.4939</v>
      </c>
      <c r="W24" s="59">
        <f t="shared" ref="W24:W28" si="17">$K$17+K$18</f>
        <v>0.65</v>
      </c>
      <c r="X24" s="58">
        <f t="shared" ref="X24:X29" si="18">$AF$4</f>
        <v>0.596508853447193</v>
      </c>
      <c r="Y24" s="57">
        <f t="shared" ref="Y24:Y30" si="19">AE$23</f>
        <v>0.9</v>
      </c>
      <c r="Z24" s="60">
        <v>0</v>
      </c>
      <c r="AA24" s="60">
        <v>0</v>
      </c>
      <c r="AB24" s="60">
        <v>0</v>
      </c>
      <c r="AC24" s="61">
        <f t="shared" si="16"/>
        <v>243770.919928306</v>
      </c>
    </row>
    <row r="25" s="1" customFormat="1" ht="15" spans="2:31">
      <c r="B25" s="63" t="s">
        <v>81</v>
      </c>
      <c r="C25" s="6"/>
      <c r="D25" s="6"/>
      <c r="E25" s="6"/>
      <c r="F25" s="6"/>
      <c r="G25" s="90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1.84784980237154</v>
      </c>
      <c r="U25" s="56">
        <f>SUM($E$17:$E$21)</f>
        <v>1.7</v>
      </c>
      <c r="V25" s="58">
        <f t="shared" si="13"/>
        <v>3.4939</v>
      </c>
      <c r="W25" s="59">
        <f t="shared" si="14"/>
        <v>0.4</v>
      </c>
      <c r="X25" s="58">
        <f t="shared" si="15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6"/>
        <v>52504.8661189475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1.84784980237154</v>
      </c>
      <c r="U26" s="56">
        <f t="shared" ref="U24:U30" si="20">SUM($E$17:$E$22)</f>
        <v>2.122</v>
      </c>
      <c r="V26" s="58">
        <f t="shared" si="13"/>
        <v>3.4939</v>
      </c>
      <c r="W26" s="59">
        <f t="shared" si="17"/>
        <v>0.65</v>
      </c>
      <c r="X26" s="58">
        <f t="shared" si="18"/>
        <v>0.596508853447193</v>
      </c>
      <c r="Y26" s="57">
        <f t="shared" si="19"/>
        <v>0.9</v>
      </c>
      <c r="Z26" s="60">
        <v>0</v>
      </c>
      <c r="AA26" s="60">
        <v>0</v>
      </c>
      <c r="AB26" s="60">
        <v>0</v>
      </c>
      <c r="AC26" s="61">
        <f t="shared" si="16"/>
        <v>99665.7658917206</v>
      </c>
    </row>
    <row r="27" s="1" customFormat="1" spans="2:31">
      <c r="B27" s="67" t="s">
        <v>87</v>
      </c>
      <c r="C27" s="67">
        <f>SUM(AC3:AC11)</f>
        <v>327241.16193632</v>
      </c>
      <c r="D27" s="67">
        <f t="shared" ref="D27:D33" si="21">C27/E$27</f>
        <v>13089.6464774528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1.84784980237154</v>
      </c>
      <c r="U27" s="56">
        <f>SUM($E$17:$E$21)</f>
        <v>1.7</v>
      </c>
      <c r="V27" s="58">
        <f t="shared" si="13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6"/>
        <v>52504.8661189475</v>
      </c>
    </row>
    <row r="28" s="1" customFormat="1" spans="2:31">
      <c r="B28" s="67" t="s">
        <v>64</v>
      </c>
      <c r="C28" s="67">
        <f>AC14</f>
        <v>113448.229472296</v>
      </c>
      <c r="D28" s="67">
        <f t="shared" si="21"/>
        <v>4537.92917889182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1.84784980237154</v>
      </c>
      <c r="U28" s="56">
        <f t="shared" si="20"/>
        <v>2.122</v>
      </c>
      <c r="V28" s="58">
        <f t="shared" si="13"/>
        <v>3.4939</v>
      </c>
      <c r="W28" s="59">
        <f t="shared" si="17"/>
        <v>0.65</v>
      </c>
      <c r="X28" s="58">
        <f t="shared" si="18"/>
        <v>0.596508853447193</v>
      </c>
      <c r="Y28" s="57">
        <f t="shared" si="19"/>
        <v>0.9</v>
      </c>
      <c r="Z28" s="60">
        <v>0</v>
      </c>
      <c r="AA28" s="60">
        <v>0</v>
      </c>
      <c r="AB28" s="60">
        <v>0</v>
      </c>
      <c r="AC28" s="61">
        <f t="shared" si="16"/>
        <v>99665.7658917206</v>
      </c>
    </row>
    <row r="29" s="1" customFormat="1" spans="2:31">
      <c r="B29" s="67" t="s">
        <v>90</v>
      </c>
      <c r="C29" s="67">
        <v>74597</v>
      </c>
      <c r="D29" s="67">
        <f t="shared" si="21"/>
        <v>2983.88</v>
      </c>
      <c r="E29" s="45"/>
      <c r="F29" s="6"/>
      <c r="G29" s="90"/>
      <c r="H29" s="6"/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1.84784980237154</v>
      </c>
      <c r="U29" s="56">
        <f t="shared" si="20"/>
        <v>2.122</v>
      </c>
      <c r="V29" s="58">
        <f t="shared" si="13"/>
        <v>3.4939</v>
      </c>
      <c r="W29" s="59">
        <f>2+W28</f>
        <v>2.65</v>
      </c>
      <c r="X29" s="58">
        <f t="shared" si="18"/>
        <v>0.596508853447193</v>
      </c>
      <c r="Y29" s="57">
        <f t="shared" si="19"/>
        <v>0.9</v>
      </c>
      <c r="Z29" s="60">
        <v>0</v>
      </c>
      <c r="AA29" s="60">
        <v>0</v>
      </c>
      <c r="AB29" s="60">
        <v>0</v>
      </c>
      <c r="AC29" s="61">
        <f t="shared" si="16"/>
        <v>142916.119378375</v>
      </c>
    </row>
    <row r="30" s="1" customFormat="1" spans="2:31">
      <c r="B30" s="67" t="s">
        <v>67</v>
      </c>
      <c r="C30" s="67">
        <f>AC15</f>
        <v>17988.8507208443</v>
      </c>
      <c r="D30" s="67">
        <f t="shared" si="21"/>
        <v>719.554028833773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1.84784980237154</v>
      </c>
      <c r="U30" s="56">
        <f t="shared" si="20"/>
        <v>2.122</v>
      </c>
      <c r="V30" s="58">
        <f t="shared" si="13"/>
        <v>3.4939</v>
      </c>
      <c r="W30" s="59">
        <f>$K$17+K$18+25%</f>
        <v>0.9</v>
      </c>
      <c r="X30" s="58">
        <f>$AF$5</f>
        <v>0.596508853447193</v>
      </c>
      <c r="Y30" s="57">
        <f t="shared" si="19"/>
        <v>0.9</v>
      </c>
      <c r="Z30" s="60">
        <v>0</v>
      </c>
      <c r="AA30" s="60">
        <v>0</v>
      </c>
      <c r="AB30" s="60">
        <v>0</v>
      </c>
      <c r="AC30" s="61">
        <f t="shared" si="16"/>
        <v>573765.857535207</v>
      </c>
    </row>
    <row r="31" s="1" customFormat="1" spans="2:31">
      <c r="B31" s="67" t="s">
        <v>93</v>
      </c>
      <c r="C31" s="67">
        <f>SUM(AC22:AC30)</f>
        <v>1317872.8311917</v>
      </c>
      <c r="D31" s="67">
        <f t="shared" si="21"/>
        <v>52714.913247668</v>
      </c>
      <c r="E31" s="6"/>
      <c r="F31" s="6"/>
      <c r="G31" s="45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68</v>
      </c>
      <c r="C32" s="67">
        <f>AC16+AC17</f>
        <v>326204.300830607</v>
      </c>
      <c r="D32" s="67">
        <f t="shared" si="21"/>
        <v>13048.1720332243</v>
      </c>
      <c r="E32" s="6"/>
      <c r="F32" s="91" t="s">
        <v>94</v>
      </c>
      <c r="G32" s="92" t="s">
        <v>95</v>
      </c>
      <c r="H32" s="91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 t="s">
        <v>73</v>
      </c>
      <c r="C33" s="67">
        <f>68957*1.5</f>
        <v>103435.5</v>
      </c>
      <c r="D33" s="67">
        <f t="shared" si="21"/>
        <v>4137.42</v>
      </c>
      <c r="E33" s="6"/>
      <c r="F33" s="6" t="s">
        <v>96</v>
      </c>
      <c r="G33" s="90">
        <v>52142</v>
      </c>
      <c r="H33" s="45">
        <f>G33/G34</f>
        <v>0.983829883582709</v>
      </c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 t="s">
        <v>97</v>
      </c>
      <c r="C34" s="67">
        <f>SUM(C27:C33)</f>
        <v>2280787.87415177</v>
      </c>
      <c r="D34" s="67">
        <f>C34/E27</f>
        <v>91231.5149660707</v>
      </c>
      <c r="E34" s="6"/>
      <c r="F34" s="79" t="s">
        <v>98</v>
      </c>
      <c r="G34" s="90">
        <v>52999</v>
      </c>
      <c r="H34" s="45">
        <v>1</v>
      </c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 t="s">
        <v>99</v>
      </c>
      <c r="G35" s="90">
        <v>51375</v>
      </c>
      <c r="H35" s="45">
        <f>G35/G34</f>
        <v>0.969357912413442</v>
      </c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7"/>
      <c r="C36" s="67"/>
      <c r="D36" s="67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"/>
      <c r="C38" s="6"/>
      <c r="D38" s="6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7"/>
      <c r="C40" s="67"/>
      <c r="D40" s="67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"/>
      <c r="C41" s="6"/>
      <c r="D41" s="6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"/>
      <c r="C44" s="6"/>
      <c r="D44" s="6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7"/>
      <c r="C46" s="67"/>
      <c r="D46" s="67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"/>
      <c r="C47" s="6"/>
      <c r="D47" s="6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B48" s="67"/>
      <c r="C48" s="67"/>
      <c r="D48" s="67"/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abSelected="1" topLeftCell="I4" workbookViewId="0">
      <selection activeCell="O26" sqref="O26:AB27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12.9090909090909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O3" s="1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1.68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19005.8628898635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25%+20%</f>
        <v>0.45</v>
      </c>
      <c r="L4" s="25" t="s">
        <v>27</v>
      </c>
      <c r="M4" s="28">
        <f>8.6%*2</f>
        <v>0.172</v>
      </c>
      <c r="N4" s="6"/>
      <c r="O4" s="1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1.68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73960.5376158923</v>
      </c>
      <c r="AD4" s="13">
        <v>32</v>
      </c>
      <c r="AE4" s="13">
        <v>0</v>
      </c>
      <c r="AF4" s="14">
        <f t="shared" ref="AF4:AF8" si="7">1520/(1520+(792+8*AG4)*(1-AE4/100)*(1-AD4/100))</f>
        <v>0.596508853447193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O5" s="1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1.68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23556.9554137129</v>
      </c>
      <c r="AD5" s="13">
        <v>32</v>
      </c>
      <c r="AE5" s="13">
        <v>0</v>
      </c>
      <c r="AF5" s="14">
        <f t="shared" si="7"/>
        <v>0.596508853447193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O6" s="1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2.212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56294.1151088552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O7" s="1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2.212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31168.6763040605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O8" s="1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2.212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123288.530015203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1.68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19667.0098996443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1.68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8454.56534246597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1.68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23131.6907769869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O12" s="1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113448.229472295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35977.0982343008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</v>
      </c>
      <c r="AB17" s="22">
        <v>0.5</v>
      </c>
      <c r="AC17" s="23">
        <f t="shared" si="10"/>
        <v>290227.202596306</v>
      </c>
    </row>
    <row r="18" s="1" customFormat="1" spans="2:31">
      <c r="B18" s="25" t="s">
        <v>30</v>
      </c>
      <c r="C18" s="27">
        <v>0.12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 t="s">
        <v>73</v>
      </c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0.12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1.84784980237154</v>
      </c>
      <c r="U22" s="56">
        <f t="shared" ref="U22:U25" si="13">SUM($E$17:$E$21)</f>
        <v>1.7</v>
      </c>
      <c r="V22" s="58">
        <f t="shared" ref="V22:V30" si="14">1+$G$22*($I$22-1)</f>
        <v>3.4939</v>
      </c>
      <c r="W22" s="59">
        <f t="shared" ref="W22:W25" si="15">$K$17</f>
        <v>0.4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41765.7548194331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1.84784980237154</v>
      </c>
      <c r="U23" s="56">
        <f t="shared" si="13"/>
        <v>1.7</v>
      </c>
      <c r="V23" s="58">
        <f t="shared" si="14"/>
        <v>3.4939</v>
      </c>
      <c r="W23" s="59">
        <f t="shared" si="15"/>
        <v>0.4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20543.9886096466</v>
      </c>
      <c r="AE23" s="1">
        <v>0.9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200.8%+267.74%*3</f>
        <v>10.0402</v>
      </c>
      <c r="R24" s="57" t="s">
        <v>29</v>
      </c>
      <c r="S24" s="57">
        <f t="shared" si="11"/>
        <v>1012</v>
      </c>
      <c r="T24" s="56">
        <f t="shared" si="12"/>
        <v>1.84784980237154</v>
      </c>
      <c r="U24" s="56">
        <f t="shared" ref="U24:U30" si="18">SUM($E$17:$E$22)</f>
        <v>2.122</v>
      </c>
      <c r="V24" s="58">
        <f t="shared" si="14"/>
        <v>3.4939</v>
      </c>
      <c r="W24" s="59">
        <f t="shared" ref="W24:W28" si="19">$K$17+K$18</f>
        <v>0.65</v>
      </c>
      <c r="X24" s="58">
        <f t="shared" ref="X24:X29" si="20">$AF$4</f>
        <v>0.596508853447193</v>
      </c>
      <c r="Y24" s="57">
        <f t="shared" ref="Y24:Y30" si="21">AE$23</f>
        <v>0.9</v>
      </c>
      <c r="Z24" s="60">
        <v>0</v>
      </c>
      <c r="AA24" s="60">
        <v>0</v>
      </c>
      <c r="AB24" s="60">
        <v>0</v>
      </c>
      <c r="AC24" s="61">
        <f t="shared" si="17"/>
        <v>279593.244678975</v>
      </c>
    </row>
    <row r="25" s="1" customFormat="1" ht="15" spans="2:31">
      <c r="B25" s="63" t="s">
        <v>81</v>
      </c>
      <c r="C25" s="6"/>
      <c r="D25" s="6"/>
      <c r="E25" s="6"/>
      <c r="F25" s="6"/>
      <c r="G25" s="90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1.84784980237154</v>
      </c>
      <c r="U25" s="56">
        <f t="shared" si="13"/>
        <v>1.7</v>
      </c>
      <c r="V25" s="58">
        <f t="shared" si="14"/>
        <v>3.4939</v>
      </c>
      <c r="W25" s="59">
        <f t="shared" si="15"/>
        <v>0.4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52504.8661189474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1.84784980237154</v>
      </c>
      <c r="U26" s="56">
        <f t="shared" si="18"/>
        <v>2.122</v>
      </c>
      <c r="V26" s="58">
        <f t="shared" si="14"/>
        <v>3.4939</v>
      </c>
      <c r="W26" s="59">
        <f t="shared" si="19"/>
        <v>0.65</v>
      </c>
      <c r="X26" s="58">
        <f t="shared" si="20"/>
        <v>0.596508853447193</v>
      </c>
      <c r="Y26" s="57">
        <f t="shared" si="21"/>
        <v>0.9</v>
      </c>
      <c r="Z26" s="60">
        <v>0</v>
      </c>
      <c r="AA26" s="60">
        <v>0</v>
      </c>
      <c r="AB26" s="60">
        <v>0</v>
      </c>
      <c r="AC26" s="61">
        <f t="shared" si="17"/>
        <v>99665.7658917205</v>
      </c>
    </row>
    <row r="27" s="1" customFormat="1" spans="2:31">
      <c r="B27" s="67" t="s">
        <v>87</v>
      </c>
      <c r="C27" s="67">
        <f>SUM(AC3:AC11)</f>
        <v>378527.943366685</v>
      </c>
      <c r="D27" s="67">
        <f t="shared" ref="D27:D32" si="22">C27/E$27</f>
        <v>15141.1177346674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1.84784980237154</v>
      </c>
      <c r="U27" s="56">
        <f>SUM($E$17:$E$21)</f>
        <v>1.7</v>
      </c>
      <c r="V27" s="58">
        <f t="shared" si="14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52504.8661189474</v>
      </c>
    </row>
    <row r="28" s="1" customFormat="1" spans="2:31">
      <c r="B28" s="67" t="s">
        <v>64</v>
      </c>
      <c r="C28" s="67">
        <f>AC14</f>
        <v>113448.229472295</v>
      </c>
      <c r="D28" s="67">
        <f t="shared" si="22"/>
        <v>4537.9291788918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1.84784980237154</v>
      </c>
      <c r="U28" s="56">
        <f t="shared" si="18"/>
        <v>2.122</v>
      </c>
      <c r="V28" s="58">
        <f t="shared" si="14"/>
        <v>3.4939</v>
      </c>
      <c r="W28" s="59">
        <f t="shared" si="19"/>
        <v>0.65</v>
      </c>
      <c r="X28" s="58">
        <f t="shared" si="20"/>
        <v>0.596508853447193</v>
      </c>
      <c r="Y28" s="57">
        <f t="shared" si="21"/>
        <v>0.9</v>
      </c>
      <c r="Z28" s="60">
        <v>0</v>
      </c>
      <c r="AA28" s="60">
        <v>0</v>
      </c>
      <c r="AB28" s="60">
        <v>0</v>
      </c>
      <c r="AC28" s="61">
        <f t="shared" si="17"/>
        <v>99665.7658917205</v>
      </c>
    </row>
    <row r="29" s="1" customFormat="1" spans="2:31">
      <c r="B29" s="67" t="s">
        <v>90</v>
      </c>
      <c r="C29" s="67">
        <v>89437</v>
      </c>
      <c r="D29" s="67">
        <f t="shared" si="22"/>
        <v>3577.48</v>
      </c>
      <c r="E29" s="45"/>
      <c r="F29" s="6"/>
      <c r="G29" s="90"/>
      <c r="H29" s="6"/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1.84784980237154</v>
      </c>
      <c r="U29" s="56">
        <f t="shared" si="18"/>
        <v>2.122</v>
      </c>
      <c r="V29" s="58">
        <f t="shared" si="14"/>
        <v>3.4939</v>
      </c>
      <c r="W29" s="59">
        <f>2+W28</f>
        <v>2.65</v>
      </c>
      <c r="X29" s="58">
        <f t="shared" si="20"/>
        <v>0.596508853447193</v>
      </c>
      <c r="Y29" s="57">
        <f t="shared" si="21"/>
        <v>0.9</v>
      </c>
      <c r="Z29" s="60">
        <v>0</v>
      </c>
      <c r="AA29" s="60">
        <v>0</v>
      </c>
      <c r="AB29" s="60">
        <v>0</v>
      </c>
      <c r="AC29" s="61">
        <f t="shared" si="17"/>
        <v>142916.119378375</v>
      </c>
    </row>
    <row r="30" s="1" customFormat="1" spans="2:31">
      <c r="B30" s="67" t="s">
        <v>67</v>
      </c>
      <c r="C30" s="67">
        <f>AC15</f>
        <v>17988.8507208443</v>
      </c>
      <c r="D30" s="67">
        <f t="shared" si="22"/>
        <v>719.554028833772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1.84784980237154</v>
      </c>
      <c r="U30" s="56">
        <f t="shared" si="18"/>
        <v>2.122</v>
      </c>
      <c r="V30" s="58">
        <f t="shared" si="14"/>
        <v>3.4939</v>
      </c>
      <c r="W30" s="59">
        <f>$K$17+K$18+25%</f>
        <v>0.9</v>
      </c>
      <c r="X30" s="58">
        <f>$AF$5</f>
        <v>0.596508853447193</v>
      </c>
      <c r="Y30" s="57">
        <f t="shared" si="21"/>
        <v>0.9</v>
      </c>
      <c r="Z30" s="60">
        <v>0</v>
      </c>
      <c r="AA30" s="60">
        <v>0</v>
      </c>
      <c r="AB30" s="60">
        <v>0</v>
      </c>
      <c r="AC30" s="61">
        <f t="shared" si="17"/>
        <v>573765.857535207</v>
      </c>
    </row>
    <row r="31" s="1" customFormat="1" spans="2:31">
      <c r="B31" s="67" t="s">
        <v>93</v>
      </c>
      <c r="C31" s="67">
        <f>SUM(AC22:AC30)</f>
        <v>1362926.22904297</v>
      </c>
      <c r="D31" s="67">
        <f t="shared" si="22"/>
        <v>54517.0491617189</v>
      </c>
      <c r="E31" s="6"/>
      <c r="F31" s="6"/>
      <c r="G31" s="45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68</v>
      </c>
      <c r="C32" s="67">
        <f>AC16+AC17</f>
        <v>326204.300830607</v>
      </c>
      <c r="D32" s="67">
        <f t="shared" si="22"/>
        <v>13048.1720332243</v>
      </c>
      <c r="E32" s="6"/>
      <c r="F32" s="91" t="s">
        <v>94</v>
      </c>
      <c r="G32" s="92" t="s">
        <v>95</v>
      </c>
      <c r="H32" s="91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 t="s">
        <v>73</v>
      </c>
      <c r="C33" s="67">
        <f>68957*1.5</f>
        <v>103435.5</v>
      </c>
      <c r="D33" s="67">
        <f>C33/E$27</f>
        <v>4137.42</v>
      </c>
      <c r="E33" s="6"/>
      <c r="F33" s="6" t="s">
        <v>96</v>
      </c>
      <c r="G33" s="90">
        <v>52142</v>
      </c>
      <c r="H33" s="45">
        <f>G33/G34</f>
        <v>0.983829883582709</v>
      </c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 t="s">
        <v>97</v>
      </c>
      <c r="C34" s="67">
        <f>SUM(C27:C33)</f>
        <v>2391968.0534334</v>
      </c>
      <c r="D34" s="67">
        <f>C34/E27</f>
        <v>95678.7221373362</v>
      </c>
      <c r="E34" s="6"/>
      <c r="F34" s="79" t="s">
        <v>98</v>
      </c>
      <c r="G34" s="90">
        <v>52999</v>
      </c>
      <c r="H34" s="45">
        <v>1</v>
      </c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 t="s">
        <v>99</v>
      </c>
      <c r="G35" s="90">
        <v>51375</v>
      </c>
      <c r="H35" s="45">
        <f>G35/G34</f>
        <v>0.969357912413442</v>
      </c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7"/>
      <c r="C36" s="67"/>
      <c r="D36" s="67"/>
      <c r="E36" s="6"/>
      <c r="F36" s="67"/>
      <c r="G36" s="1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"/>
      <c r="C38" s="6"/>
      <c r="D38" s="6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7"/>
      <c r="C40" s="67"/>
      <c r="D40" s="67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"/>
      <c r="C41" s="6"/>
      <c r="D41" s="6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"/>
      <c r="C44" s="6"/>
      <c r="D44" s="6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7"/>
      <c r="C46" s="67"/>
      <c r="D46" s="67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"/>
      <c r="C47" s="6"/>
      <c r="D47" s="6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B48" s="67"/>
      <c r="C48" s="67"/>
      <c r="D48" s="67"/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H58" s="1"/>
      <c r="I58" s="1"/>
      <c r="J58" s="1"/>
      <c r="K58" s="1"/>
      <c r="L58" s="1"/>
      <c r="M58" s="1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7" workbookViewId="0">
      <selection activeCell="I21" sqref="I21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1.68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19005.8628898635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v>0.45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1.68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73960.5376158924</v>
      </c>
      <c r="AD4" s="13">
        <v>32</v>
      </c>
      <c r="AE4" s="13">
        <v>0</v>
      </c>
      <c r="AF4" s="14">
        <f t="shared" ref="AF4:AF8" si="7">1520/(1520+(792+8*AG4)*(1-AE4/100)*(1-AD4/100))</f>
        <v>0.596508853447193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1.68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23556.955413713</v>
      </c>
      <c r="AD5" s="13">
        <v>52</v>
      </c>
      <c r="AE5" s="13">
        <v>0</v>
      </c>
      <c r="AF5" s="14">
        <f t="shared" si="7"/>
        <v>0.676831005984611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10%+10%+40%</f>
        <v>0.6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2.212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56294.1151088553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v>0.24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2.212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31168.6763040605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2.212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123288.530015203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1.68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19667.0098996444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1.68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8454.56534246598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1.68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23131.6907769869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113448.229472296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35977.0982343008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</v>
      </c>
      <c r="AB17" s="22">
        <v>0.5</v>
      </c>
      <c r="AC17" s="23">
        <f t="shared" si="10"/>
        <v>290227.202596306</v>
      </c>
    </row>
    <row r="18" s="1" customFormat="1" spans="2:31">
      <c r="B18" s="25" t="s">
        <v>30</v>
      </c>
      <c r="C18" s="27">
        <v>0.12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0.12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1.84784980237154</v>
      </c>
      <c r="U22" s="56">
        <f t="shared" ref="U22:U25" si="13">SUM($E$17:$E$21)</f>
        <v>1.7</v>
      </c>
      <c r="V22" s="58">
        <f t="shared" ref="V22:V30" si="14">1+$G$22*($I$22-1)</f>
        <v>3.4939</v>
      </c>
      <c r="W22" s="59">
        <f t="shared" ref="W22:W25" si="15">$K$17</f>
        <v>0.4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41765.7548194331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1.84784980237154</v>
      </c>
      <c r="U23" s="56">
        <f t="shared" si="13"/>
        <v>1.7</v>
      </c>
      <c r="V23" s="58">
        <f t="shared" si="14"/>
        <v>3.4939</v>
      </c>
      <c r="W23" s="59">
        <f t="shared" si="15"/>
        <v>0.4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20543.9886096466</v>
      </c>
      <c r="AE23" s="1">
        <v>0.9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1.84784980237154</v>
      </c>
      <c r="U24" s="56">
        <f t="shared" ref="U24:U30" si="18">SUM($E$17:$E$22)</f>
        <v>2.122</v>
      </c>
      <c r="V24" s="58">
        <f t="shared" si="14"/>
        <v>3.4939</v>
      </c>
      <c r="W24" s="59">
        <f t="shared" ref="W24:W28" si="19">$K$17+K$18</f>
        <v>0.65</v>
      </c>
      <c r="X24" s="58">
        <f t="shared" ref="X24:X29" si="20">$AF$4</f>
        <v>0.596508853447193</v>
      </c>
      <c r="Y24" s="57">
        <f t="shared" ref="Y24:Y30" si="21">AE$23</f>
        <v>0.9</v>
      </c>
      <c r="Z24" s="60">
        <v>0</v>
      </c>
      <c r="AA24" s="60">
        <v>0</v>
      </c>
      <c r="AB24" s="60">
        <v>0</v>
      </c>
      <c r="AC24" s="61">
        <f t="shared" si="17"/>
        <v>232531.175844941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1.84784980237154</v>
      </c>
      <c r="U25" s="56">
        <f t="shared" si="13"/>
        <v>1.7</v>
      </c>
      <c r="V25" s="58">
        <f t="shared" si="14"/>
        <v>3.4939</v>
      </c>
      <c r="W25" s="59">
        <f t="shared" si="15"/>
        <v>0.4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52504.8661189474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1.84784980237154</v>
      </c>
      <c r="U26" s="56">
        <f t="shared" si="18"/>
        <v>2.122</v>
      </c>
      <c r="V26" s="58">
        <f t="shared" si="14"/>
        <v>3.4939</v>
      </c>
      <c r="W26" s="59">
        <f t="shared" si="19"/>
        <v>0.65</v>
      </c>
      <c r="X26" s="58">
        <f t="shared" si="20"/>
        <v>0.596508853447193</v>
      </c>
      <c r="Y26" s="57">
        <f t="shared" si="21"/>
        <v>0.9</v>
      </c>
      <c r="Z26" s="60">
        <v>0</v>
      </c>
      <c r="AA26" s="60">
        <v>0</v>
      </c>
      <c r="AB26" s="60">
        <v>0</v>
      </c>
      <c r="AC26" s="61">
        <f t="shared" si="17"/>
        <v>99665.7658917204</v>
      </c>
    </row>
    <row r="27" s="1" customFormat="1" spans="2:31">
      <c r="B27" s="67" t="s">
        <v>87</v>
      </c>
      <c r="C27" s="67">
        <f>SUM(AC3:AC11)</f>
        <v>378527.943366685</v>
      </c>
      <c r="D27" s="67">
        <f t="shared" ref="D27:D32" si="22">C27/E$27</f>
        <v>15141.1177346674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1.84784980237154</v>
      </c>
      <c r="U27" s="56">
        <f>SUM($E$17:$E$21)</f>
        <v>1.7</v>
      </c>
      <c r="V27" s="58">
        <f t="shared" si="14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52504.8661189474</v>
      </c>
    </row>
    <row r="28" s="1" customFormat="1" spans="2:31">
      <c r="B28" s="67" t="s">
        <v>64</v>
      </c>
      <c r="C28" s="67">
        <f>AC14</f>
        <v>113448.229472296</v>
      </c>
      <c r="D28" s="67">
        <f t="shared" si="22"/>
        <v>4537.92917889182</v>
      </c>
      <c r="E28" s="6"/>
      <c r="F28" s="6"/>
      <c r="G28" s="45"/>
      <c r="H28" s="6">
        <v>88140</v>
      </c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1.84784980237154</v>
      </c>
      <c r="U28" s="56">
        <f t="shared" si="18"/>
        <v>2.122</v>
      </c>
      <c r="V28" s="58">
        <f t="shared" si="14"/>
        <v>3.4939</v>
      </c>
      <c r="W28" s="59">
        <f t="shared" si="19"/>
        <v>0.65</v>
      </c>
      <c r="X28" s="58">
        <f t="shared" si="20"/>
        <v>0.596508853447193</v>
      </c>
      <c r="Y28" s="57">
        <f t="shared" si="21"/>
        <v>0.9</v>
      </c>
      <c r="Z28" s="60">
        <v>0</v>
      </c>
      <c r="AA28" s="60">
        <v>0</v>
      </c>
      <c r="AB28" s="60">
        <v>0</v>
      </c>
      <c r="AC28" s="61">
        <f t="shared" si="17"/>
        <v>99665.7658917204</v>
      </c>
    </row>
    <row r="29" s="1" customFormat="1" spans="2:31">
      <c r="B29" s="67" t="s">
        <v>90</v>
      </c>
      <c r="C29" s="67">
        <v>59877</v>
      </c>
      <c r="D29" s="67">
        <f t="shared" si="22"/>
        <v>2395.08</v>
      </c>
      <c r="E29" s="45"/>
      <c r="F29" s="6"/>
      <c r="G29" s="45"/>
      <c r="H29" s="6">
        <v>95869</v>
      </c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1.84784980237154</v>
      </c>
      <c r="U29" s="56">
        <f t="shared" si="18"/>
        <v>2.122</v>
      </c>
      <c r="V29" s="58">
        <f>1+$G$22*($I$22-1+3)</f>
        <v>6.4279</v>
      </c>
      <c r="W29" s="59">
        <f>2+W28</f>
        <v>2.65</v>
      </c>
      <c r="X29" s="58">
        <f t="shared" si="20"/>
        <v>0.596508853447193</v>
      </c>
      <c r="Y29" s="57">
        <f t="shared" si="21"/>
        <v>0.9</v>
      </c>
      <c r="Z29" s="60">
        <v>0</v>
      </c>
      <c r="AA29" s="60">
        <v>0</v>
      </c>
      <c r="AB29" s="60">
        <v>0</v>
      </c>
      <c r="AC29" s="61">
        <f t="shared" si="17"/>
        <v>262929.827342585</v>
      </c>
    </row>
    <row r="30" s="1" customFormat="1" spans="2:31">
      <c r="B30" s="67" t="s">
        <v>67</v>
      </c>
      <c r="C30" s="67">
        <f>AC15</f>
        <v>17988.8507208443</v>
      </c>
      <c r="D30" s="67">
        <f t="shared" si="22"/>
        <v>719.554028833773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1.84784980237154</v>
      </c>
      <c r="U30" s="56">
        <f t="shared" si="18"/>
        <v>2.122</v>
      </c>
      <c r="V30" s="58">
        <f t="shared" si="14"/>
        <v>3.4939</v>
      </c>
      <c r="W30" s="59">
        <f>$K$17+K$18</f>
        <v>0.65</v>
      </c>
      <c r="X30" s="58">
        <f>$AF$5</f>
        <v>0.676831005984611</v>
      </c>
      <c r="Y30" s="57">
        <f t="shared" si="21"/>
        <v>0.9</v>
      </c>
      <c r="Z30" s="60">
        <v>0</v>
      </c>
      <c r="AA30" s="60">
        <v>0</v>
      </c>
      <c r="AB30" s="60">
        <v>0</v>
      </c>
      <c r="AC30" s="61">
        <f t="shared" si="17"/>
        <v>565364.319858875</v>
      </c>
    </row>
    <row r="31" s="1" customFormat="1" spans="2:31">
      <c r="B31" s="67" t="s">
        <v>93</v>
      </c>
      <c r="C31" s="67">
        <f>SUM(AC22:AC30)</f>
        <v>1427476.33049682</v>
      </c>
      <c r="D31" s="67">
        <f t="shared" si="22"/>
        <v>57099.0532198726</v>
      </c>
      <c r="E31" s="6"/>
      <c r="F31" s="6"/>
      <c r="G31" s="45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68</v>
      </c>
      <c r="C32" s="67">
        <f>AC16+AC17</f>
        <v>326204.300830607</v>
      </c>
      <c r="D32" s="67">
        <f t="shared" si="22"/>
        <v>13048.1720332243</v>
      </c>
      <c r="E32" s="6"/>
      <c r="F32" s="6"/>
      <c r="G32" s="45"/>
      <c r="H32" s="6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 t="s">
        <v>97</v>
      </c>
      <c r="C33" s="67">
        <f>SUM(C27:C32)</f>
        <v>2323522.65488725</v>
      </c>
      <c r="D33" s="67">
        <f>C33/E27</f>
        <v>92940.9061954899</v>
      </c>
      <c r="E33" s="6"/>
      <c r="F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"/>
      <c r="C40" s="6"/>
      <c r="D40" s="6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"/>
      <c r="C43" s="6"/>
      <c r="D43" s="6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"/>
      <c r="C46" s="6"/>
      <c r="D46" s="6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7"/>
      <c r="C47" s="67"/>
      <c r="D47" s="67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10" workbookViewId="0">
      <selection activeCell="J28" sqref="J2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1.68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19005.8628898635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v>0.45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1.68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73960.5376158924</v>
      </c>
      <c r="AD4" s="13">
        <v>32</v>
      </c>
      <c r="AE4" s="13">
        <v>0</v>
      </c>
      <c r="AF4" s="14">
        <f t="shared" ref="AF4:AF8" si="7">1520/(1520+(792+8*AG4)*(1-AE4/100)*(1-AD4/100))</f>
        <v>0.596508853447193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1.68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23556.955413713</v>
      </c>
      <c r="AD5" s="13">
        <v>52</v>
      </c>
      <c r="AE5" s="13">
        <v>0</v>
      </c>
      <c r="AF5" s="14">
        <f t="shared" si="7"/>
        <v>0.676831005984611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10%+10%+40%</f>
        <v>0.6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2.212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56294.1151088553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v>0.24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2.212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31168.6763040605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2.212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123288.530015203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1.68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19667.0098996444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1.68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8454.56534246598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1.68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23131.6907769869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113448.229472295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35977.0982343008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0.8</v>
      </c>
      <c r="AB17" s="22">
        <v>0.5</v>
      </c>
      <c r="AC17" s="23">
        <f t="shared" si="10"/>
        <v>522408.964673351</v>
      </c>
    </row>
    <row r="18" s="1" customFormat="1" spans="2:31">
      <c r="B18" s="25" t="s">
        <v>30</v>
      </c>
      <c r="C18" s="27">
        <v>0.12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0.12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1.84784980237154</v>
      </c>
      <c r="U22" s="56">
        <f t="shared" ref="U22:U25" si="13">SUM($E$17:$E$21)</f>
        <v>1.7</v>
      </c>
      <c r="V22" s="58">
        <f t="shared" ref="V22:V28" si="14">1+$G$22*($I$22-1)</f>
        <v>3.4939</v>
      </c>
      <c r="W22" s="59">
        <f t="shared" ref="W22:W25" si="15">$K$17</f>
        <v>0.4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41765.7548194331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1.84784980237154</v>
      </c>
      <c r="U23" s="56">
        <f t="shared" si="13"/>
        <v>1.7</v>
      </c>
      <c r="V23" s="58">
        <f t="shared" si="14"/>
        <v>3.4939</v>
      </c>
      <c r="W23" s="59">
        <f t="shared" si="15"/>
        <v>0.4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20543.9886096466</v>
      </c>
      <c r="AE23" s="1">
        <v>0.9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1.84784980237154</v>
      </c>
      <c r="U24" s="56">
        <f t="shared" ref="U24:U30" si="18">SUM($E$17:$E$22)</f>
        <v>2.122</v>
      </c>
      <c r="V24" s="58">
        <f t="shared" si="14"/>
        <v>3.4939</v>
      </c>
      <c r="W24" s="59">
        <f t="shared" ref="W24:W28" si="19">$K$17+K$18</f>
        <v>0.65</v>
      </c>
      <c r="X24" s="58">
        <f t="shared" ref="X24:X29" si="20">$AF$4</f>
        <v>0.596508853447193</v>
      </c>
      <c r="Y24" s="57">
        <f t="shared" ref="Y24:Y30" si="21">AE$23</f>
        <v>0.9</v>
      </c>
      <c r="Z24" s="60">
        <v>0</v>
      </c>
      <c r="AA24" s="60">
        <v>0</v>
      </c>
      <c r="AB24" s="60">
        <v>0</v>
      </c>
      <c r="AC24" s="61">
        <f t="shared" si="17"/>
        <v>232531.175844941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1.84784980237154</v>
      </c>
      <c r="U25" s="56">
        <f t="shared" si="13"/>
        <v>1.7</v>
      </c>
      <c r="V25" s="58">
        <f t="shared" si="14"/>
        <v>3.4939</v>
      </c>
      <c r="W25" s="59">
        <f t="shared" si="15"/>
        <v>0.4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52504.8661189474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1.84784980237154</v>
      </c>
      <c r="U26" s="56">
        <f t="shared" si="18"/>
        <v>2.122</v>
      </c>
      <c r="V26" s="58">
        <f t="shared" si="14"/>
        <v>3.4939</v>
      </c>
      <c r="W26" s="59">
        <f t="shared" si="19"/>
        <v>0.65</v>
      </c>
      <c r="X26" s="58">
        <f t="shared" si="20"/>
        <v>0.596508853447193</v>
      </c>
      <c r="Y26" s="57">
        <f t="shared" si="21"/>
        <v>0.9</v>
      </c>
      <c r="Z26" s="60">
        <v>1</v>
      </c>
      <c r="AA26" s="60">
        <v>0</v>
      </c>
      <c r="AB26" s="60">
        <v>0</v>
      </c>
      <c r="AC26" s="61">
        <f t="shared" si="17"/>
        <v>199331.531783441</v>
      </c>
    </row>
    <row r="27" s="1" customFormat="1" spans="2:31">
      <c r="B27" s="67" t="s">
        <v>87</v>
      </c>
      <c r="C27" s="67">
        <f>SUM(AC3:AC11)</f>
        <v>378527.943366685</v>
      </c>
      <c r="D27" s="67">
        <f t="shared" ref="D27:D32" si="22">C27/E$27</f>
        <v>15141.1177346674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1.84784980237154</v>
      </c>
      <c r="U27" s="56">
        <f>SUM($E$17:$E$21)</f>
        <v>1.7</v>
      </c>
      <c r="V27" s="58">
        <f t="shared" si="14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52504.8661189474</v>
      </c>
    </row>
    <row r="28" s="1" customFormat="1" spans="2:31">
      <c r="B28" s="67" t="s">
        <v>64</v>
      </c>
      <c r="C28" s="67">
        <f>AC14</f>
        <v>113448.229472295</v>
      </c>
      <c r="D28" s="67">
        <f t="shared" si="22"/>
        <v>4537.92917889182</v>
      </c>
      <c r="E28" s="6"/>
      <c r="F28" s="6"/>
      <c r="G28" s="45"/>
      <c r="H28" s="6">
        <v>88140</v>
      </c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1.84784980237154</v>
      </c>
      <c r="U28" s="56">
        <f t="shared" si="18"/>
        <v>2.122</v>
      </c>
      <c r="V28" s="58">
        <f t="shared" si="14"/>
        <v>3.4939</v>
      </c>
      <c r="W28" s="59">
        <f t="shared" si="19"/>
        <v>0.65</v>
      </c>
      <c r="X28" s="58">
        <f t="shared" si="20"/>
        <v>0.596508853447193</v>
      </c>
      <c r="Y28" s="57">
        <f t="shared" si="21"/>
        <v>0.9</v>
      </c>
      <c r="Z28" s="60">
        <v>1</v>
      </c>
      <c r="AA28" s="60">
        <v>0</v>
      </c>
      <c r="AB28" s="60">
        <v>0</v>
      </c>
      <c r="AC28" s="61">
        <f t="shared" si="17"/>
        <v>199331.531783441</v>
      </c>
    </row>
    <row r="29" s="1" customFormat="1" spans="2:31">
      <c r="B29" s="67" t="s">
        <v>90</v>
      </c>
      <c r="C29" s="67">
        <v>59877</v>
      </c>
      <c r="D29" s="67">
        <f t="shared" si="22"/>
        <v>2395.08</v>
      </c>
      <c r="E29" s="45"/>
      <c r="F29" s="6"/>
      <c r="G29" s="45"/>
      <c r="H29" s="6">
        <v>95869</v>
      </c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1.84784980237154</v>
      </c>
      <c r="U29" s="56">
        <f t="shared" si="18"/>
        <v>2.122</v>
      </c>
      <c r="V29" s="58">
        <f>1+$G$22*($I$22-1+3)</f>
        <v>6.4279</v>
      </c>
      <c r="W29" s="59">
        <f>2+W28</f>
        <v>2.65</v>
      </c>
      <c r="X29" s="58">
        <f t="shared" si="20"/>
        <v>0.596508853447193</v>
      </c>
      <c r="Y29" s="57">
        <f t="shared" si="21"/>
        <v>0.9</v>
      </c>
      <c r="Z29" s="60">
        <v>0</v>
      </c>
      <c r="AA29" s="60">
        <v>0</v>
      </c>
      <c r="AB29" s="60">
        <v>0</v>
      </c>
      <c r="AC29" s="61">
        <f t="shared" si="17"/>
        <v>262929.827342585</v>
      </c>
    </row>
    <row r="30" s="1" customFormat="1" spans="2:31">
      <c r="B30" s="67" t="s">
        <v>67</v>
      </c>
      <c r="C30" s="67">
        <f>AC15</f>
        <v>17988.8507208443</v>
      </c>
      <c r="D30" s="67">
        <f t="shared" si="22"/>
        <v>719.554028833773</v>
      </c>
      <c r="E30" s="45"/>
      <c r="F30" s="6"/>
      <c r="G30" s="45"/>
      <c r="H30" s="6">
        <v>113576</v>
      </c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1.84784980237154</v>
      </c>
      <c r="U30" s="56">
        <f t="shared" si="18"/>
        <v>2.122</v>
      </c>
      <c r="V30" s="58">
        <f>1+$G$22*($I$22-1)</f>
        <v>3.4939</v>
      </c>
      <c r="W30" s="59">
        <f>$K$17+K$18</f>
        <v>0.65</v>
      </c>
      <c r="X30" s="58">
        <f>$AF$5</f>
        <v>0.676831005984611</v>
      </c>
      <c r="Y30" s="57">
        <f t="shared" si="21"/>
        <v>0.9</v>
      </c>
      <c r="Z30" s="60">
        <v>0</v>
      </c>
      <c r="AA30" s="60">
        <v>0</v>
      </c>
      <c r="AB30" s="60">
        <v>0</v>
      </c>
      <c r="AC30" s="61">
        <f t="shared" si="17"/>
        <v>565364.319858875</v>
      </c>
    </row>
    <row r="31" s="1" customFormat="1" spans="2:31">
      <c r="B31" s="67" t="s">
        <v>93</v>
      </c>
      <c r="C31" s="67">
        <f>SUM(AC22:AC30)</f>
        <v>1626807.86228026</v>
      </c>
      <c r="D31" s="67">
        <f t="shared" si="22"/>
        <v>65072.3144912103</v>
      </c>
      <c r="E31" s="6"/>
      <c r="F31" s="6"/>
      <c r="G31" s="45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68</v>
      </c>
      <c r="C32" s="67">
        <f>AC16+AC17</f>
        <v>558386.062907651</v>
      </c>
      <c r="D32" s="67">
        <f t="shared" si="22"/>
        <v>22335.4425163061</v>
      </c>
      <c r="E32" s="6"/>
      <c r="F32" s="6"/>
      <c r="G32" s="45"/>
      <c r="H32" s="6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 t="s">
        <v>97</v>
      </c>
      <c r="C33" s="67">
        <f>SUM(C27:C32)</f>
        <v>2755035.94874773</v>
      </c>
      <c r="D33" s="67">
        <f>C33/E27</f>
        <v>110201.437949909</v>
      </c>
      <c r="E33" s="6"/>
      <c r="F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"/>
      <c r="C40" s="6"/>
      <c r="D40" s="6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"/>
      <c r="C43" s="6"/>
      <c r="D43" s="6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"/>
      <c r="C46" s="6"/>
      <c r="D46" s="6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7"/>
      <c r="C47" s="67"/>
      <c r="D47" s="67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14" workbookViewId="0">
      <selection activeCell="E18" sqref="E1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1.68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19005.8628898635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v>0.45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1.68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73960.5376158923</v>
      </c>
      <c r="AD4" s="13">
        <v>32</v>
      </c>
      <c r="AE4" s="13">
        <v>0</v>
      </c>
      <c r="AF4" s="14">
        <f t="shared" ref="AF4:AF8" si="7">1520/(1520+(792+8*AG4)*(1-AE4/100)*(1-AD4/100))</f>
        <v>0.596508853447193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1.68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23556.9554137129</v>
      </c>
      <c r="AD5" s="13">
        <v>52</v>
      </c>
      <c r="AE5" s="13">
        <v>0</v>
      </c>
      <c r="AF5" s="14">
        <f t="shared" si="7"/>
        <v>0.676831005984611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10%+10%+40%</f>
        <v>0.6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2.212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56294.1151088552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v>0.24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2.212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31168.6763040605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2.212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123288.530015203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1.68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19667.0098996443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1.68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8454.56534246597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1.68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23131.6907769869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113448.229472295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35977.0982343008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0.8</v>
      </c>
      <c r="AB17" s="22">
        <v>0.5</v>
      </c>
      <c r="AC17" s="23">
        <f t="shared" si="10"/>
        <v>522408.964673351</v>
      </c>
    </row>
    <row r="18" s="1" customFormat="1" spans="2:31">
      <c r="B18" s="25" t="s">
        <v>30</v>
      </c>
      <c r="C18" s="27">
        <v>0.12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0.12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1.84784980237154</v>
      </c>
      <c r="U22" s="56">
        <f t="shared" ref="U22:U25" si="13">SUM($E$17:$E$21)</f>
        <v>1.7</v>
      </c>
      <c r="V22" s="58">
        <f t="shared" ref="V22:V28" si="14">1+$G$22*($I$22-1)</f>
        <v>3.4939</v>
      </c>
      <c r="W22" s="59">
        <f t="shared" ref="W22:W25" si="15">$K$17</f>
        <v>0.4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41765.7548194331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1.84784980237154</v>
      </c>
      <c r="U23" s="56">
        <f t="shared" si="13"/>
        <v>1.7</v>
      </c>
      <c r="V23" s="58">
        <f t="shared" si="14"/>
        <v>3.4939</v>
      </c>
      <c r="W23" s="59">
        <f t="shared" si="15"/>
        <v>0.4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20543.9886096466</v>
      </c>
      <c r="AE23" s="1">
        <v>0.9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1.84784980237154</v>
      </c>
      <c r="U24" s="56">
        <f t="shared" ref="U24:U30" si="18">SUM($E$17:$E$22)</f>
        <v>2.122</v>
      </c>
      <c r="V24" s="58">
        <f t="shared" si="14"/>
        <v>3.4939</v>
      </c>
      <c r="W24" s="59">
        <f t="shared" ref="W24:W28" si="19">$K$17+K$18</f>
        <v>0.65</v>
      </c>
      <c r="X24" s="58">
        <f t="shared" ref="X24:X29" si="20">$AF$4</f>
        <v>0.596508853447193</v>
      </c>
      <c r="Y24" s="57">
        <f t="shared" ref="Y24:Y30" si="21">AE$23</f>
        <v>0.9</v>
      </c>
      <c r="Z24" s="60">
        <v>0</v>
      </c>
      <c r="AA24" s="60">
        <v>0</v>
      </c>
      <c r="AB24" s="60">
        <v>0</v>
      </c>
      <c r="AC24" s="61">
        <f t="shared" si="17"/>
        <v>232531.175844941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1.84784980237154</v>
      </c>
      <c r="U25" s="56">
        <f t="shared" si="13"/>
        <v>1.7</v>
      </c>
      <c r="V25" s="58">
        <f t="shared" si="14"/>
        <v>3.4939</v>
      </c>
      <c r="W25" s="59">
        <f t="shared" si="15"/>
        <v>0.4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52504.8661189474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1.84784980237154</v>
      </c>
      <c r="U26" s="56">
        <f t="shared" si="18"/>
        <v>2.122</v>
      </c>
      <c r="V26" s="58">
        <f t="shared" si="14"/>
        <v>3.4939</v>
      </c>
      <c r="W26" s="59">
        <f t="shared" si="19"/>
        <v>0.65</v>
      </c>
      <c r="X26" s="58">
        <f t="shared" si="20"/>
        <v>0.596508853447193</v>
      </c>
      <c r="Y26" s="57">
        <f t="shared" si="21"/>
        <v>0.9</v>
      </c>
      <c r="Z26" s="60">
        <v>1</v>
      </c>
      <c r="AA26" s="60">
        <v>0</v>
      </c>
      <c r="AB26" s="60">
        <v>0</v>
      </c>
      <c r="AC26" s="61">
        <f t="shared" si="17"/>
        <v>199331.531783441</v>
      </c>
    </row>
    <row r="27" s="1" customFormat="1" spans="2:31">
      <c r="B27" s="67" t="s">
        <v>87</v>
      </c>
      <c r="C27" s="67">
        <f>SUM(AC3:AC11)</f>
        <v>378527.943366685</v>
      </c>
      <c r="D27" s="67">
        <f t="shared" ref="D27:D32" si="22">C27/E$27</f>
        <v>15141.1177346674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1.84784980237154</v>
      </c>
      <c r="U27" s="56">
        <f>SUM($E$17:$E$21)</f>
        <v>1.7</v>
      </c>
      <c r="V27" s="58">
        <f t="shared" si="14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52504.8661189474</v>
      </c>
    </row>
    <row r="28" s="1" customFormat="1" spans="2:31">
      <c r="B28" s="67" t="s">
        <v>64</v>
      </c>
      <c r="C28" s="67">
        <f>AC14</f>
        <v>113448.229472295</v>
      </c>
      <c r="D28" s="67">
        <f t="shared" si="22"/>
        <v>4537.92917889182</v>
      </c>
      <c r="E28" s="6"/>
      <c r="F28" s="6"/>
      <c r="G28" s="45"/>
      <c r="H28" s="6">
        <v>88140</v>
      </c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1.84784980237154</v>
      </c>
      <c r="U28" s="56">
        <f t="shared" si="18"/>
        <v>2.122</v>
      </c>
      <c r="V28" s="58">
        <f t="shared" si="14"/>
        <v>3.4939</v>
      </c>
      <c r="W28" s="59">
        <f t="shared" si="19"/>
        <v>0.65</v>
      </c>
      <c r="X28" s="58">
        <f t="shared" si="20"/>
        <v>0.596508853447193</v>
      </c>
      <c r="Y28" s="57">
        <f t="shared" si="21"/>
        <v>0.9</v>
      </c>
      <c r="Z28" s="60">
        <v>1</v>
      </c>
      <c r="AA28" s="60">
        <v>0</v>
      </c>
      <c r="AB28" s="60">
        <v>0</v>
      </c>
      <c r="AC28" s="61">
        <f t="shared" si="17"/>
        <v>199331.531783441</v>
      </c>
    </row>
    <row r="29" s="1" customFormat="1" spans="2:31">
      <c r="B29" s="67" t="s">
        <v>90</v>
      </c>
      <c r="C29" s="67">
        <v>59877</v>
      </c>
      <c r="D29" s="67">
        <f t="shared" si="22"/>
        <v>2395.08</v>
      </c>
      <c r="E29" s="45"/>
      <c r="F29" s="6"/>
      <c r="G29" s="45"/>
      <c r="H29" s="6">
        <v>95869</v>
      </c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1.84784980237154</v>
      </c>
      <c r="U29" s="56">
        <f t="shared" si="18"/>
        <v>2.122</v>
      </c>
      <c r="V29" s="58">
        <f>1+$G$22*($I$22-1+3)</f>
        <v>6.4279</v>
      </c>
      <c r="W29" s="59">
        <f>2+W28</f>
        <v>2.65</v>
      </c>
      <c r="X29" s="58">
        <f t="shared" si="20"/>
        <v>0.596508853447193</v>
      </c>
      <c r="Y29" s="57">
        <f t="shared" si="21"/>
        <v>0.9</v>
      </c>
      <c r="Z29" s="60">
        <v>0</v>
      </c>
      <c r="AA29" s="60">
        <v>0</v>
      </c>
      <c r="AB29" s="60">
        <v>0</v>
      </c>
      <c r="AC29" s="61">
        <f t="shared" si="17"/>
        <v>262929.827342585</v>
      </c>
    </row>
    <row r="30" s="1" customFormat="1" spans="2:31">
      <c r="B30" s="67" t="s">
        <v>67</v>
      </c>
      <c r="C30" s="67">
        <f>AC15</f>
        <v>17988.8507208443</v>
      </c>
      <c r="D30" s="67">
        <f t="shared" si="22"/>
        <v>719.554028833773</v>
      </c>
      <c r="E30" s="45"/>
      <c r="F30" s="6"/>
      <c r="G30" s="45"/>
      <c r="H30" s="6">
        <v>113576</v>
      </c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1.84784980237154</v>
      </c>
      <c r="U30" s="56">
        <f t="shared" si="18"/>
        <v>2.122</v>
      </c>
      <c r="V30" s="58">
        <f>1+$G$22*($I$22-1)</f>
        <v>3.4939</v>
      </c>
      <c r="W30" s="59">
        <f>$K$17+K$18</f>
        <v>0.65</v>
      </c>
      <c r="X30" s="58">
        <f>$AF$5</f>
        <v>0.676831005984611</v>
      </c>
      <c r="Y30" s="57">
        <f t="shared" si="21"/>
        <v>0.9</v>
      </c>
      <c r="Z30" s="60">
        <v>1</v>
      </c>
      <c r="AA30" s="60">
        <v>0</v>
      </c>
      <c r="AB30" s="60">
        <v>0</v>
      </c>
      <c r="AC30" s="61">
        <f t="shared" si="17"/>
        <v>1130728.63971775</v>
      </c>
    </row>
    <row r="31" s="1" customFormat="1" spans="2:31">
      <c r="B31" s="67" t="s">
        <v>93</v>
      </c>
      <c r="C31" s="67">
        <f>SUM(AC22:AC30)</f>
        <v>2192172.18213913</v>
      </c>
      <c r="D31" s="67">
        <f t="shared" si="22"/>
        <v>87686.8872855653</v>
      </c>
      <c r="E31" s="6"/>
      <c r="F31" s="6"/>
      <c r="G31" s="45"/>
      <c r="H31" s="1">
        <v>137456</v>
      </c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68</v>
      </c>
      <c r="C32" s="67">
        <f>AC16+AC17</f>
        <v>558386.062907651</v>
      </c>
      <c r="D32" s="67">
        <f t="shared" si="22"/>
        <v>22335.4425163061</v>
      </c>
      <c r="E32" s="6"/>
      <c r="F32" s="6"/>
      <c r="G32" s="45"/>
      <c r="H32" s="6">
        <v>144467</v>
      </c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 t="s">
        <v>97</v>
      </c>
      <c r="C33" s="67">
        <f>SUM(C27:C32)</f>
        <v>3320400.26860661</v>
      </c>
      <c r="D33" s="67">
        <f>C33/E27</f>
        <v>132816.010744264</v>
      </c>
      <c r="E33" s="6"/>
      <c r="F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"/>
      <c r="C40" s="6"/>
      <c r="D40" s="6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"/>
      <c r="C43" s="6"/>
      <c r="D43" s="6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"/>
      <c r="C46" s="6"/>
      <c r="D46" s="6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7"/>
      <c r="C47" s="67"/>
      <c r="D47" s="67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10" workbookViewId="0">
      <selection activeCell="D36" sqref="D3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1.88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20424.210866719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v>0.45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1.88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79479.980721556</v>
      </c>
      <c r="AD4" s="13">
        <v>32</v>
      </c>
      <c r="AE4" s="13">
        <v>0</v>
      </c>
      <c r="AF4" s="14">
        <f t="shared" ref="AF4:AF8" si="7">1520/(1520+(792+8*AG4)*(1-AE4/100)*(1-AD4/100))</f>
        <v>0.596508853447193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>
        <v>0.2</v>
      </c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1.88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25314.937161005</v>
      </c>
      <c r="AD5" s="13">
        <v>52</v>
      </c>
      <c r="AE5" s="13">
        <v>0</v>
      </c>
      <c r="AF5" s="14">
        <f t="shared" si="7"/>
        <v>0.676831005984611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10%+10%+40%</f>
        <v>0.6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2.412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59799.3526623332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v>0.24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2.412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33109.440706555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2.412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130965.275346162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1.88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21134.697205588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1.88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9085.50305459031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1.88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24857.9363573591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113448.229472295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2.4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86345.0357623218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2.4</v>
      </c>
      <c r="W17" s="21">
        <v>0</v>
      </c>
      <c r="X17" s="49">
        <f t="shared" si="9"/>
        <v>0.50131926121372</v>
      </c>
      <c r="Y17" s="19">
        <v>0.8</v>
      </c>
      <c r="Z17" s="22">
        <v>2.4</v>
      </c>
      <c r="AA17" s="22">
        <v>0.8</v>
      </c>
      <c r="AB17" s="22">
        <v>0.5</v>
      </c>
      <c r="AC17" s="23">
        <f t="shared" si="10"/>
        <v>1937662.34169752</v>
      </c>
    </row>
    <row r="18" s="1" customFormat="1" spans="2:31">
      <c r="B18" s="25" t="s">
        <v>30</v>
      </c>
      <c r="C18" s="27">
        <v>0.12</v>
      </c>
      <c r="D18" s="25" t="s">
        <v>70</v>
      </c>
      <c r="E18" s="27">
        <v>0.2</v>
      </c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0.12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1.84784980237154</v>
      </c>
      <c r="U22" s="56">
        <f t="shared" ref="U22:U25" si="13">SUM($E$17:$E$21)</f>
        <v>1.9</v>
      </c>
      <c r="V22" s="58">
        <f t="shared" ref="V22:V28" si="14">1+$G$22*($I$22-1)</f>
        <v>3.4939</v>
      </c>
      <c r="W22" s="59">
        <f t="shared" ref="W22:W25" si="15">$K$17</f>
        <v>0.4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44859.5144356874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1.84784980237154</v>
      </c>
      <c r="U23" s="56">
        <f t="shared" si="13"/>
        <v>1.9</v>
      </c>
      <c r="V23" s="58">
        <f t="shared" si="14"/>
        <v>3.4939</v>
      </c>
      <c r="W23" s="59">
        <f t="shared" si="15"/>
        <v>0.4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22065.7655436945</v>
      </c>
      <c r="AE23" s="1">
        <v>0.9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1.84784980237154</v>
      </c>
      <c r="U24" s="56">
        <f t="shared" ref="U24:U30" si="18">SUM($E$17:$E$22)</f>
        <v>2.322</v>
      </c>
      <c r="V24" s="58">
        <f t="shared" si="14"/>
        <v>3.4939</v>
      </c>
      <c r="W24" s="59">
        <f t="shared" ref="W24:W28" si="19">$K$17+K$18</f>
        <v>0.65</v>
      </c>
      <c r="X24" s="58">
        <f t="shared" ref="X24:X29" si="20">$AF$4</f>
        <v>0.596508853447193</v>
      </c>
      <c r="Y24" s="57">
        <f t="shared" ref="Y24:Y30" si="21">AE$23</f>
        <v>0.9</v>
      </c>
      <c r="Z24" s="60">
        <v>0</v>
      </c>
      <c r="AA24" s="60">
        <v>0.4</v>
      </c>
      <c r="AB24" s="60">
        <v>0</v>
      </c>
      <c r="AC24" s="61">
        <f t="shared" si="17"/>
        <v>346398.460160042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1.84784980237154</v>
      </c>
      <c r="U25" s="56">
        <f t="shared" si="13"/>
        <v>1.9</v>
      </c>
      <c r="V25" s="58">
        <f t="shared" si="14"/>
        <v>3.4939</v>
      </c>
      <c r="W25" s="59">
        <f t="shared" si="15"/>
        <v>0.4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56394.1154610917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1.84784980237154</v>
      </c>
      <c r="U26" s="56">
        <f t="shared" si="18"/>
        <v>2.322</v>
      </c>
      <c r="V26" s="58">
        <f t="shared" si="14"/>
        <v>3.4939</v>
      </c>
      <c r="W26" s="59">
        <f t="shared" si="19"/>
        <v>0.65</v>
      </c>
      <c r="X26" s="58">
        <f t="shared" si="20"/>
        <v>0.596508853447193</v>
      </c>
      <c r="Y26" s="57">
        <f t="shared" si="21"/>
        <v>0.9</v>
      </c>
      <c r="Z26" s="60">
        <v>1</v>
      </c>
      <c r="AA26" s="60">
        <v>0.4</v>
      </c>
      <c r="AB26" s="60">
        <v>0</v>
      </c>
      <c r="AC26" s="61">
        <f t="shared" si="17"/>
        <v>296941.411921341</v>
      </c>
    </row>
    <row r="27" s="1" customFormat="1" spans="2:31">
      <c r="B27" s="67" t="s">
        <v>87</v>
      </c>
      <c r="C27" s="67">
        <f>SUM(AC3:AC11)</f>
        <v>404171.334081868</v>
      </c>
      <c r="D27" s="67">
        <f t="shared" ref="D27:D32" si="22">C27/E$27</f>
        <v>16166.8533632747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1.84784980237154</v>
      </c>
      <c r="U27" s="56">
        <f>SUM($E$17:$E$21)</f>
        <v>1.9</v>
      </c>
      <c r="V27" s="58">
        <f t="shared" si="14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56394.1154610917</v>
      </c>
    </row>
    <row r="28" s="1" customFormat="1" spans="2:31">
      <c r="B28" s="67" t="s">
        <v>64</v>
      </c>
      <c r="C28" s="67">
        <f>AC14</f>
        <v>113448.229472295</v>
      </c>
      <c r="D28" s="67">
        <f t="shared" si="22"/>
        <v>4537.92917889182</v>
      </c>
      <c r="E28" s="6"/>
      <c r="F28" s="6"/>
      <c r="G28" s="45"/>
      <c r="H28" s="6">
        <v>88140</v>
      </c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1.84784980237154</v>
      </c>
      <c r="U28" s="56">
        <f t="shared" si="18"/>
        <v>2.322</v>
      </c>
      <c r="V28" s="58">
        <f t="shared" si="14"/>
        <v>3.4939</v>
      </c>
      <c r="W28" s="59">
        <f t="shared" si="19"/>
        <v>0.65</v>
      </c>
      <c r="X28" s="58">
        <f t="shared" si="20"/>
        <v>0.596508853447193</v>
      </c>
      <c r="Y28" s="57">
        <f t="shared" si="21"/>
        <v>0.9</v>
      </c>
      <c r="Z28" s="60">
        <v>1</v>
      </c>
      <c r="AA28" s="60">
        <v>0.4</v>
      </c>
      <c r="AB28" s="60">
        <v>0</v>
      </c>
      <c r="AC28" s="61">
        <f t="shared" si="17"/>
        <v>296941.411921341</v>
      </c>
    </row>
    <row r="29" s="1" customFormat="1" spans="2:31">
      <c r="B29" s="67" t="s">
        <v>90</v>
      </c>
      <c r="C29" s="67">
        <v>59877</v>
      </c>
      <c r="D29" s="67">
        <f t="shared" si="22"/>
        <v>2395.08</v>
      </c>
      <c r="E29" s="45"/>
      <c r="F29" s="6"/>
      <c r="G29" s="45"/>
      <c r="H29" s="6">
        <v>95869</v>
      </c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1.84784980237154</v>
      </c>
      <c r="U29" s="56">
        <f t="shared" si="18"/>
        <v>2.322</v>
      </c>
      <c r="V29" s="58">
        <f>1+$G$22*($I$22-1+3)</f>
        <v>6.4279</v>
      </c>
      <c r="W29" s="59">
        <f>2+W28</f>
        <v>2.65</v>
      </c>
      <c r="X29" s="58">
        <f t="shared" si="20"/>
        <v>0.596508853447193</v>
      </c>
      <c r="Y29" s="57">
        <f t="shared" si="21"/>
        <v>0.9</v>
      </c>
      <c r="Z29" s="60">
        <v>0</v>
      </c>
      <c r="AA29" s="60">
        <v>0.4</v>
      </c>
      <c r="AB29" s="60">
        <v>0</v>
      </c>
      <c r="AC29" s="61">
        <f t="shared" si="17"/>
        <v>391682.908713932</v>
      </c>
    </row>
    <row r="30" s="1" customFormat="1" spans="2:31">
      <c r="B30" s="67" t="s">
        <v>67</v>
      </c>
      <c r="C30" s="67">
        <f>AC15</f>
        <v>17988.8507208443</v>
      </c>
      <c r="D30" s="67">
        <f t="shared" si="22"/>
        <v>719.554028833773</v>
      </c>
      <c r="E30" s="45"/>
      <c r="F30" s="6"/>
      <c r="G30" s="45"/>
      <c r="H30" s="6">
        <v>113576</v>
      </c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1.84784980237154</v>
      </c>
      <c r="U30" s="56">
        <f t="shared" si="18"/>
        <v>2.322</v>
      </c>
      <c r="V30" s="58">
        <f>1+$G$22*($I$22-1)</f>
        <v>3.4939</v>
      </c>
      <c r="W30" s="59">
        <f>$K$17+K$18</f>
        <v>0.65</v>
      </c>
      <c r="X30" s="58">
        <f>$AF$5</f>
        <v>0.676831005984611</v>
      </c>
      <c r="Y30" s="57">
        <f t="shared" si="21"/>
        <v>0.9</v>
      </c>
      <c r="Z30" s="60">
        <v>1</v>
      </c>
      <c r="AA30" s="60">
        <v>0.4</v>
      </c>
      <c r="AB30" s="60">
        <v>0</v>
      </c>
      <c r="AC30" s="61">
        <f t="shared" si="17"/>
        <v>1684430.73593828</v>
      </c>
    </row>
    <row r="31" s="1" customFormat="1" spans="2:31">
      <c r="B31" s="67" t="s">
        <v>93</v>
      </c>
      <c r="C31" s="67">
        <f>SUM(AC22:AC30)</f>
        <v>3196108.4395565</v>
      </c>
      <c r="D31" s="67">
        <f t="shared" si="22"/>
        <v>127844.33758226</v>
      </c>
      <c r="E31" s="6"/>
      <c r="F31" s="6"/>
      <c r="G31" s="45"/>
      <c r="H31" s="1">
        <v>137456</v>
      </c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68</v>
      </c>
      <c r="C32" s="67">
        <f>AC16+AC17</f>
        <v>2024007.37745984</v>
      </c>
      <c r="D32" s="67">
        <f t="shared" si="22"/>
        <v>80960.2950983936</v>
      </c>
      <c r="E32" s="6"/>
      <c r="F32" s="6"/>
      <c r="G32" s="45"/>
      <c r="H32" s="6">
        <v>144467</v>
      </c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 t="s">
        <v>97</v>
      </c>
      <c r="C33" s="67">
        <f>SUM(C27:C32)</f>
        <v>5815601.23129135</v>
      </c>
      <c r="D33" s="67">
        <f>C33/E27</f>
        <v>232624.049251654</v>
      </c>
      <c r="E33" s="6"/>
      <c r="F33" s="6"/>
      <c r="G33" s="45"/>
      <c r="H33" s="6">
        <v>239381</v>
      </c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"/>
      <c r="C40" s="6"/>
      <c r="D40" s="6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"/>
      <c r="C43" s="6"/>
      <c r="D43" s="6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"/>
      <c r="C46" s="6"/>
      <c r="D46" s="6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7"/>
      <c r="C47" s="67"/>
      <c r="D47" s="67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16" workbookViewId="0">
      <selection activeCell="J26" sqref="J2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11.8181818181818" style="2" customWidth="1"/>
    <col min="8" max="8" width="8.54545454545454" style="1" customWidth="1"/>
    <col min="9" max="9" width="7.54545454545455" style="1" customWidth="1"/>
    <col min="10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1.88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20424.210866719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v>0.45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1.88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79479.980721556</v>
      </c>
      <c r="AD4" s="13">
        <v>64</v>
      </c>
      <c r="AE4" s="13">
        <v>0</v>
      </c>
      <c r="AF4" s="14">
        <f t="shared" ref="AF4:AF8" si="7">1520/(1520+(792+8*AG4)*(1-AE4/100)*(1-AD4/100))</f>
        <v>0.736319950395288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>
        <v>0.2</v>
      </c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1.88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25314.937161005</v>
      </c>
      <c r="AD5" s="13">
        <v>84</v>
      </c>
      <c r="AE5" s="13">
        <v>0</v>
      </c>
      <c r="AF5" s="14">
        <f t="shared" si="7"/>
        <v>0.862695241554668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10%+10%+40%</f>
        <v>0.6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2.412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59799.3526623332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v>0.24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2.412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33109.440706555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2.412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130965.275346162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1.88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21134.697205588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1.88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9085.50305459031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1.88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24857.9363573591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113448.229472295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2.4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86345.0357623218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2.4</v>
      </c>
      <c r="W17" s="21">
        <v>0</v>
      </c>
      <c r="X17" s="49">
        <f t="shared" si="9"/>
        <v>0.50131926121372</v>
      </c>
      <c r="Y17" s="19">
        <v>0.8</v>
      </c>
      <c r="Z17" s="22">
        <v>2.4</v>
      </c>
      <c r="AA17" s="22">
        <v>0.8</v>
      </c>
      <c r="AB17" s="22">
        <v>0.5</v>
      </c>
      <c r="AC17" s="23">
        <f t="shared" si="10"/>
        <v>1937662.34169752</v>
      </c>
    </row>
    <row r="18" s="1" customFormat="1" spans="2:31">
      <c r="B18" s="25" t="s">
        <v>30</v>
      </c>
      <c r="C18" s="27">
        <v>0.12</v>
      </c>
      <c r="D18" s="25" t="s">
        <v>70</v>
      </c>
      <c r="E18" s="27">
        <v>0.2</v>
      </c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0.24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1.84784980237154</v>
      </c>
      <c r="U22" s="56">
        <f t="shared" ref="U22:U25" si="13">SUM($E$17:$E$21)</f>
        <v>2.02</v>
      </c>
      <c r="V22" s="58">
        <f t="shared" ref="V22:V28" si="14">1+$G$22*($I$22-1)</f>
        <v>3.4939</v>
      </c>
      <c r="W22" s="59">
        <f t="shared" ref="W22:W25" si="15">$K$17</f>
        <v>0.4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46715.77020544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1.84784980237154</v>
      </c>
      <c r="U23" s="56">
        <f t="shared" si="13"/>
        <v>2.02</v>
      </c>
      <c r="V23" s="58">
        <f t="shared" si="14"/>
        <v>3.4939</v>
      </c>
      <c r="W23" s="59">
        <f t="shared" si="15"/>
        <v>0.4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22978.8317041232</v>
      </c>
      <c r="AE23" s="1">
        <v>1.05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1.84784980237154</v>
      </c>
      <c r="U24" s="56">
        <f t="shared" ref="U24:U30" si="18">SUM($E$17:$E$22)</f>
        <v>2.442</v>
      </c>
      <c r="V24" s="58">
        <f t="shared" si="14"/>
        <v>3.4939</v>
      </c>
      <c r="W24" s="59">
        <f t="shared" ref="W24:W28" si="19">$K$17+K$18</f>
        <v>0.65</v>
      </c>
      <c r="X24" s="58">
        <f t="shared" ref="X24:X29" si="20">$AF$4</f>
        <v>0.736319950395288</v>
      </c>
      <c r="Y24" s="57">
        <f t="shared" ref="Y24:Y30" si="21">AE$23</f>
        <v>1.05</v>
      </c>
      <c r="Z24" s="60">
        <v>0</v>
      </c>
      <c r="AA24" s="60">
        <v>0.4</v>
      </c>
      <c r="AB24" s="60">
        <v>0</v>
      </c>
      <c r="AC24" s="61">
        <f t="shared" si="17"/>
        <v>516872.771129031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1.84784980237154</v>
      </c>
      <c r="U25" s="56">
        <f t="shared" si="13"/>
        <v>2.02</v>
      </c>
      <c r="V25" s="58">
        <f t="shared" si="14"/>
        <v>3.4939</v>
      </c>
      <c r="W25" s="59">
        <f t="shared" si="15"/>
        <v>0.4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58727.6650663782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1.84784980237154</v>
      </c>
      <c r="U26" s="56">
        <f t="shared" si="18"/>
        <v>2.442</v>
      </c>
      <c r="V26" s="58">
        <f t="shared" si="14"/>
        <v>3.4939</v>
      </c>
      <c r="W26" s="59">
        <f t="shared" si="19"/>
        <v>0.65</v>
      </c>
      <c r="X26" s="58">
        <f t="shared" si="20"/>
        <v>0.736319950395288</v>
      </c>
      <c r="Y26" s="57">
        <f t="shared" si="21"/>
        <v>1.05</v>
      </c>
      <c r="Z26" s="60">
        <v>1</v>
      </c>
      <c r="AA26" s="60">
        <v>0.4</v>
      </c>
      <c r="AB26" s="60">
        <v>0</v>
      </c>
      <c r="AC26" s="61">
        <f t="shared" si="17"/>
        <v>443076.249160691</v>
      </c>
    </row>
    <row r="27" s="1" customFormat="1" spans="2:31">
      <c r="B27" s="67" t="s">
        <v>87</v>
      </c>
      <c r="C27" s="67">
        <f>SUM(AC3:AC11)</f>
        <v>404171.334081868</v>
      </c>
      <c r="D27" s="67">
        <f t="shared" ref="D27:D32" si="22">C27/E$27</f>
        <v>16166.8533632747</v>
      </c>
      <c r="E27" s="65">
        <v>25</v>
      </c>
      <c r="F27" s="65"/>
      <c r="G27" s="57" t="s">
        <v>100</v>
      </c>
      <c r="H27" s="57" t="s">
        <v>101</v>
      </c>
      <c r="I27" s="57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1.84784980237154</v>
      </c>
      <c r="U27" s="56">
        <f>SUM($E$17:$E$21)</f>
        <v>2.02</v>
      </c>
      <c r="V27" s="58">
        <f t="shared" si="14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58727.6650663782</v>
      </c>
    </row>
    <row r="28" s="1" customFormat="1" spans="2:31">
      <c r="B28" s="67" t="s">
        <v>64</v>
      </c>
      <c r="C28" s="67">
        <f>AC14</f>
        <v>113448.229472295</v>
      </c>
      <c r="D28" s="67">
        <f t="shared" si="22"/>
        <v>4537.92917889182</v>
      </c>
      <c r="E28" s="6"/>
      <c r="F28" s="6"/>
      <c r="G28" s="45" t="s">
        <v>102</v>
      </c>
      <c r="H28" s="6">
        <v>88140</v>
      </c>
      <c r="I28" s="6"/>
      <c r="J28" s="6"/>
      <c r="K28" s="67"/>
      <c r="L28" s="67">
        <v>89003.6428571429</v>
      </c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1.84784980237154</v>
      </c>
      <c r="U28" s="56">
        <f t="shared" si="18"/>
        <v>2.442</v>
      </c>
      <c r="V28" s="58">
        <f t="shared" si="14"/>
        <v>3.4939</v>
      </c>
      <c r="W28" s="59">
        <f t="shared" si="19"/>
        <v>0.65</v>
      </c>
      <c r="X28" s="58">
        <f t="shared" si="20"/>
        <v>0.736319950395288</v>
      </c>
      <c r="Y28" s="57">
        <f t="shared" si="21"/>
        <v>1.05</v>
      </c>
      <c r="Z28" s="60">
        <v>1</v>
      </c>
      <c r="AA28" s="60">
        <v>0.4</v>
      </c>
      <c r="AB28" s="60">
        <v>0</v>
      </c>
      <c r="AC28" s="61">
        <f t="shared" si="17"/>
        <v>443076.249160691</v>
      </c>
    </row>
    <row r="29" s="1" customFormat="1" spans="2:31">
      <c r="B29" s="67" t="s">
        <v>90</v>
      </c>
      <c r="C29" s="67">
        <v>59877</v>
      </c>
      <c r="D29" s="67">
        <f t="shared" si="22"/>
        <v>2395.08</v>
      </c>
      <c r="E29" s="45"/>
      <c r="F29" s="6"/>
      <c r="G29" s="45" t="s">
        <v>103</v>
      </c>
      <c r="H29" s="6">
        <v>92941</v>
      </c>
      <c r="I29" s="45">
        <f t="shared" ref="I29:I34" si="23">H29/H28-1</f>
        <v>0.0544701611073293</v>
      </c>
      <c r="J29" s="6"/>
      <c r="K29" s="67"/>
      <c r="L29" s="67">
        <v>138711.615384615</v>
      </c>
      <c r="M29" s="6">
        <f>L29/L28</f>
        <v>1.55849368555911</v>
      </c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1.84784980237154</v>
      </c>
      <c r="U29" s="56">
        <f t="shared" si="18"/>
        <v>2.442</v>
      </c>
      <c r="V29" s="58">
        <f>1+$G$22*($I$22-1+3)</f>
        <v>6.4279</v>
      </c>
      <c r="W29" s="59">
        <f>2+W28</f>
        <v>2.65</v>
      </c>
      <c r="X29" s="58">
        <f t="shared" si="20"/>
        <v>0.736319950395288</v>
      </c>
      <c r="Y29" s="57">
        <f t="shared" si="21"/>
        <v>1.05</v>
      </c>
      <c r="Z29" s="60">
        <v>0</v>
      </c>
      <c r="AA29" s="60">
        <v>0.4</v>
      </c>
      <c r="AB29" s="60">
        <v>0</v>
      </c>
      <c r="AC29" s="61">
        <f t="shared" si="17"/>
        <v>584443.217031951</v>
      </c>
    </row>
    <row r="30" s="1" customFormat="1" spans="2:31">
      <c r="B30" s="67" t="s">
        <v>67</v>
      </c>
      <c r="C30" s="67">
        <f>AC15</f>
        <v>17988.8507208443</v>
      </c>
      <c r="D30" s="67">
        <f t="shared" si="22"/>
        <v>719.554028833773</v>
      </c>
      <c r="E30" s="45"/>
      <c r="F30" s="6"/>
      <c r="G30" s="45" t="s">
        <v>104</v>
      </c>
      <c r="H30" s="6">
        <v>110201</v>
      </c>
      <c r="I30" s="45">
        <f t="shared" si="23"/>
        <v>0.185709213371924</v>
      </c>
      <c r="J30" s="6">
        <f>H30/H28</f>
        <v>1.25029498525074</v>
      </c>
      <c r="K30" s="67"/>
      <c r="L30" s="67">
        <v>158197.5</v>
      </c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1.84784980237154</v>
      </c>
      <c r="U30" s="56">
        <f t="shared" si="18"/>
        <v>2.442</v>
      </c>
      <c r="V30" s="58">
        <f>1+$G$22*($I$22-1)</f>
        <v>3.4939</v>
      </c>
      <c r="W30" s="59">
        <f>$K$17+K$18</f>
        <v>0.65</v>
      </c>
      <c r="X30" s="58">
        <f>$AF$5</f>
        <v>0.862695241554668</v>
      </c>
      <c r="Y30" s="57">
        <f t="shared" si="21"/>
        <v>1.05</v>
      </c>
      <c r="Z30" s="60">
        <v>1</v>
      </c>
      <c r="AA30" s="60">
        <v>0.4</v>
      </c>
      <c r="AB30" s="60">
        <v>0</v>
      </c>
      <c r="AC30" s="61">
        <f t="shared" si="17"/>
        <v>2595304.63142983</v>
      </c>
    </row>
    <row r="31" s="1" customFormat="1" spans="2:31">
      <c r="B31" s="67" t="s">
        <v>93</v>
      </c>
      <c r="C31" s="67">
        <f>SUM(AC22:AC30)</f>
        <v>4769923.04995452</v>
      </c>
      <c r="D31" s="67">
        <f t="shared" si="22"/>
        <v>190796.921998181</v>
      </c>
      <c r="E31" s="6"/>
      <c r="F31" s="6"/>
      <c r="G31" s="45" t="s">
        <v>105</v>
      </c>
      <c r="H31" s="79">
        <v>132816</v>
      </c>
      <c r="I31" s="45">
        <f t="shared" si="23"/>
        <v>0.205215923630457</v>
      </c>
      <c r="J31" s="6"/>
      <c r="K31" s="67"/>
      <c r="L31" s="67">
        <v>231205.5</v>
      </c>
      <c r="M31" s="6">
        <f>L31/L28</f>
        <v>2.59770827999817</v>
      </c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68</v>
      </c>
      <c r="C32" s="67">
        <f>AC16+AC17</f>
        <v>2024007.37745984</v>
      </c>
      <c r="D32" s="67">
        <f t="shared" si="22"/>
        <v>80960.2950983936</v>
      </c>
      <c r="E32" s="6"/>
      <c r="F32" s="6"/>
      <c r="G32" s="45" t="s">
        <v>106</v>
      </c>
      <c r="H32" s="6">
        <v>139526</v>
      </c>
      <c r="I32" s="45">
        <f t="shared" si="23"/>
        <v>0.0505210215636671</v>
      </c>
      <c r="J32" s="6"/>
      <c r="K32" s="67"/>
      <c r="L32" s="67">
        <v>260764.653846154</v>
      </c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 t="s">
        <v>97</v>
      </c>
      <c r="C33" s="67">
        <f>SUM(C27:C32)</f>
        <v>7389415.84168937</v>
      </c>
      <c r="D33" s="67">
        <f>C33/E27</f>
        <v>295576.633667575</v>
      </c>
      <c r="E33" s="6"/>
      <c r="F33" s="6"/>
      <c r="G33" s="45" t="s">
        <v>107</v>
      </c>
      <c r="H33" s="6">
        <v>232624</v>
      </c>
      <c r="I33" s="45">
        <f t="shared" si="23"/>
        <v>0.667244814586529</v>
      </c>
      <c r="J33" s="6">
        <f>H33/H28</f>
        <v>2.63925572952122</v>
      </c>
      <c r="K33" s="6">
        <f>H33/H31</f>
        <v>1.75147572581617</v>
      </c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G34" s="45" t="s">
        <v>108</v>
      </c>
      <c r="H34" s="6">
        <v>295577</v>
      </c>
      <c r="I34" s="45">
        <f t="shared" si="23"/>
        <v>0.270621260059151</v>
      </c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"/>
      <c r="C40" s="6"/>
      <c r="D40" s="6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"/>
      <c r="C43" s="6"/>
      <c r="D43" s="6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"/>
      <c r="C46" s="6"/>
      <c r="D46" s="6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7"/>
      <c r="C47" s="67"/>
      <c r="D47" s="67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conditionalFormatting sqref="I28:I3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{03843bfd-e78f-442d-853e-39f1694900ec}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843bfd-e78f-442d-853e-39f169490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I28:I34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10" workbookViewId="0">
      <selection activeCell="D38" sqref="D3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1.68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19005.8628898635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v>0.45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1.68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73960.5376158924</v>
      </c>
      <c r="AD4" s="13">
        <v>64</v>
      </c>
      <c r="AE4" s="13">
        <v>0</v>
      </c>
      <c r="AF4" s="14">
        <f t="shared" ref="AF4:AF8" si="7">1520/(1520+(792+8*AG4)*(1-AE4/100)*(1-AD4/100))</f>
        <v>0.736319950395288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1.68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23556.955413713</v>
      </c>
      <c r="AD5" s="13">
        <v>84</v>
      </c>
      <c r="AE5" s="13">
        <v>0</v>
      </c>
      <c r="AF5" s="14">
        <f t="shared" si="7"/>
        <v>0.862695241554668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10%+10%+40%</f>
        <v>0.6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2.212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56294.1151088553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v>0.24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2.212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31168.6763040605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2.212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123288.530015203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1.68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19667.0098996444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1.68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8454.56534246598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1.68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23131.6907769869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113448.229472296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35977.0982343008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</v>
      </c>
      <c r="AB17" s="22">
        <v>0.5</v>
      </c>
      <c r="AC17" s="23">
        <f t="shared" si="10"/>
        <v>290227.202596306</v>
      </c>
    </row>
    <row r="18" s="1" customFormat="1" spans="2:31">
      <c r="B18" s="25" t="s">
        <v>30</v>
      </c>
      <c r="C18" s="27">
        <v>0.12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>
        <v>0.24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1.84784980237154</v>
      </c>
      <c r="U22" s="56">
        <f t="shared" ref="U22:U25" si="13">SUM($E$17:$E$21)</f>
        <v>1.82</v>
      </c>
      <c r="V22" s="58">
        <f t="shared" ref="V22:V30" si="14">1+$G$22*($I$22-1)</f>
        <v>3.4939</v>
      </c>
      <c r="W22" s="59">
        <f t="shared" ref="W22:W25" si="15">$K$17</f>
        <v>0.4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43622.0105891858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1.84784980237154</v>
      </c>
      <c r="U23" s="56">
        <f t="shared" si="13"/>
        <v>1.82</v>
      </c>
      <c r="V23" s="58">
        <f t="shared" si="14"/>
        <v>3.4939</v>
      </c>
      <c r="W23" s="59">
        <f t="shared" si="15"/>
        <v>0.4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21457.0547700754</v>
      </c>
      <c r="AE23" s="1">
        <v>1.05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1.84784980237154</v>
      </c>
      <c r="U24" s="56">
        <f t="shared" ref="U24:U30" si="18">SUM($E$17:$E$22)</f>
        <v>2.242</v>
      </c>
      <c r="V24" s="58">
        <f t="shared" si="14"/>
        <v>3.4939</v>
      </c>
      <c r="W24" s="59">
        <f t="shared" ref="W24:W28" si="19">$K$17+K$18</f>
        <v>0.65</v>
      </c>
      <c r="X24" s="58">
        <f t="shared" ref="X24:X29" si="20">$AF$4</f>
        <v>0.736319950395288</v>
      </c>
      <c r="Y24" s="57">
        <f t="shared" ref="Y24:Y30" si="21">AE$23</f>
        <v>1.05</v>
      </c>
      <c r="Z24" s="60">
        <v>0</v>
      </c>
      <c r="AA24" s="60">
        <v>0</v>
      </c>
      <c r="AB24" s="60">
        <v>0</v>
      </c>
      <c r="AC24" s="61">
        <f t="shared" si="17"/>
        <v>347742.492736847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1.84784980237154</v>
      </c>
      <c r="U25" s="56">
        <f t="shared" si="13"/>
        <v>1.82</v>
      </c>
      <c r="V25" s="58">
        <f t="shared" si="14"/>
        <v>3.4939</v>
      </c>
      <c r="W25" s="59">
        <f t="shared" si="15"/>
        <v>0.4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54838.4157242341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1.84784980237154</v>
      </c>
      <c r="U26" s="56">
        <f t="shared" si="18"/>
        <v>2.242</v>
      </c>
      <c r="V26" s="58">
        <f t="shared" si="14"/>
        <v>3.4939</v>
      </c>
      <c r="W26" s="59">
        <f t="shared" si="19"/>
        <v>0.65</v>
      </c>
      <c r="X26" s="58">
        <f t="shared" si="20"/>
        <v>0.736319950395288</v>
      </c>
      <c r="Y26" s="57">
        <f t="shared" si="21"/>
        <v>1.05</v>
      </c>
      <c r="Z26" s="60">
        <v>0</v>
      </c>
      <c r="AA26" s="60">
        <v>0</v>
      </c>
      <c r="AB26" s="60">
        <v>0</v>
      </c>
      <c r="AC26" s="61">
        <f t="shared" si="17"/>
        <v>149046.775107803</v>
      </c>
    </row>
    <row r="27" s="1" customFormat="1" spans="2:31">
      <c r="B27" s="67" t="s">
        <v>87</v>
      </c>
      <c r="C27" s="67">
        <f>SUM(AC3:AC11)</f>
        <v>378527.943366685</v>
      </c>
      <c r="D27" s="67">
        <f t="shared" ref="D27:D32" si="22">C27/E$27</f>
        <v>15141.1177346674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1.84784980237154</v>
      </c>
      <c r="U27" s="56">
        <f>SUM($E$17:$E$21)</f>
        <v>1.82</v>
      </c>
      <c r="V27" s="58">
        <f t="shared" si="14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54838.4157242341</v>
      </c>
    </row>
    <row r="28" s="1" customFormat="1" spans="2:31">
      <c r="B28" s="67" t="s">
        <v>64</v>
      </c>
      <c r="C28" s="67">
        <f>AC14</f>
        <v>113448.229472296</v>
      </c>
      <c r="D28" s="67">
        <f t="shared" si="22"/>
        <v>4537.92917889182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1.84784980237154</v>
      </c>
      <c r="U28" s="56">
        <f t="shared" si="18"/>
        <v>2.242</v>
      </c>
      <c r="V28" s="58">
        <f t="shared" si="14"/>
        <v>3.4939</v>
      </c>
      <c r="W28" s="59">
        <f t="shared" si="19"/>
        <v>0.65</v>
      </c>
      <c r="X28" s="58">
        <f t="shared" si="20"/>
        <v>0.736319950395288</v>
      </c>
      <c r="Y28" s="57">
        <f t="shared" si="21"/>
        <v>1.05</v>
      </c>
      <c r="Z28" s="60">
        <v>0</v>
      </c>
      <c r="AA28" s="60">
        <v>0</v>
      </c>
      <c r="AB28" s="60">
        <v>0</v>
      </c>
      <c r="AC28" s="61">
        <f t="shared" si="17"/>
        <v>149046.775107803</v>
      </c>
    </row>
    <row r="29" s="1" customFormat="1" spans="2:31">
      <c r="B29" s="67" t="s">
        <v>90</v>
      </c>
      <c r="C29" s="67">
        <v>59877</v>
      </c>
      <c r="D29" s="67">
        <f t="shared" si="22"/>
        <v>2395.08</v>
      </c>
      <c r="E29" s="45"/>
      <c r="F29" s="6"/>
      <c r="G29" s="45"/>
      <c r="H29" s="6"/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1.84784980237154</v>
      </c>
      <c r="U29" s="56">
        <f t="shared" si="18"/>
        <v>2.242</v>
      </c>
      <c r="V29" s="58">
        <f t="shared" si="14"/>
        <v>3.4939</v>
      </c>
      <c r="W29" s="59">
        <f>2+W28</f>
        <v>2.65</v>
      </c>
      <c r="X29" s="58">
        <f t="shared" si="20"/>
        <v>0.736319950395288</v>
      </c>
      <c r="Y29" s="57">
        <f t="shared" si="21"/>
        <v>1.05</v>
      </c>
      <c r="Z29" s="60">
        <v>0</v>
      </c>
      <c r="AA29" s="60">
        <v>0</v>
      </c>
      <c r="AB29" s="60">
        <v>0</v>
      </c>
      <c r="AC29" s="61">
        <f t="shared" si="17"/>
        <v>213726.212944682</v>
      </c>
    </row>
    <row r="30" s="1" customFormat="1" spans="2:31">
      <c r="B30" s="67" t="s">
        <v>67</v>
      </c>
      <c r="C30" s="67">
        <f>AC15</f>
        <v>17988.8507208443</v>
      </c>
      <c r="D30" s="67">
        <f t="shared" si="22"/>
        <v>719.554028833773</v>
      </c>
      <c r="E30" s="45"/>
      <c r="F30" s="6"/>
      <c r="G30" s="45"/>
      <c r="H30" s="6"/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1.84784980237154</v>
      </c>
      <c r="U30" s="56">
        <f t="shared" si="18"/>
        <v>2.242</v>
      </c>
      <c r="V30" s="58">
        <f t="shared" si="14"/>
        <v>3.4939</v>
      </c>
      <c r="W30" s="59">
        <f>$K$17+K$18</f>
        <v>0.65</v>
      </c>
      <c r="X30" s="58">
        <f>$AF$5</f>
        <v>0.862695241554668</v>
      </c>
      <c r="Y30" s="57">
        <f t="shared" si="21"/>
        <v>1.05</v>
      </c>
      <c r="Z30" s="60">
        <v>0</v>
      </c>
      <c r="AA30" s="60">
        <v>0</v>
      </c>
      <c r="AB30" s="60">
        <v>0</v>
      </c>
      <c r="AC30" s="61">
        <f t="shared" si="17"/>
        <v>873036.608190372</v>
      </c>
    </row>
    <row r="31" s="1" customFormat="1" spans="2:31">
      <c r="B31" s="67" t="s">
        <v>93</v>
      </c>
      <c r="C31" s="67">
        <f>SUM(AC22:AC30)</f>
        <v>1907354.76089524</v>
      </c>
      <c r="D31" s="67">
        <f t="shared" si="22"/>
        <v>76294.1904358094</v>
      </c>
      <c r="E31" s="6"/>
      <c r="F31" s="6"/>
      <c r="G31" s="45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68</v>
      </c>
      <c r="C32" s="67">
        <f>AC16+AC17</f>
        <v>326204.300830607</v>
      </c>
      <c r="D32" s="67">
        <f t="shared" si="22"/>
        <v>13048.1720332243</v>
      </c>
      <c r="E32" s="6"/>
      <c r="F32" s="6"/>
      <c r="G32" s="45"/>
      <c r="H32" s="6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 t="s">
        <v>97</v>
      </c>
      <c r="C33" s="67">
        <f>SUM(C27:C32)</f>
        <v>2803401.08528567</v>
      </c>
      <c r="D33" s="67">
        <f>C33/E27</f>
        <v>112136.043411427</v>
      </c>
      <c r="E33" s="6"/>
      <c r="F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"/>
      <c r="C40" s="6"/>
      <c r="D40" s="6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"/>
      <c r="C43" s="6"/>
      <c r="D43" s="6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"/>
      <c r="C46" s="6"/>
      <c r="D46" s="6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7"/>
      <c r="C47" s="67"/>
      <c r="D47" s="67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7" workbookViewId="0">
      <selection activeCell="V29" sqref="V29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84" t="s">
        <v>109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6"/>
      <c r="P2" s="7" t="s">
        <v>1</v>
      </c>
      <c r="Q2" s="8" t="s">
        <v>2</v>
      </c>
      <c r="R2" s="9" t="s">
        <v>3</v>
      </c>
      <c r="S2" s="9" t="s">
        <v>110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85" t="s">
        <v>22</v>
      </c>
      <c r="Q3" s="18">
        <v>0.9543</v>
      </c>
      <c r="R3" s="19" t="s">
        <v>23</v>
      </c>
      <c r="S3" s="19">
        <f t="shared" ref="S3:S13" si="0">$C$4</f>
        <v>937</v>
      </c>
      <c r="T3" s="18">
        <f t="shared" ref="T3:T13" si="1">($C$5+$C$6+$C$7+$C$8)+($C$9+$C$10)/S3</f>
        <v>1.3455325506937</v>
      </c>
      <c r="U3" s="18">
        <f t="shared" ref="U3:U8" si="2">SUM($E$4:$E$7)</f>
        <v>1.26</v>
      </c>
      <c r="V3" s="20">
        <f t="shared" ref="V3:V13" si="3">1+$G$9*($I$9-1)</f>
        <v>2.55665</v>
      </c>
      <c r="W3" s="21">
        <f t="shared" ref="W3:W13" si="4">$K$4</f>
        <v>0.1</v>
      </c>
      <c r="X3" s="20">
        <f>$AF$6</f>
        <v>0.582139232997858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3" si="5">Q3*S3*(1+T3)*(1+U3)*V3*(1+W3)*X3*Y3*(1+Z3)*(1+AA3)*(1+AB3)</f>
        <v>6208.05045319576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v>937</v>
      </c>
      <c r="D4" s="25" t="s">
        <v>24</v>
      </c>
      <c r="E4" s="27">
        <v>0.6</v>
      </c>
      <c r="F4" s="25" t="s">
        <v>25</v>
      </c>
      <c r="G4" s="28">
        <v>0.05</v>
      </c>
      <c r="H4" s="25" t="s">
        <v>25</v>
      </c>
      <c r="I4" s="27">
        <f>150%+16%</f>
        <v>1.66</v>
      </c>
      <c r="J4" s="29" t="s">
        <v>26</v>
      </c>
      <c r="K4" s="27">
        <v>0.1</v>
      </c>
      <c r="L4" s="25" t="s">
        <v>27</v>
      </c>
      <c r="M4" s="28">
        <f>8.6%*2</f>
        <v>0.172</v>
      </c>
      <c r="N4" s="6"/>
      <c r="P4" s="17" t="s">
        <v>111</v>
      </c>
      <c r="Q4" s="18">
        <v>0.3579</v>
      </c>
      <c r="R4" s="19" t="s">
        <v>37</v>
      </c>
      <c r="S4" s="19">
        <f t="shared" si="0"/>
        <v>937</v>
      </c>
      <c r="T4" s="18">
        <f t="shared" si="1"/>
        <v>1.3455325506937</v>
      </c>
      <c r="U4" s="18">
        <f t="shared" si="2"/>
        <v>1.26</v>
      </c>
      <c r="V4" s="20">
        <f t="shared" si="3"/>
        <v>2.55665</v>
      </c>
      <c r="W4" s="21">
        <f t="shared" si="4"/>
        <v>0.1</v>
      </c>
      <c r="X4" s="20">
        <f t="shared" ref="X4:X13" si="6">$AF$6</f>
        <v>0.582139232997858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2328.2628703749</v>
      </c>
      <c r="AD4" s="13">
        <f>32+AD6</f>
        <v>44</v>
      </c>
      <c r="AE4" s="13">
        <f>AE6</f>
        <v>18</v>
      </c>
      <c r="AF4" s="14">
        <f t="shared" ref="AF4:AF8" si="7">1520/(1520+(792+8*AG4)*(1-AE4/100)*(1-AD4/100))</f>
        <v>0.686443960160238</v>
      </c>
      <c r="AG4" s="24">
        <v>90</v>
      </c>
    </row>
    <row r="5" s="1" customFormat="1" spans="2:33">
      <c r="B5" s="25" t="s">
        <v>30</v>
      </c>
      <c r="C5" s="27">
        <f>12%+12%</f>
        <v>0.24</v>
      </c>
      <c r="D5" s="25" t="s">
        <v>39</v>
      </c>
      <c r="E5" s="27">
        <f>10%+12%</f>
        <v>0.22</v>
      </c>
      <c r="F5" s="25" t="s">
        <v>32</v>
      </c>
      <c r="G5" s="28">
        <v>0.36</v>
      </c>
      <c r="H5" s="25" t="s">
        <v>33</v>
      </c>
      <c r="I5" s="28">
        <f>M7+44%</f>
        <v>1.25</v>
      </c>
      <c r="J5" s="30" t="s">
        <v>34</v>
      </c>
      <c r="K5" s="28"/>
      <c r="L5" s="25" t="s">
        <v>112</v>
      </c>
      <c r="M5" s="28">
        <f>8.6%*2</f>
        <v>0.172</v>
      </c>
      <c r="N5" s="6"/>
      <c r="P5" s="17" t="s">
        <v>113</v>
      </c>
      <c r="Q5" s="18">
        <f>15.11%*4+90.66%</f>
        <v>1.511</v>
      </c>
      <c r="R5" s="19" t="s">
        <v>44</v>
      </c>
      <c r="S5" s="19">
        <f t="shared" si="0"/>
        <v>937</v>
      </c>
      <c r="T5" s="18">
        <f t="shared" si="1"/>
        <v>1.3455325506937</v>
      </c>
      <c r="U5" s="18">
        <f t="shared" si="2"/>
        <v>1.26</v>
      </c>
      <c r="V5" s="20">
        <f t="shared" si="3"/>
        <v>2.55665</v>
      </c>
      <c r="W5" s="21">
        <f t="shared" si="4"/>
        <v>0.1</v>
      </c>
      <c r="X5" s="20">
        <f t="shared" si="6"/>
        <v>0.582139232997858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9829.57585117761</v>
      </c>
      <c r="AD5" s="13">
        <f>AD4</f>
        <v>44</v>
      </c>
      <c r="AE5" s="13">
        <f>AE4</f>
        <v>18</v>
      </c>
      <c r="AF5" s="14">
        <f t="shared" si="7"/>
        <v>0.686443960160238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114</v>
      </c>
      <c r="E6" s="27"/>
      <c r="F6" s="25" t="s">
        <v>41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8.1%*5</f>
        <v>0.405</v>
      </c>
      <c r="N6" s="6"/>
      <c r="P6" s="17" t="s">
        <v>115</v>
      </c>
      <c r="Q6" s="18">
        <f>29.81%+14.91%+104.34%+47.78%</f>
        <v>1.9684</v>
      </c>
      <c r="R6" s="19" t="s">
        <v>29</v>
      </c>
      <c r="S6" s="19">
        <f t="shared" si="0"/>
        <v>937</v>
      </c>
      <c r="T6" s="18">
        <f t="shared" si="1"/>
        <v>1.3455325506937</v>
      </c>
      <c r="U6" s="18">
        <f t="shared" ref="U6:U11" si="8">SUM($E$4:$E$8)</f>
        <v>2.092</v>
      </c>
      <c r="V6" s="20">
        <f t="shared" si="3"/>
        <v>2.55665</v>
      </c>
      <c r="W6" s="21">
        <f t="shared" si="4"/>
        <v>0.1</v>
      </c>
      <c r="X6" s="20">
        <f t="shared" si="6"/>
        <v>0.582139232997858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17519.2179855327</v>
      </c>
      <c r="AD6" s="13">
        <v>12</v>
      </c>
      <c r="AE6" s="13">
        <v>18</v>
      </c>
      <c r="AF6" s="14">
        <f t="shared" si="7"/>
        <v>0.582139232997858</v>
      </c>
      <c r="AG6" s="24">
        <v>90</v>
      </c>
    </row>
    <row r="7" s="1" customFormat="1" spans="2:33">
      <c r="B7" s="25" t="s">
        <v>45</v>
      </c>
      <c r="C7" s="31">
        <v>0.2</v>
      </c>
      <c r="D7" s="25" t="s">
        <v>45</v>
      </c>
      <c r="E7" s="27">
        <f>24%+20%</f>
        <v>0.44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116</v>
      </c>
      <c r="Q7" s="18">
        <f>10.15%*2+47.35%</f>
        <v>0.6765</v>
      </c>
      <c r="R7" s="19" t="s">
        <v>44</v>
      </c>
      <c r="S7" s="19">
        <f t="shared" si="0"/>
        <v>937</v>
      </c>
      <c r="T7" s="18">
        <f t="shared" si="1"/>
        <v>1.3455325506937</v>
      </c>
      <c r="U7" s="18">
        <f t="shared" si="2"/>
        <v>1.26</v>
      </c>
      <c r="V7" s="20">
        <f t="shared" si="3"/>
        <v>2.55665</v>
      </c>
      <c r="W7" s="21">
        <f t="shared" si="4"/>
        <v>0.1</v>
      </c>
      <c r="X7" s="20">
        <f t="shared" si="6"/>
        <v>0.582139232997858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4400.86569379328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/>
      <c r="D8" s="25" t="s">
        <v>77</v>
      </c>
      <c r="E8" s="27">
        <f>24%+M5+12%+30%</f>
        <v>0.832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117</v>
      </c>
      <c r="Q8" s="18">
        <f>16.97%*8</f>
        <v>1.3576</v>
      </c>
      <c r="R8" s="19" t="s">
        <v>37</v>
      </c>
      <c r="S8" s="19">
        <f t="shared" si="0"/>
        <v>937</v>
      </c>
      <c r="T8" s="18">
        <f t="shared" si="1"/>
        <v>1.3455325506937</v>
      </c>
      <c r="U8" s="18">
        <f t="shared" si="2"/>
        <v>1.26</v>
      </c>
      <c r="V8" s="20">
        <f t="shared" si="3"/>
        <v>2.55665</v>
      </c>
      <c r="W8" s="21">
        <f t="shared" si="4"/>
        <v>0.1</v>
      </c>
      <c r="X8" s="20">
        <f t="shared" si="6"/>
        <v>0.582139232997858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8831.65597323542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/>
      <c r="E9" s="27"/>
      <c r="F9" s="34" t="s">
        <v>55</v>
      </c>
      <c r="G9" s="35">
        <f>MIN(100%,SUM(G4:G8))</f>
        <v>0.815</v>
      </c>
      <c r="H9" s="34" t="s">
        <v>56</v>
      </c>
      <c r="I9" s="36">
        <f>SUM(I4:I8)</f>
        <v>2.91</v>
      </c>
      <c r="J9" s="30"/>
      <c r="K9" s="28"/>
      <c r="L9" s="25"/>
      <c r="M9" s="26"/>
      <c r="N9" s="6"/>
      <c r="P9" s="17" t="s">
        <v>118</v>
      </c>
      <c r="Q9" s="18">
        <f>954.29%</f>
        <v>9.5429</v>
      </c>
      <c r="R9" s="19" t="s">
        <v>29</v>
      </c>
      <c r="S9" s="19">
        <f t="shared" si="0"/>
        <v>937</v>
      </c>
      <c r="T9" s="18">
        <f t="shared" si="1"/>
        <v>1.3455325506937</v>
      </c>
      <c r="U9" s="18">
        <f t="shared" si="8"/>
        <v>2.092</v>
      </c>
      <c r="V9" s="20">
        <f t="shared" si="3"/>
        <v>2.55665</v>
      </c>
      <c r="W9" s="21">
        <f t="shared" si="4"/>
        <v>0.1</v>
      </c>
      <c r="X9" s="20">
        <f t="shared" si="6"/>
        <v>0.582139232997858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84934.0303363848</v>
      </c>
    </row>
    <row r="10" s="1" customFormat="1" spans="2:33">
      <c r="B10" s="40" t="s">
        <v>60</v>
      </c>
      <c r="C10" s="41"/>
      <c r="D10" s="40"/>
      <c r="E10" s="42"/>
      <c r="F10" s="40"/>
      <c r="G10" s="43"/>
      <c r="H10" s="40"/>
      <c r="I10" s="41"/>
      <c r="J10" s="44"/>
      <c r="K10" s="43"/>
      <c r="L10" s="40"/>
      <c r="M10" s="41"/>
      <c r="N10" s="6"/>
      <c r="P10" s="17" t="s">
        <v>119</v>
      </c>
      <c r="Q10" s="18">
        <f>11.49%*6+14.73%*7+14.92%*8</f>
        <v>2.9141</v>
      </c>
      <c r="R10" s="19" t="s">
        <v>29</v>
      </c>
      <c r="S10" s="19">
        <f t="shared" si="0"/>
        <v>937</v>
      </c>
      <c r="T10" s="18">
        <f t="shared" si="1"/>
        <v>1.3455325506937</v>
      </c>
      <c r="U10" s="18">
        <f t="shared" si="8"/>
        <v>2.092</v>
      </c>
      <c r="V10" s="20">
        <f t="shared" si="3"/>
        <v>2.55665</v>
      </c>
      <c r="W10" s="21">
        <f t="shared" si="4"/>
        <v>0.1</v>
      </c>
      <c r="X10" s="20">
        <f t="shared" si="6"/>
        <v>0.582139232997858</v>
      </c>
      <c r="Y10" s="19">
        <v>0.8</v>
      </c>
      <c r="Z10" s="22">
        <v>1.2</v>
      </c>
      <c r="AA10" s="22">
        <v>0</v>
      </c>
      <c r="AB10" s="22">
        <v>0</v>
      </c>
      <c r="AC10" s="23">
        <f t="shared" si="5"/>
        <v>57059.5696451991</v>
      </c>
    </row>
    <row r="11" s="1" customFormat="1" spans="2:33">
      <c r="B11" s="6"/>
      <c r="C11" s="6"/>
      <c r="D11" s="6"/>
      <c r="E11" s="6"/>
      <c r="F11" s="6" t="s">
        <v>63</v>
      </c>
      <c r="G11" s="45"/>
      <c r="H11" s="6"/>
      <c r="I11" s="6"/>
      <c r="J11" s="6"/>
      <c r="K11" s="6"/>
      <c r="L11" s="6"/>
      <c r="M11" s="6"/>
      <c r="N11" s="6"/>
      <c r="P11" s="17" t="s">
        <v>120</v>
      </c>
      <c r="Q11" s="18">
        <f>51.54%+206.13%+100*2.58%</f>
        <v>5.1567</v>
      </c>
      <c r="R11" s="19" t="s">
        <v>29</v>
      </c>
      <c r="S11" s="19">
        <f t="shared" si="0"/>
        <v>937</v>
      </c>
      <c r="T11" s="18">
        <f t="shared" si="1"/>
        <v>1.3455325506937</v>
      </c>
      <c r="U11" s="18">
        <f t="shared" si="8"/>
        <v>2.092</v>
      </c>
      <c r="V11" s="20">
        <f t="shared" si="3"/>
        <v>2.55665</v>
      </c>
      <c r="W11" s="21">
        <f t="shared" si="4"/>
        <v>0.1</v>
      </c>
      <c r="X11" s="20">
        <f t="shared" si="6"/>
        <v>0.582139232997858</v>
      </c>
      <c r="Y11" s="19">
        <v>0.8</v>
      </c>
      <c r="Z11" s="22">
        <v>1.2</v>
      </c>
      <c r="AA11" s="22">
        <v>0</v>
      </c>
      <c r="AB11" s="22">
        <v>0</v>
      </c>
      <c r="AC11" s="23">
        <f t="shared" si="5"/>
        <v>100970.82556858</v>
      </c>
    </row>
    <row r="12" s="1" customFormat="1" spans="2:33">
      <c r="B12" s="6"/>
      <c r="C12" s="6"/>
      <c r="D12" s="6"/>
      <c r="E12" s="6"/>
      <c r="F12" s="6"/>
      <c r="G12" s="45"/>
      <c r="H12" s="6"/>
      <c r="I12" s="6"/>
      <c r="J12" s="6"/>
      <c r="K12" s="6"/>
      <c r="L12" s="6"/>
      <c r="M12" s="6"/>
      <c r="N12" s="6"/>
      <c r="P12" s="17" t="s">
        <v>121</v>
      </c>
      <c r="Q12" s="18">
        <f>131.04%*2</f>
        <v>2.6208</v>
      </c>
      <c r="R12" s="19" t="s">
        <v>62</v>
      </c>
      <c r="S12" s="19">
        <f t="shared" si="0"/>
        <v>937</v>
      </c>
      <c r="T12" s="18">
        <f t="shared" si="1"/>
        <v>1.3455325506937</v>
      </c>
      <c r="U12" s="18">
        <f>SUM($E$4:$E$7)</f>
        <v>1.26</v>
      </c>
      <c r="V12" s="20">
        <f t="shared" si="3"/>
        <v>2.55665</v>
      </c>
      <c r="W12" s="21">
        <f t="shared" si="4"/>
        <v>0.1</v>
      </c>
      <c r="X12" s="20">
        <f t="shared" si="6"/>
        <v>0.582139232997858</v>
      </c>
      <c r="Y12" s="19">
        <v>0.8</v>
      </c>
      <c r="Z12" s="22">
        <v>0</v>
      </c>
      <c r="AA12" s="22">
        <v>0</v>
      </c>
      <c r="AB12" s="22">
        <v>0</v>
      </c>
      <c r="AC12" s="23">
        <f t="shared" si="5"/>
        <v>17049.2074061987</v>
      </c>
    </row>
    <row r="13" s="1" customFormat="1" ht="14.75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 t="s">
        <v>122</v>
      </c>
      <c r="Q13" s="18">
        <f>24.57%*8</f>
        <v>1.9656</v>
      </c>
      <c r="R13" s="19" t="s">
        <v>62</v>
      </c>
      <c r="S13" s="19">
        <f t="shared" si="0"/>
        <v>937</v>
      </c>
      <c r="T13" s="18">
        <f t="shared" si="1"/>
        <v>1.3455325506937</v>
      </c>
      <c r="U13" s="18">
        <f>SUM($E$4:$E$7)+1</f>
        <v>2.26</v>
      </c>
      <c r="V13" s="20">
        <f t="shared" si="3"/>
        <v>2.55665</v>
      </c>
      <c r="W13" s="21">
        <f t="shared" si="4"/>
        <v>0.1</v>
      </c>
      <c r="X13" s="20">
        <f t="shared" si="6"/>
        <v>0.582139232997858</v>
      </c>
      <c r="Y13" s="19">
        <v>0.8</v>
      </c>
      <c r="Z13" s="22">
        <v>0</v>
      </c>
      <c r="AA13" s="22">
        <v>0</v>
      </c>
      <c r="AB13" s="22">
        <v>0</v>
      </c>
      <c r="AC13" s="23">
        <f t="shared" si="5"/>
        <v>18444.8283664407</v>
      </c>
    </row>
    <row r="14" s="1" customFormat="1" ht="15" spans="2:33">
      <c r="B14" s="46" t="s">
        <v>66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  <c r="N14" s="6"/>
      <c r="P14" s="17"/>
      <c r="Q14" s="18"/>
      <c r="R14" s="19"/>
      <c r="S14" s="19"/>
      <c r="T14" s="18"/>
      <c r="U14" s="18"/>
      <c r="V14" s="20"/>
      <c r="W14" s="21"/>
      <c r="X14" s="20"/>
      <c r="Y14" s="19"/>
      <c r="Z14" s="22"/>
      <c r="AA14" s="22"/>
      <c r="AB14" s="22"/>
      <c r="AC14" s="23"/>
    </row>
    <row r="15" s="1" customFormat="1" spans="2:33">
      <c r="B15" s="50" t="s">
        <v>18</v>
      </c>
      <c r="C15" s="51"/>
      <c r="D15" s="50" t="s">
        <v>6</v>
      </c>
      <c r="E15" s="51"/>
      <c r="F15" s="50" t="s">
        <v>19</v>
      </c>
      <c r="G15" s="51"/>
      <c r="H15" s="50" t="s">
        <v>20</v>
      </c>
      <c r="I15" s="51"/>
      <c r="J15" s="52" t="s">
        <v>8</v>
      </c>
      <c r="K15" s="52"/>
      <c r="L15" s="50" t="s">
        <v>21</v>
      </c>
      <c r="M15" s="51"/>
      <c r="N15" s="6"/>
      <c r="P15" s="17"/>
      <c r="Q15" s="18"/>
      <c r="R15" s="19"/>
      <c r="S15" s="19"/>
      <c r="T15" s="18"/>
      <c r="U15" s="18"/>
      <c r="V15" s="20"/>
      <c r="W15" s="21"/>
      <c r="X15" s="49"/>
      <c r="Y15" s="19"/>
      <c r="Z15" s="22"/>
      <c r="AA15" s="22"/>
      <c r="AB15" s="22"/>
      <c r="AC15" s="23"/>
    </row>
    <row r="16" s="1" customFormat="1" spans="2:33">
      <c r="B16" s="25" t="s">
        <v>4</v>
      </c>
      <c r="C16" s="26">
        <f>425+587</f>
        <v>1012</v>
      </c>
      <c r="D16" s="25" t="s">
        <v>24</v>
      </c>
      <c r="E16" s="27">
        <v>0.3</v>
      </c>
      <c r="F16" s="25" t="s">
        <v>25</v>
      </c>
      <c r="G16" s="28">
        <v>0.13</v>
      </c>
      <c r="H16" s="25" t="s">
        <v>25</v>
      </c>
      <c r="I16" s="27">
        <v>1.5</v>
      </c>
      <c r="J16" s="53" t="s">
        <v>26</v>
      </c>
      <c r="K16" s="54"/>
      <c r="L16" s="25" t="s">
        <v>27</v>
      </c>
      <c r="M16" s="28">
        <f>8.6%*2</f>
        <v>0.172</v>
      </c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>$AF$3</f>
        <v>0.50131926121372</v>
      </c>
      <c r="Y16" s="19">
        <v>0.8</v>
      </c>
      <c r="Z16" s="22">
        <v>0</v>
      </c>
      <c r="AA16" s="22">
        <v>0</v>
      </c>
      <c r="AB16" s="22">
        <v>0.1</v>
      </c>
      <c r="AC16" s="23">
        <f>Q16*S16*(1+T16)*(1+U16)*V16*(1+W16)*X16*Y16*(1+Z16)*(1+AA16)*(1+AB16)</f>
        <v>26383.2053718206</v>
      </c>
    </row>
    <row r="17" s="1" customFormat="1" spans="2:31">
      <c r="B17" s="25" t="s">
        <v>30</v>
      </c>
      <c r="C17" s="27">
        <v>0.12</v>
      </c>
      <c r="D17" s="25" t="s">
        <v>70</v>
      </c>
      <c r="E17" s="27"/>
      <c r="F17" s="25" t="s">
        <v>32</v>
      </c>
      <c r="G17" s="28">
        <v>0.243</v>
      </c>
      <c r="H17" s="25" t="s">
        <v>33</v>
      </c>
      <c r="I17" s="28">
        <f>M19</f>
        <v>0.81</v>
      </c>
      <c r="J17" s="30" t="s">
        <v>71</v>
      </c>
      <c r="K17" s="28"/>
      <c r="L17" s="25" t="s">
        <v>72</v>
      </c>
      <c r="M17" s="28">
        <f>8.6%*2</f>
        <v>0.172</v>
      </c>
      <c r="N17" s="6"/>
      <c r="P17" s="17" t="s">
        <v>123</v>
      </c>
      <c r="Q17" s="21"/>
      <c r="R17" s="19"/>
      <c r="S17" s="19"/>
      <c r="T17" s="18"/>
      <c r="U17" s="18"/>
      <c r="V17" s="20"/>
      <c r="W17" s="21"/>
      <c r="X17" s="49"/>
      <c r="Y17" s="19"/>
      <c r="Z17" s="22"/>
      <c r="AA17" s="22"/>
      <c r="AB17" s="22"/>
      <c r="AC17" s="21">
        <v>20906</v>
      </c>
    </row>
    <row r="18" s="1" customFormat="1" spans="2:31">
      <c r="B18" s="25" t="s">
        <v>38</v>
      </c>
      <c r="C18" s="27">
        <f>18%+18%+M16+30%</f>
        <v>0.832</v>
      </c>
      <c r="D18" s="25" t="s">
        <v>39</v>
      </c>
      <c r="E18" s="27">
        <v>0.3</v>
      </c>
      <c r="F18" s="25" t="s">
        <v>41</v>
      </c>
      <c r="G18" s="28">
        <v>0.2</v>
      </c>
      <c r="H18" s="25" t="s">
        <v>74</v>
      </c>
      <c r="I18" s="28">
        <v>0.44</v>
      </c>
      <c r="J18" s="30"/>
      <c r="K18" s="28"/>
      <c r="L18" s="25" t="s">
        <v>19</v>
      </c>
      <c r="M18" s="28">
        <f>8.1*5%</f>
        <v>0.405</v>
      </c>
      <c r="N18" s="6"/>
      <c r="P18" s="17" t="s">
        <v>124</v>
      </c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1">
        <f>AC17*4*2</f>
        <v>167248</v>
      </c>
    </row>
    <row r="19" s="1" customFormat="1" spans="2:31">
      <c r="B19" s="25" t="s">
        <v>45</v>
      </c>
      <c r="C19" s="31"/>
      <c r="D19" s="25" t="s">
        <v>49</v>
      </c>
      <c r="E19" s="27">
        <v>0.24</v>
      </c>
      <c r="F19" s="25" t="s">
        <v>33</v>
      </c>
      <c r="G19" s="28">
        <f>M18</f>
        <v>0.405</v>
      </c>
      <c r="H19" s="25" t="s">
        <v>75</v>
      </c>
      <c r="I19" s="28">
        <v>0.3</v>
      </c>
      <c r="J19" s="30"/>
      <c r="K19" s="28"/>
      <c r="L19" s="25" t="s">
        <v>47</v>
      </c>
      <c r="M19" s="27">
        <f>16.2%*5</f>
        <v>0.81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49</v>
      </c>
      <c r="C20" s="31"/>
      <c r="D20" s="25" t="s">
        <v>50</v>
      </c>
      <c r="E20" s="32">
        <v>0.12</v>
      </c>
      <c r="F20" s="25"/>
      <c r="G20" s="28"/>
      <c r="H20" s="25" t="s">
        <v>76</v>
      </c>
      <c r="I20" s="28"/>
      <c r="J20" s="30"/>
      <c r="K20" s="28"/>
      <c r="L20" s="25"/>
      <c r="M20" s="26"/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53</v>
      </c>
      <c r="C21" s="26">
        <v>350</v>
      </c>
      <c r="D21" s="25" t="s">
        <v>77</v>
      </c>
      <c r="E21" s="33">
        <f>25%+M17</f>
        <v>0.422</v>
      </c>
      <c r="F21" s="34" t="s">
        <v>55</v>
      </c>
      <c r="G21" s="35">
        <f>MIN(100%,SUM(G16:G20))</f>
        <v>0.978</v>
      </c>
      <c r="H21" s="34" t="s">
        <v>56</v>
      </c>
      <c r="I21" s="36">
        <f>SUM(I16:I20)</f>
        <v>3.05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40" t="s">
        <v>60</v>
      </c>
      <c r="C22" s="41"/>
      <c r="D22" s="40"/>
      <c r="E22" s="42"/>
      <c r="F22" s="40"/>
      <c r="G22" s="42"/>
      <c r="H22" s="40"/>
      <c r="I22" s="41"/>
      <c r="J22" s="44"/>
      <c r="K22" s="43"/>
      <c r="L22" s="40"/>
      <c r="M22" s="41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9">$C$16</f>
        <v>1012</v>
      </c>
      <c r="T22" s="56">
        <f t="shared" ref="T22:T30" si="10">($C$17+$C$18+$C$19+$C$20)+($C$21+$C$22)/S22</f>
        <v>1.29784980237154</v>
      </c>
      <c r="U22" s="56">
        <f t="shared" ref="U22:U25" si="11">SUM($E$16:$E$20)</f>
        <v>0.96</v>
      </c>
      <c r="V22" s="58">
        <f t="shared" ref="V22:V30" si="12">1+$G$21*($I$21-1)</f>
        <v>3.0049</v>
      </c>
      <c r="W22" s="59">
        <f t="shared" ref="W22:W25" si="13">$K$16</f>
        <v>0</v>
      </c>
      <c r="X22" s="58">
        <f t="shared" ref="X22:X25" si="14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5">Q22*S22*(1+T22)*(1+U22)*V22*(1+W22)*X22*Y22*(1+Z22)*(1+AA22)*(1+AB22)</f>
        <v>15028.2605670737</v>
      </c>
      <c r="AE22" s="62" t="s">
        <v>78</v>
      </c>
    </row>
    <row r="23" s="1" customFormat="1" spans="2:31">
      <c r="B23" s="6"/>
      <c r="C23" s="6"/>
      <c r="D23" s="6"/>
      <c r="E23" s="6"/>
      <c r="F23" s="6"/>
      <c r="G23" s="45"/>
      <c r="H23" s="6"/>
      <c r="I23" s="6"/>
      <c r="J23" s="6"/>
      <c r="K23" s="6"/>
      <c r="L23" s="6"/>
      <c r="M23" s="6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9"/>
        <v>1012</v>
      </c>
      <c r="T23" s="56">
        <f t="shared" si="10"/>
        <v>1.29784980237154</v>
      </c>
      <c r="U23" s="56">
        <f t="shared" si="11"/>
        <v>0.96</v>
      </c>
      <c r="V23" s="58">
        <f t="shared" si="12"/>
        <v>3.0049</v>
      </c>
      <c r="W23" s="59">
        <f t="shared" si="13"/>
        <v>0</v>
      </c>
      <c r="X23" s="58">
        <f t="shared" si="14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5"/>
        <v>7392.19044998824</v>
      </c>
      <c r="AE23" s="1">
        <v>0.9</v>
      </c>
    </row>
    <row r="24" s="1" customFormat="1" ht="15" spans="2:31">
      <c r="B24" s="63" t="s">
        <v>81</v>
      </c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86" t="s">
        <v>80</v>
      </c>
      <c r="Q24" s="87">
        <f>167.01%+222.67%*3</f>
        <v>8.3502</v>
      </c>
      <c r="R24" s="88" t="s">
        <v>29</v>
      </c>
      <c r="S24" s="57">
        <f t="shared" si="9"/>
        <v>1012</v>
      </c>
      <c r="T24" s="56">
        <f t="shared" si="10"/>
        <v>1.29784980237154</v>
      </c>
      <c r="U24" s="56">
        <f t="shared" ref="U24:U30" si="16">SUM($E$16:$E$21)</f>
        <v>1.382</v>
      </c>
      <c r="V24" s="58">
        <f t="shared" si="12"/>
        <v>3.0049</v>
      </c>
      <c r="W24" s="59">
        <f t="shared" ref="W24:W28" si="17">$K$16+K$17</f>
        <v>0</v>
      </c>
      <c r="X24" s="58">
        <f t="shared" ref="X24:X29" si="18">$AF$4</f>
        <v>0.686443960160238</v>
      </c>
      <c r="Y24" s="57">
        <f t="shared" ref="Y24:Y30" si="19">AE$23</f>
        <v>0.9</v>
      </c>
      <c r="Z24" s="60">
        <v>0</v>
      </c>
      <c r="AA24" s="60">
        <v>0</v>
      </c>
      <c r="AB24" s="60">
        <v>0</v>
      </c>
      <c r="AC24" s="61">
        <f t="shared" si="15"/>
        <v>85865.4413250719</v>
      </c>
    </row>
    <row r="25" s="1" customFormat="1" spans="2:31">
      <c r="B25" s="64"/>
      <c r="C25" s="64" t="s">
        <v>83</v>
      </c>
      <c r="D25" s="64" t="s">
        <v>84</v>
      </c>
      <c r="E25" s="64" t="s">
        <v>85</v>
      </c>
      <c r="F25" s="65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9"/>
        <v>1012</v>
      </c>
      <c r="T25" s="56">
        <f t="shared" si="10"/>
        <v>1.29784980237154</v>
      </c>
      <c r="U25" s="56">
        <f t="shared" si="11"/>
        <v>0.96</v>
      </c>
      <c r="V25" s="58">
        <f t="shared" si="12"/>
        <v>3.0049</v>
      </c>
      <c r="W25" s="59">
        <f t="shared" si="13"/>
        <v>0</v>
      </c>
      <c r="X25" s="58">
        <f t="shared" si="14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5"/>
        <v>18892.4350220943</v>
      </c>
    </row>
    <row r="26" s="1" customFormat="1" spans="2:31">
      <c r="B26" s="67" t="s">
        <v>109</v>
      </c>
      <c r="C26" s="67">
        <f>SUM(AC3:AC13)</f>
        <v>327576.090150113</v>
      </c>
      <c r="D26" s="67">
        <f>C26/E$26</f>
        <v>13103.0436060045</v>
      </c>
      <c r="E26" s="65">
        <v>25</v>
      </c>
      <c r="F26" s="65"/>
      <c r="G26" s="45"/>
      <c r="H26" s="6"/>
      <c r="I26" s="6"/>
      <c r="J26" s="6"/>
      <c r="K26" s="6"/>
      <c r="L26" s="6"/>
      <c r="M26" s="6"/>
      <c r="N26" s="6"/>
      <c r="P26" s="86" t="s">
        <v>86</v>
      </c>
      <c r="Q26" s="87">
        <f>17.9%*4+35.79%*3+178.93%</f>
        <v>3.579</v>
      </c>
      <c r="R26" s="88" t="s">
        <v>29</v>
      </c>
      <c r="S26" s="57">
        <f t="shared" si="9"/>
        <v>1012</v>
      </c>
      <c r="T26" s="56">
        <f t="shared" si="10"/>
        <v>1.29784980237154</v>
      </c>
      <c r="U26" s="56">
        <f t="shared" si="16"/>
        <v>1.382</v>
      </c>
      <c r="V26" s="58">
        <f t="shared" si="12"/>
        <v>3.0049</v>
      </c>
      <c r="W26" s="59">
        <f t="shared" si="17"/>
        <v>0</v>
      </c>
      <c r="X26" s="58">
        <f t="shared" si="18"/>
        <v>0.686443960160238</v>
      </c>
      <c r="Y26" s="57">
        <f t="shared" si="19"/>
        <v>0.9</v>
      </c>
      <c r="Z26" s="60">
        <v>0</v>
      </c>
      <c r="AA26" s="60">
        <v>0</v>
      </c>
      <c r="AB26" s="60">
        <v>0</v>
      </c>
      <c r="AC26" s="61">
        <f t="shared" si="15"/>
        <v>36803.000467346</v>
      </c>
    </row>
    <row r="27" s="1" customFormat="1" spans="2:31">
      <c r="B27" s="67" t="s">
        <v>66</v>
      </c>
      <c r="C27" s="67">
        <f>SUM(AC22:AC30)</f>
        <v>475240.130271253</v>
      </c>
      <c r="D27" s="67">
        <f>C27/E$26</f>
        <v>19009.6052108501</v>
      </c>
      <c r="E27" s="6"/>
      <c r="F27" s="6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9"/>
        <v>1012</v>
      </c>
      <c r="T27" s="56">
        <f t="shared" si="10"/>
        <v>1.29784980237154</v>
      </c>
      <c r="U27" s="56">
        <f>SUM($E$16:$E$20)</f>
        <v>0.96</v>
      </c>
      <c r="V27" s="58">
        <f t="shared" si="12"/>
        <v>3.0049</v>
      </c>
      <c r="W27" s="59">
        <f>$K$16</f>
        <v>0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5"/>
        <v>18892.4350220943</v>
      </c>
    </row>
    <row r="28" s="1" customFormat="1" spans="2:31">
      <c r="B28" s="67" t="s">
        <v>123</v>
      </c>
      <c r="C28" s="67">
        <f>AC17+AC18</f>
        <v>188154</v>
      </c>
      <c r="D28" s="67"/>
      <c r="E28" s="45"/>
      <c r="F28" s="6"/>
      <c r="G28" s="45"/>
      <c r="H28" s="6"/>
      <c r="I28" s="6"/>
      <c r="J28" s="6"/>
      <c r="K28" s="6"/>
      <c r="L28" s="6"/>
      <c r="M28" s="6"/>
      <c r="N28" s="6"/>
      <c r="P28" s="86" t="s">
        <v>89</v>
      </c>
      <c r="Q28" s="87">
        <f>17.9%*4+35.79%*3+178.93%</f>
        <v>3.579</v>
      </c>
      <c r="R28" s="88" t="s">
        <v>29</v>
      </c>
      <c r="S28" s="57">
        <f t="shared" si="9"/>
        <v>1012</v>
      </c>
      <c r="T28" s="56">
        <f t="shared" si="10"/>
        <v>1.29784980237154</v>
      </c>
      <c r="U28" s="56">
        <f t="shared" si="16"/>
        <v>1.382</v>
      </c>
      <c r="V28" s="58">
        <f t="shared" si="12"/>
        <v>3.0049</v>
      </c>
      <c r="W28" s="59">
        <f t="shared" si="17"/>
        <v>0</v>
      </c>
      <c r="X28" s="58">
        <f t="shared" si="18"/>
        <v>0.686443960160238</v>
      </c>
      <c r="Y28" s="57">
        <f t="shared" si="19"/>
        <v>0.9</v>
      </c>
      <c r="Z28" s="60">
        <v>0</v>
      </c>
      <c r="AA28" s="60">
        <v>0</v>
      </c>
      <c r="AB28" s="60">
        <v>0</v>
      </c>
      <c r="AC28" s="61">
        <f t="shared" si="15"/>
        <v>36803.000467346</v>
      </c>
    </row>
    <row r="29" s="1" customFormat="1" spans="2:31">
      <c r="B29" s="67" t="s">
        <v>97</v>
      </c>
      <c r="C29" s="67">
        <f>SUM(C26:C28)</f>
        <v>990970.220421365</v>
      </c>
      <c r="D29" s="67">
        <f>C29/E26</f>
        <v>39638.8088168546</v>
      </c>
      <c r="E29" s="6"/>
      <c r="F29" s="6"/>
      <c r="G29" s="45"/>
      <c r="H29" s="6"/>
      <c r="I29" s="6"/>
      <c r="J29" s="6"/>
      <c r="K29" s="6"/>
      <c r="L29" s="6"/>
      <c r="M29" s="6"/>
      <c r="N29" s="6"/>
      <c r="P29" s="86" t="s">
        <v>91</v>
      </c>
      <c r="Q29" s="87">
        <f>232%</f>
        <v>2.32</v>
      </c>
      <c r="R29" s="88" t="s">
        <v>29</v>
      </c>
      <c r="S29" s="57">
        <f t="shared" si="9"/>
        <v>1012</v>
      </c>
      <c r="T29" s="56">
        <f t="shared" si="10"/>
        <v>1.29784980237154</v>
      </c>
      <c r="U29" s="56">
        <f t="shared" si="16"/>
        <v>1.382</v>
      </c>
      <c r="V29" s="58">
        <f t="shared" si="12"/>
        <v>3.0049</v>
      </c>
      <c r="W29" s="59">
        <f>2+W28</f>
        <v>2</v>
      </c>
      <c r="X29" s="58">
        <f t="shared" si="18"/>
        <v>0.686443960160238</v>
      </c>
      <c r="Y29" s="57">
        <f t="shared" si="19"/>
        <v>0.9</v>
      </c>
      <c r="Z29" s="60">
        <v>0</v>
      </c>
      <c r="AA29" s="60">
        <v>0</v>
      </c>
      <c r="AB29" s="60">
        <v>0</v>
      </c>
      <c r="AC29" s="61">
        <f t="shared" si="15"/>
        <v>71569.9589976887</v>
      </c>
    </row>
    <row r="30" s="1" customFormat="1" spans="2:31">
      <c r="B30" s="67"/>
      <c r="C30" s="67"/>
      <c r="D30" s="67"/>
      <c r="E30" s="6"/>
      <c r="F30" s="6"/>
      <c r="G30" s="45"/>
      <c r="I30" s="6"/>
      <c r="J30" s="6"/>
      <c r="K30" s="6"/>
      <c r="L30" s="6"/>
      <c r="M30" s="6"/>
      <c r="N30" s="6"/>
      <c r="P30" s="86" t="s">
        <v>92</v>
      </c>
      <c r="Q30" s="87">
        <v>17.8929</v>
      </c>
      <c r="R30" s="88" t="s">
        <v>29</v>
      </c>
      <c r="S30" s="57">
        <f t="shared" si="9"/>
        <v>1012</v>
      </c>
      <c r="T30" s="56">
        <f t="shared" si="10"/>
        <v>1.29784980237154</v>
      </c>
      <c r="U30" s="56">
        <f t="shared" si="16"/>
        <v>1.382</v>
      </c>
      <c r="V30" s="58">
        <f t="shared" si="12"/>
        <v>3.0049</v>
      </c>
      <c r="W30" s="59">
        <f>$K$16+K$17</f>
        <v>0</v>
      </c>
      <c r="X30" s="58">
        <f>$AF$5</f>
        <v>0.686443960160238</v>
      </c>
      <c r="Y30" s="57">
        <f t="shared" si="19"/>
        <v>0.9</v>
      </c>
      <c r="Z30" s="60">
        <v>0</v>
      </c>
      <c r="AA30" s="60">
        <v>0</v>
      </c>
      <c r="AB30" s="60">
        <v>0</v>
      </c>
      <c r="AC30" s="61">
        <f t="shared" si="15"/>
        <v>183993.407952549</v>
      </c>
    </row>
    <row r="31" s="1" customFormat="1" spans="2:31">
      <c r="B31" s="67"/>
      <c r="C31" s="67"/>
      <c r="D31" s="67"/>
      <c r="E31" s="6"/>
      <c r="F31" s="6"/>
      <c r="G31" s="45"/>
      <c r="H31" s="6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"/>
      <c r="C32" s="6"/>
      <c r="D32" s="6"/>
      <c r="E32" s="6"/>
      <c r="F32" s="6"/>
      <c r="G32" s="45"/>
      <c r="H32" s="6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"/>
      <c r="C33" s="6"/>
      <c r="D33" s="6"/>
      <c r="E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F34" s="67"/>
      <c r="G34" s="2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"/>
      <c r="G36" s="2"/>
      <c r="N36" s="6"/>
      <c r="U36" s="2"/>
      <c r="V36" s="3"/>
      <c r="AB36" s="4"/>
      <c r="AC36" s="4"/>
    </row>
    <row r="37" s="1" customFormat="1" ht="20" customHeight="1" spans="2:29">
      <c r="B37" s="67"/>
      <c r="C37" s="67"/>
      <c r="D37" s="67"/>
      <c r="E37" s="6"/>
      <c r="F37" s="67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"/>
      <c r="C39" s="6"/>
      <c r="D39" s="6"/>
      <c r="E39" s="6"/>
      <c r="F39" s="6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7"/>
      <c r="C40" s="67"/>
      <c r="D40" s="67"/>
      <c r="E40" s="6"/>
      <c r="F40" s="67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"/>
      <c r="C42" s="6"/>
      <c r="D42" s="6"/>
      <c r="E42" s="6"/>
      <c r="F42" s="6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F43" s="67"/>
      <c r="G43" s="2"/>
      <c r="N43" s="6"/>
      <c r="Q43" s="2"/>
      <c r="U43" s="2"/>
      <c r="V43" s="3"/>
      <c r="AB43" s="4"/>
      <c r="AC43" s="4"/>
    </row>
    <row r="44" s="1" customFormat="1" spans="2:29">
      <c r="E44" s="6"/>
      <c r="G44" s="2"/>
      <c r="N44" s="6"/>
      <c r="Q44" s="2"/>
      <c r="U44" s="2"/>
      <c r="V44" s="3"/>
      <c r="AB44" s="4"/>
      <c r="AC44" s="4"/>
    </row>
    <row r="45" s="1" customFormat="1" spans="2:29"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H58" s="1"/>
      <c r="I58" s="1"/>
      <c r="J58" s="1"/>
      <c r="K58" s="1"/>
      <c r="L58" s="1"/>
      <c r="M58" s="1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13" workbookViewId="0">
      <selection activeCell="I31" sqref="I31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11.8181818181818" style="1" customWidth="1"/>
    <col min="6" max="6" width="8.54545454545454" style="1" customWidth="1"/>
    <col min="7" max="7" width="7.54545454545455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84" t="s">
        <v>109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6"/>
      <c r="P2" s="7" t="s">
        <v>1</v>
      </c>
      <c r="Q2" s="8" t="s">
        <v>2</v>
      </c>
      <c r="R2" s="9" t="s">
        <v>3</v>
      </c>
      <c r="S2" s="9" t="s">
        <v>110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85" t="s">
        <v>22</v>
      </c>
      <c r="Q3" s="18">
        <v>0.9543</v>
      </c>
      <c r="R3" s="19" t="s">
        <v>23</v>
      </c>
      <c r="S3" s="19">
        <f t="shared" ref="S3:S13" si="0">$C$4</f>
        <v>937</v>
      </c>
      <c r="T3" s="18">
        <f t="shared" ref="T3:T13" si="1">($C$5+$C$6+$C$7+$C$8)+($C$9+$C$10)/S3</f>
        <v>1.3455325506937</v>
      </c>
      <c r="U3" s="18">
        <f t="shared" ref="U3:U8" si="2">SUM($E$4:$E$7)</f>
        <v>1.46</v>
      </c>
      <c r="V3" s="20">
        <f t="shared" ref="V3:V13" si="3">1+$G$9*($I$9-1)</f>
        <v>2.55665</v>
      </c>
      <c r="W3" s="21">
        <f t="shared" ref="W3:W13" si="4">$K$4</f>
        <v>0.1</v>
      </c>
      <c r="X3" s="20">
        <f t="shared" ref="X3:X13" si="5">$AF$6</f>
        <v>0.582139232997858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3" si="6">Q3*S3*(1+T3)*(1+U3)*V3*(1+W3)*X3*Y3*(1+Z3)*(1+AA3)*(1+AB3)</f>
        <v>6757.43544905379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v>937</v>
      </c>
      <c r="D4" s="25" t="s">
        <v>24</v>
      </c>
      <c r="E4" s="27">
        <v>0.6</v>
      </c>
      <c r="F4" s="25" t="s">
        <v>25</v>
      </c>
      <c r="G4" s="28">
        <v>0.05</v>
      </c>
      <c r="H4" s="25" t="s">
        <v>25</v>
      </c>
      <c r="I4" s="27">
        <f>150%+16%</f>
        <v>1.66</v>
      </c>
      <c r="J4" s="29" t="s">
        <v>26</v>
      </c>
      <c r="K4" s="27">
        <v>0.1</v>
      </c>
      <c r="L4" s="25" t="s">
        <v>27</v>
      </c>
      <c r="M4" s="28">
        <f>8.6%*2</f>
        <v>0.172</v>
      </c>
      <c r="N4" s="6"/>
      <c r="P4" s="17" t="s">
        <v>111</v>
      </c>
      <c r="Q4" s="18">
        <v>0.3579</v>
      </c>
      <c r="R4" s="19" t="s">
        <v>37</v>
      </c>
      <c r="S4" s="19">
        <f t="shared" si="0"/>
        <v>937</v>
      </c>
      <c r="T4" s="18">
        <f t="shared" si="1"/>
        <v>1.3455325506937</v>
      </c>
      <c r="U4" s="18">
        <f t="shared" si="2"/>
        <v>1.46</v>
      </c>
      <c r="V4" s="20">
        <f t="shared" si="3"/>
        <v>2.55665</v>
      </c>
      <c r="W4" s="21">
        <f t="shared" si="4"/>
        <v>0.1</v>
      </c>
      <c r="X4" s="20">
        <f t="shared" si="5"/>
        <v>0.582139232997858</v>
      </c>
      <c r="Y4" s="19">
        <v>0.8</v>
      </c>
      <c r="Z4" s="22">
        <v>0</v>
      </c>
      <c r="AA4" s="22">
        <v>0</v>
      </c>
      <c r="AB4" s="22">
        <v>0</v>
      </c>
      <c r="AC4" s="23">
        <f t="shared" si="6"/>
        <v>2534.30383235497</v>
      </c>
      <c r="AD4" s="13">
        <f>32*2+AD6</f>
        <v>76</v>
      </c>
      <c r="AE4" s="13">
        <f>AE6</f>
        <v>18</v>
      </c>
      <c r="AF4" s="14">
        <f t="shared" ref="AF4:AF8" si="7">1520/(1520+(792+8*AG4)*(1-AE4/100)*(1-AD4/100))</f>
        <v>0.836285273632542</v>
      </c>
      <c r="AG4" s="24">
        <v>90</v>
      </c>
    </row>
    <row r="5" s="1" customFormat="1" spans="2:33">
      <c r="B5" s="25" t="s">
        <v>30</v>
      </c>
      <c r="C5" s="27">
        <f>12%+12%</f>
        <v>0.24</v>
      </c>
      <c r="D5" s="25" t="s">
        <v>39</v>
      </c>
      <c r="E5" s="27">
        <f>10%+12%</f>
        <v>0.22</v>
      </c>
      <c r="F5" s="25" t="s">
        <v>32</v>
      </c>
      <c r="G5" s="28">
        <v>0.36</v>
      </c>
      <c r="H5" s="25" t="s">
        <v>33</v>
      </c>
      <c r="I5" s="28">
        <f>M7+44%</f>
        <v>1.25</v>
      </c>
      <c r="J5" s="30" t="s">
        <v>34</v>
      </c>
      <c r="K5" s="28"/>
      <c r="L5" s="25" t="s">
        <v>112</v>
      </c>
      <c r="M5" s="28">
        <f>8.6%*2</f>
        <v>0.172</v>
      </c>
      <c r="N5" s="6"/>
      <c r="P5" s="17" t="s">
        <v>113</v>
      </c>
      <c r="Q5" s="18">
        <f>15.11%*4+90.66%</f>
        <v>1.511</v>
      </c>
      <c r="R5" s="19" t="s">
        <v>44</v>
      </c>
      <c r="S5" s="19">
        <f t="shared" si="0"/>
        <v>937</v>
      </c>
      <c r="T5" s="18">
        <f t="shared" si="1"/>
        <v>1.3455325506937</v>
      </c>
      <c r="U5" s="18">
        <f t="shared" si="2"/>
        <v>1.46</v>
      </c>
      <c r="V5" s="20">
        <f t="shared" si="3"/>
        <v>2.55665</v>
      </c>
      <c r="W5" s="21">
        <f t="shared" si="4"/>
        <v>0.1</v>
      </c>
      <c r="X5" s="20">
        <f t="shared" si="5"/>
        <v>0.582139232997858</v>
      </c>
      <c r="Y5" s="19">
        <v>0.8</v>
      </c>
      <c r="Z5" s="22">
        <v>0</v>
      </c>
      <c r="AA5" s="22">
        <v>0</v>
      </c>
      <c r="AB5" s="22">
        <v>0</v>
      </c>
      <c r="AC5" s="23">
        <f t="shared" si="6"/>
        <v>10699.4498203084</v>
      </c>
      <c r="AD5" s="13">
        <f>64+32</f>
        <v>96</v>
      </c>
      <c r="AE5" s="13">
        <f>AE4</f>
        <v>18</v>
      </c>
      <c r="AF5" s="14">
        <f t="shared" si="7"/>
        <v>0.968403540891094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114</v>
      </c>
      <c r="E6" s="27">
        <v>0.2</v>
      </c>
      <c r="F6" s="25" t="s">
        <v>41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8.1%*5</f>
        <v>0.405</v>
      </c>
      <c r="N6" s="6"/>
      <c r="P6" s="17" t="s">
        <v>115</v>
      </c>
      <c r="Q6" s="18">
        <f>29.81%+14.91%+104.34%+47.78%</f>
        <v>1.9684</v>
      </c>
      <c r="R6" s="19" t="s">
        <v>29</v>
      </c>
      <c r="S6" s="19">
        <f t="shared" si="0"/>
        <v>937</v>
      </c>
      <c r="T6" s="18">
        <f t="shared" si="1"/>
        <v>1.3455325506937</v>
      </c>
      <c r="U6" s="18">
        <f t="shared" ref="U6:U11" si="8">SUM($E$4:$E$8)</f>
        <v>2.292</v>
      </c>
      <c r="V6" s="20">
        <f t="shared" si="3"/>
        <v>2.55665</v>
      </c>
      <c r="W6" s="21">
        <f t="shared" si="4"/>
        <v>0.1</v>
      </c>
      <c r="X6" s="20">
        <f t="shared" si="5"/>
        <v>0.582139232997858</v>
      </c>
      <c r="Y6" s="19">
        <v>0.8</v>
      </c>
      <c r="Z6" s="22">
        <v>0</v>
      </c>
      <c r="AA6" s="22">
        <v>0</v>
      </c>
      <c r="AB6" s="22">
        <v>0</v>
      </c>
      <c r="AC6" s="23">
        <f t="shared" si="6"/>
        <v>18652.414491712</v>
      </c>
      <c r="AD6" s="13">
        <v>12</v>
      </c>
      <c r="AE6" s="13">
        <v>18</v>
      </c>
      <c r="AF6" s="14">
        <f t="shared" si="7"/>
        <v>0.582139232997858</v>
      </c>
      <c r="AG6" s="24">
        <v>90</v>
      </c>
    </row>
    <row r="7" s="1" customFormat="1" spans="2:33">
      <c r="B7" s="25" t="s">
        <v>45</v>
      </c>
      <c r="C7" s="31">
        <v>0.2</v>
      </c>
      <c r="D7" s="25" t="s">
        <v>45</v>
      </c>
      <c r="E7" s="27">
        <f>24%+20%</f>
        <v>0.44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116</v>
      </c>
      <c r="Q7" s="18">
        <f>10.15%*2+47.35%</f>
        <v>0.6765</v>
      </c>
      <c r="R7" s="19" t="s">
        <v>44</v>
      </c>
      <c r="S7" s="19">
        <f t="shared" si="0"/>
        <v>937</v>
      </c>
      <c r="T7" s="18">
        <f t="shared" si="1"/>
        <v>1.3455325506937</v>
      </c>
      <c r="U7" s="18">
        <f t="shared" si="2"/>
        <v>1.46</v>
      </c>
      <c r="V7" s="20">
        <f t="shared" si="3"/>
        <v>2.55665</v>
      </c>
      <c r="W7" s="21">
        <f t="shared" si="4"/>
        <v>0.1</v>
      </c>
      <c r="X7" s="20">
        <f t="shared" si="5"/>
        <v>0.582139232997858</v>
      </c>
      <c r="Y7" s="19">
        <v>0.8</v>
      </c>
      <c r="Z7" s="22">
        <v>0</v>
      </c>
      <c r="AA7" s="22">
        <v>0</v>
      </c>
      <c r="AB7" s="22">
        <v>0</v>
      </c>
      <c r="AC7" s="23">
        <f t="shared" si="6"/>
        <v>4790.32283483694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/>
      <c r="D8" s="25" t="s">
        <v>77</v>
      </c>
      <c r="E8" s="27">
        <f>24%+M5+12%+30%</f>
        <v>0.832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117</v>
      </c>
      <c r="Q8" s="18">
        <f>16.97%*8</f>
        <v>1.3576</v>
      </c>
      <c r="R8" s="19" t="s">
        <v>37</v>
      </c>
      <c r="S8" s="19">
        <f t="shared" si="0"/>
        <v>937</v>
      </c>
      <c r="T8" s="18">
        <f t="shared" si="1"/>
        <v>1.3455325506937</v>
      </c>
      <c r="U8" s="18">
        <f t="shared" si="2"/>
        <v>1.46</v>
      </c>
      <c r="V8" s="20">
        <f t="shared" si="3"/>
        <v>2.55665</v>
      </c>
      <c r="W8" s="21">
        <f t="shared" si="4"/>
        <v>0.1</v>
      </c>
      <c r="X8" s="20">
        <f t="shared" si="5"/>
        <v>0.582139232997858</v>
      </c>
      <c r="Y8" s="19">
        <v>0.8</v>
      </c>
      <c r="Z8" s="22">
        <v>0</v>
      </c>
      <c r="AA8" s="22">
        <v>0</v>
      </c>
      <c r="AB8" s="22">
        <v>0</v>
      </c>
      <c r="AC8" s="23">
        <f t="shared" si="6"/>
        <v>9613.21844874298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/>
      <c r="E9" s="27"/>
      <c r="F9" s="34" t="s">
        <v>55</v>
      </c>
      <c r="G9" s="35">
        <f>MIN(100%,SUM(G4:G8))</f>
        <v>0.815</v>
      </c>
      <c r="H9" s="34" t="s">
        <v>56</v>
      </c>
      <c r="I9" s="36">
        <f>SUM(I4:I8)</f>
        <v>2.91</v>
      </c>
      <c r="J9" s="30"/>
      <c r="K9" s="28"/>
      <c r="L9" s="25"/>
      <c r="M9" s="26"/>
      <c r="N9" s="6"/>
      <c r="P9" s="17" t="s">
        <v>118</v>
      </c>
      <c r="Q9" s="18">
        <f>954.29%</f>
        <v>9.5429</v>
      </c>
      <c r="R9" s="19" t="s">
        <v>29</v>
      </c>
      <c r="S9" s="19">
        <f t="shared" si="0"/>
        <v>937</v>
      </c>
      <c r="T9" s="18">
        <f t="shared" si="1"/>
        <v>1.3455325506937</v>
      </c>
      <c r="U9" s="18">
        <f t="shared" si="8"/>
        <v>2.292</v>
      </c>
      <c r="V9" s="20">
        <f t="shared" si="3"/>
        <v>2.55665</v>
      </c>
      <c r="W9" s="21">
        <f t="shared" si="4"/>
        <v>0.1</v>
      </c>
      <c r="X9" s="20">
        <f t="shared" si="5"/>
        <v>0.582139232997858</v>
      </c>
      <c r="Y9" s="19">
        <v>0.8</v>
      </c>
      <c r="Z9" s="22">
        <v>0</v>
      </c>
      <c r="AA9" s="22">
        <v>0</v>
      </c>
      <c r="AB9" s="22">
        <v>0</v>
      </c>
      <c r="AC9" s="23">
        <f t="shared" si="6"/>
        <v>90427.822725543</v>
      </c>
    </row>
    <row r="10" s="1" customFormat="1" spans="2:33">
      <c r="B10" s="40" t="s">
        <v>60</v>
      </c>
      <c r="C10" s="41"/>
      <c r="D10" s="40"/>
      <c r="E10" s="42"/>
      <c r="F10" s="40"/>
      <c r="G10" s="43"/>
      <c r="H10" s="40"/>
      <c r="I10" s="41"/>
      <c r="J10" s="44"/>
      <c r="K10" s="43"/>
      <c r="L10" s="40"/>
      <c r="M10" s="41"/>
      <c r="N10" s="6"/>
      <c r="P10" s="17" t="s">
        <v>119</v>
      </c>
      <c r="Q10" s="18">
        <f>11.49%*6+14.73%*7+14.92%*8</f>
        <v>2.9141</v>
      </c>
      <c r="R10" s="19" t="s">
        <v>29</v>
      </c>
      <c r="S10" s="19">
        <f t="shared" si="0"/>
        <v>937</v>
      </c>
      <c r="T10" s="18">
        <f t="shared" si="1"/>
        <v>1.3455325506937</v>
      </c>
      <c r="U10" s="18">
        <f t="shared" si="8"/>
        <v>2.292</v>
      </c>
      <c r="V10" s="20">
        <f t="shared" si="3"/>
        <v>2.55665</v>
      </c>
      <c r="W10" s="21">
        <f t="shared" si="4"/>
        <v>0.1</v>
      </c>
      <c r="X10" s="20">
        <f t="shared" si="5"/>
        <v>0.582139232997858</v>
      </c>
      <c r="Y10" s="19">
        <v>0.8</v>
      </c>
      <c r="Z10" s="22">
        <v>1.2</v>
      </c>
      <c r="AA10" s="22">
        <v>0</v>
      </c>
      <c r="AB10" s="22">
        <v>0</v>
      </c>
      <c r="AC10" s="23">
        <f t="shared" si="6"/>
        <v>60750.3568150049</v>
      </c>
    </row>
    <row r="11" s="1" customFormat="1" spans="2:33">
      <c r="B11" s="6"/>
      <c r="C11" s="6"/>
      <c r="D11" s="6"/>
      <c r="E11" s="6"/>
      <c r="F11" s="6" t="s">
        <v>63</v>
      </c>
      <c r="G11" s="45"/>
      <c r="H11" s="6"/>
      <c r="I11" s="6"/>
      <c r="J11" s="6"/>
      <c r="K11" s="6"/>
      <c r="L11" s="6"/>
      <c r="M11" s="6"/>
      <c r="N11" s="6"/>
      <c r="P11" s="17" t="s">
        <v>120</v>
      </c>
      <c r="Q11" s="18">
        <f>51.54%+206.13%+100*2.58%</f>
        <v>5.1567</v>
      </c>
      <c r="R11" s="19" t="s">
        <v>29</v>
      </c>
      <c r="S11" s="19">
        <f t="shared" si="0"/>
        <v>937</v>
      </c>
      <c r="T11" s="18">
        <f t="shared" si="1"/>
        <v>1.3455325506937</v>
      </c>
      <c r="U11" s="18">
        <f t="shared" si="8"/>
        <v>2.292</v>
      </c>
      <c r="V11" s="20">
        <f t="shared" si="3"/>
        <v>2.55665</v>
      </c>
      <c r="W11" s="21">
        <f t="shared" si="4"/>
        <v>0.1</v>
      </c>
      <c r="X11" s="20">
        <f t="shared" si="5"/>
        <v>0.582139232997858</v>
      </c>
      <c r="Y11" s="19">
        <v>0.8</v>
      </c>
      <c r="Z11" s="22">
        <v>1.2</v>
      </c>
      <c r="AA11" s="22">
        <v>0</v>
      </c>
      <c r="AB11" s="22">
        <v>0</v>
      </c>
      <c r="AC11" s="23">
        <f t="shared" si="6"/>
        <v>107501.926834335</v>
      </c>
    </row>
    <row r="12" s="1" customFormat="1" spans="2:33">
      <c r="B12" s="6"/>
      <c r="C12" s="6"/>
      <c r="D12" s="6"/>
      <c r="E12" s="6"/>
      <c r="F12" s="6"/>
      <c r="G12" s="45"/>
      <c r="H12" s="6"/>
      <c r="I12" s="6"/>
      <c r="J12" s="6"/>
      <c r="K12" s="6"/>
      <c r="L12" s="6"/>
      <c r="M12" s="6"/>
      <c r="N12" s="6"/>
      <c r="P12" s="17" t="s">
        <v>121</v>
      </c>
      <c r="Q12" s="18">
        <f>131.04%*2</f>
        <v>2.6208</v>
      </c>
      <c r="R12" s="19" t="s">
        <v>62</v>
      </c>
      <c r="S12" s="19">
        <f t="shared" si="0"/>
        <v>937</v>
      </c>
      <c r="T12" s="18">
        <f t="shared" si="1"/>
        <v>1.3455325506937</v>
      </c>
      <c r="U12" s="18">
        <f>SUM($E$4:$E$7)</f>
        <v>1.46</v>
      </c>
      <c r="V12" s="20">
        <f t="shared" si="3"/>
        <v>2.55665</v>
      </c>
      <c r="W12" s="21">
        <f t="shared" si="4"/>
        <v>0.1</v>
      </c>
      <c r="X12" s="20">
        <f t="shared" si="5"/>
        <v>0.582139232997858</v>
      </c>
      <c r="Y12" s="19">
        <v>0.8</v>
      </c>
      <c r="Z12" s="22">
        <v>0</v>
      </c>
      <c r="AA12" s="22">
        <v>0</v>
      </c>
      <c r="AB12" s="22">
        <v>0</v>
      </c>
      <c r="AC12" s="23">
        <f t="shared" si="6"/>
        <v>18557.9868226765</v>
      </c>
    </row>
    <row r="13" s="1" customFormat="1" ht="14.75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 t="s">
        <v>122</v>
      </c>
      <c r="Q13" s="18">
        <f>24.57%*8</f>
        <v>1.9656</v>
      </c>
      <c r="R13" s="19" t="s">
        <v>62</v>
      </c>
      <c r="S13" s="19">
        <f t="shared" si="0"/>
        <v>937</v>
      </c>
      <c r="T13" s="18">
        <f t="shared" si="1"/>
        <v>1.3455325506937</v>
      </c>
      <c r="U13" s="18">
        <f>SUM($E$4:$E$7)+1</f>
        <v>2.46</v>
      </c>
      <c r="V13" s="20">
        <f t="shared" si="3"/>
        <v>2.55665</v>
      </c>
      <c r="W13" s="21">
        <f t="shared" si="4"/>
        <v>0.1</v>
      </c>
      <c r="X13" s="20">
        <f t="shared" si="5"/>
        <v>0.582139232997858</v>
      </c>
      <c r="Y13" s="19">
        <v>0.8</v>
      </c>
      <c r="Z13" s="22">
        <v>0</v>
      </c>
      <c r="AA13" s="22">
        <v>0</v>
      </c>
      <c r="AB13" s="22">
        <v>0</v>
      </c>
      <c r="AC13" s="23">
        <f t="shared" si="6"/>
        <v>19576.412928799</v>
      </c>
    </row>
    <row r="14" s="1" customFormat="1" ht="15" spans="2:33">
      <c r="B14" s="46" t="s">
        <v>66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  <c r="N14" s="6"/>
      <c r="P14" s="17"/>
      <c r="Q14" s="18"/>
      <c r="R14" s="19"/>
      <c r="S14" s="19"/>
      <c r="T14" s="18"/>
      <c r="U14" s="18"/>
      <c r="V14" s="20"/>
      <c r="W14" s="21"/>
      <c r="X14" s="20"/>
      <c r="Y14" s="19"/>
      <c r="Z14" s="22"/>
      <c r="AA14" s="22"/>
      <c r="AB14" s="22"/>
      <c r="AC14" s="23"/>
    </row>
    <row r="15" s="1" customFormat="1" spans="2:33">
      <c r="B15" s="50" t="s">
        <v>18</v>
      </c>
      <c r="C15" s="51"/>
      <c r="D15" s="50" t="s">
        <v>6</v>
      </c>
      <c r="E15" s="51"/>
      <c r="F15" s="50" t="s">
        <v>19</v>
      </c>
      <c r="G15" s="51"/>
      <c r="H15" s="50" t="s">
        <v>20</v>
      </c>
      <c r="I15" s="51"/>
      <c r="J15" s="52" t="s">
        <v>8</v>
      </c>
      <c r="K15" s="52"/>
      <c r="L15" s="50" t="s">
        <v>21</v>
      </c>
      <c r="M15" s="51"/>
      <c r="N15" s="6"/>
      <c r="P15" s="17"/>
      <c r="Q15" s="18"/>
      <c r="R15" s="19"/>
      <c r="S15" s="19"/>
      <c r="T15" s="18"/>
      <c r="U15" s="18"/>
      <c r="V15" s="20"/>
      <c r="W15" s="21"/>
      <c r="X15" s="49"/>
      <c r="Y15" s="19"/>
      <c r="Z15" s="22"/>
      <c r="AA15" s="22"/>
      <c r="AB15" s="22"/>
      <c r="AC15" s="23"/>
    </row>
    <row r="16" s="1" customFormat="1" spans="2:33">
      <c r="B16" s="25" t="s">
        <v>4</v>
      </c>
      <c r="C16" s="26">
        <f>425+587</f>
        <v>1012</v>
      </c>
      <c r="D16" s="25" t="s">
        <v>24</v>
      </c>
      <c r="E16" s="27">
        <v>0.3</v>
      </c>
      <c r="F16" s="25" t="s">
        <v>25</v>
      </c>
      <c r="G16" s="28">
        <v>0.13</v>
      </c>
      <c r="H16" s="25" t="s">
        <v>25</v>
      </c>
      <c r="I16" s="27">
        <v>1.5</v>
      </c>
      <c r="J16" s="53" t="s">
        <v>26</v>
      </c>
      <c r="K16" s="54"/>
      <c r="L16" s="25" t="s">
        <v>27</v>
      </c>
      <c r="M16" s="28">
        <f>8.6%*2</f>
        <v>0.172</v>
      </c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>$AF$3</f>
        <v>0.50131926121372</v>
      </c>
      <c r="Y16" s="19">
        <v>0.8</v>
      </c>
      <c r="Z16" s="22">
        <v>0</v>
      </c>
      <c r="AA16" s="22">
        <v>0</v>
      </c>
      <c r="AB16" s="22">
        <v>0.1</v>
      </c>
      <c r="AC16" s="23">
        <f>Q16*S16*(1+T16)*(1+U16)*V16*(1+W16)*X16*Y16*(1+Z16)*(1+AA16)*(1+AB16)</f>
        <v>26383.2053718206</v>
      </c>
    </row>
    <row r="17" s="1" customFormat="1" spans="2:31">
      <c r="B17" s="25" t="s">
        <v>30</v>
      </c>
      <c r="C17" s="27">
        <v>0.12</v>
      </c>
      <c r="D17" s="25" t="s">
        <v>70</v>
      </c>
      <c r="E17" s="27">
        <v>0.2</v>
      </c>
      <c r="F17" s="25" t="s">
        <v>32</v>
      </c>
      <c r="G17" s="28">
        <v>0.243</v>
      </c>
      <c r="H17" s="25" t="s">
        <v>33</v>
      </c>
      <c r="I17" s="28">
        <f>M19</f>
        <v>0.81</v>
      </c>
      <c r="J17" s="30" t="s">
        <v>71</v>
      </c>
      <c r="K17" s="28"/>
      <c r="L17" s="25" t="s">
        <v>72</v>
      </c>
      <c r="M17" s="28">
        <f>8.6%*2</f>
        <v>0.172</v>
      </c>
      <c r="N17" s="6"/>
      <c r="P17" s="17" t="s">
        <v>123</v>
      </c>
      <c r="Q17" s="21"/>
      <c r="R17" s="19"/>
      <c r="S17" s="19"/>
      <c r="T17" s="18"/>
      <c r="U17" s="18"/>
      <c r="V17" s="20"/>
      <c r="W17" s="21"/>
      <c r="X17" s="49"/>
      <c r="Y17" s="19"/>
      <c r="Z17" s="22"/>
      <c r="AA17" s="22"/>
      <c r="AB17" s="22"/>
      <c r="AC17" s="89">
        <f>20906*2.4</f>
        <v>50174.4</v>
      </c>
    </row>
    <row r="18" s="1" customFormat="1" spans="2:31">
      <c r="B18" s="25" t="s">
        <v>38</v>
      </c>
      <c r="C18" s="27">
        <f>18%+18%+M16+30%</f>
        <v>0.832</v>
      </c>
      <c r="D18" s="25" t="s">
        <v>39</v>
      </c>
      <c r="E18" s="27">
        <v>0.3</v>
      </c>
      <c r="F18" s="25" t="s">
        <v>41</v>
      </c>
      <c r="G18" s="28">
        <v>0.2</v>
      </c>
      <c r="H18" s="25" t="s">
        <v>74</v>
      </c>
      <c r="I18" s="28">
        <v>0.44</v>
      </c>
      <c r="J18" s="30"/>
      <c r="K18" s="28"/>
      <c r="L18" s="25" t="s">
        <v>19</v>
      </c>
      <c r="M18" s="28">
        <f>8.1*5%</f>
        <v>0.405</v>
      </c>
      <c r="N18" s="6"/>
      <c r="P18" s="17" t="s">
        <v>124</v>
      </c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89">
        <f>AC17*(1+4+6)*2</f>
        <v>1103836.8</v>
      </c>
    </row>
    <row r="19" s="1" customFormat="1" spans="2:31">
      <c r="B19" s="25" t="s">
        <v>45</v>
      </c>
      <c r="C19" s="31"/>
      <c r="D19" s="25" t="s">
        <v>49</v>
      </c>
      <c r="E19" s="27">
        <v>0.24</v>
      </c>
      <c r="F19" s="25" t="s">
        <v>33</v>
      </c>
      <c r="G19" s="28">
        <f>M18</f>
        <v>0.405</v>
      </c>
      <c r="H19" s="25" t="s">
        <v>75</v>
      </c>
      <c r="I19" s="28">
        <v>0.6</v>
      </c>
      <c r="J19" s="30"/>
      <c r="K19" s="28"/>
      <c r="L19" s="25" t="s">
        <v>47</v>
      </c>
      <c r="M19" s="27">
        <f>16.2%*5</f>
        <v>0.81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49</v>
      </c>
      <c r="C20" s="31"/>
      <c r="D20" s="25" t="s">
        <v>50</v>
      </c>
      <c r="E20" s="32">
        <v>0.24</v>
      </c>
      <c r="F20" s="25"/>
      <c r="G20" s="28"/>
      <c r="H20" s="25" t="s">
        <v>76</v>
      </c>
      <c r="I20" s="28"/>
      <c r="J20" s="30"/>
      <c r="K20" s="28"/>
      <c r="L20" s="25"/>
      <c r="M20" s="26"/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53</v>
      </c>
      <c r="C21" s="26">
        <v>350</v>
      </c>
      <c r="D21" s="25" t="s">
        <v>77</v>
      </c>
      <c r="E21" s="33">
        <f>25%+M17</f>
        <v>0.422</v>
      </c>
      <c r="F21" s="34" t="s">
        <v>55</v>
      </c>
      <c r="G21" s="35">
        <f>MIN(100%,SUM(G16:G20))</f>
        <v>0.978</v>
      </c>
      <c r="H21" s="34" t="s">
        <v>56</v>
      </c>
      <c r="I21" s="36">
        <f>SUM(I16:I20)</f>
        <v>3.35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40" t="s">
        <v>60</v>
      </c>
      <c r="C22" s="41"/>
      <c r="D22" s="40"/>
      <c r="E22" s="42"/>
      <c r="F22" s="40"/>
      <c r="G22" s="42"/>
      <c r="H22" s="40"/>
      <c r="I22" s="41"/>
      <c r="J22" s="44"/>
      <c r="K22" s="43"/>
      <c r="L22" s="40"/>
      <c r="M22" s="41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9">$C$16</f>
        <v>1012</v>
      </c>
      <c r="T22" s="56">
        <f t="shared" ref="T22:T30" si="10">($C$17+$C$18+$C$19+$C$20)+($C$21+$C$22)/S22</f>
        <v>1.29784980237154</v>
      </c>
      <c r="U22" s="56">
        <f t="shared" ref="U22:U25" si="11">SUM($E$16:$E$20)</f>
        <v>1.28</v>
      </c>
      <c r="V22" s="58">
        <f t="shared" ref="V22:V30" si="12">1+$G$21*($I$21-1)</f>
        <v>3.2983</v>
      </c>
      <c r="W22" s="59">
        <f t="shared" ref="W22:W25" si="13">$K$16</f>
        <v>0</v>
      </c>
      <c r="X22" s="58">
        <f t="shared" ref="X22:X25" si="14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5">Q22*S22*(1+T22)*(1+U22)*V22*(1+W22)*X22*Y22*(1+Z22)*(1+AA22)*(1+AB22)</f>
        <v>19188.7914652165</v>
      </c>
      <c r="AE22" s="62" t="s">
        <v>78</v>
      </c>
    </row>
    <row r="23" s="1" customFormat="1" spans="2:31">
      <c r="B23" s="6"/>
      <c r="C23" s="6"/>
      <c r="D23" s="6"/>
      <c r="E23" s="6"/>
      <c r="F23" s="6"/>
      <c r="G23" s="45"/>
      <c r="H23" s="6"/>
      <c r="I23" s="6"/>
      <c r="J23" s="6"/>
      <c r="K23" s="6"/>
      <c r="L23" s="6"/>
      <c r="M23" s="6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9"/>
        <v>1012</v>
      </c>
      <c r="T23" s="56">
        <f t="shared" si="10"/>
        <v>1.29784980237154</v>
      </c>
      <c r="U23" s="56">
        <f t="shared" si="11"/>
        <v>1.28</v>
      </c>
      <c r="V23" s="58">
        <f t="shared" si="12"/>
        <v>3.2983</v>
      </c>
      <c r="W23" s="59">
        <f t="shared" si="13"/>
        <v>0</v>
      </c>
      <c r="X23" s="58">
        <f t="shared" si="14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5"/>
        <v>9438.69720536855</v>
      </c>
      <c r="AE23" s="1">
        <v>1.05</v>
      </c>
    </row>
    <row r="24" s="1" customFormat="1" ht="15" spans="2:31">
      <c r="B24" s="63" t="s">
        <v>81</v>
      </c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9"/>
        <v>1012</v>
      </c>
      <c r="T24" s="56">
        <f t="shared" si="10"/>
        <v>1.29784980237154</v>
      </c>
      <c r="U24" s="56">
        <f t="shared" ref="U24:U30" si="16">SUM($E$16:$E$21)</f>
        <v>1.702</v>
      </c>
      <c r="V24" s="58">
        <f t="shared" si="12"/>
        <v>3.2983</v>
      </c>
      <c r="W24" s="59">
        <f t="shared" ref="W24:W28" si="17">$K$16+K$17</f>
        <v>0</v>
      </c>
      <c r="X24" s="58">
        <f t="shared" ref="X24:X29" si="18">$AF$4</f>
        <v>0.836285273632542</v>
      </c>
      <c r="Y24" s="57">
        <f t="shared" ref="Y24:Y30" si="19">AE$23</f>
        <v>1.05</v>
      </c>
      <c r="Z24" s="60">
        <v>0</v>
      </c>
      <c r="AA24" s="60">
        <v>0.4</v>
      </c>
      <c r="AB24" s="60">
        <v>0</v>
      </c>
      <c r="AC24" s="61">
        <f t="shared" si="15"/>
        <v>212738.607131824</v>
      </c>
    </row>
    <row r="25" s="1" customFormat="1" spans="2:31">
      <c r="B25" s="64"/>
      <c r="C25" s="64" t="s">
        <v>83</v>
      </c>
      <c r="D25" s="64" t="s">
        <v>84</v>
      </c>
      <c r="E25" s="64" t="s">
        <v>85</v>
      </c>
      <c r="F25" s="65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9"/>
        <v>1012</v>
      </c>
      <c r="T25" s="56">
        <f t="shared" si="10"/>
        <v>1.29784980237154</v>
      </c>
      <c r="U25" s="56">
        <f t="shared" si="11"/>
        <v>1.28</v>
      </c>
      <c r="V25" s="58">
        <f t="shared" si="12"/>
        <v>3.2983</v>
      </c>
      <c r="W25" s="59">
        <f t="shared" si="13"/>
        <v>0</v>
      </c>
      <c r="X25" s="58">
        <f t="shared" si="14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5"/>
        <v>24122.7515513933</v>
      </c>
    </row>
    <row r="26" s="1" customFormat="1" spans="2:31">
      <c r="B26" s="67" t="s">
        <v>109</v>
      </c>
      <c r="C26" s="67">
        <f>SUM(AC3:AC13)</f>
        <v>349861.651003368</v>
      </c>
      <c r="D26" s="67">
        <f>C26/E$26</f>
        <v>13994.4660401347</v>
      </c>
      <c r="E26" s="65">
        <v>25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9"/>
        <v>1012</v>
      </c>
      <c r="T26" s="56">
        <f t="shared" si="10"/>
        <v>1.29784980237154</v>
      </c>
      <c r="U26" s="56">
        <f t="shared" si="16"/>
        <v>1.702</v>
      </c>
      <c r="V26" s="58">
        <f t="shared" si="12"/>
        <v>3.2983</v>
      </c>
      <c r="W26" s="59">
        <f t="shared" si="17"/>
        <v>0</v>
      </c>
      <c r="X26" s="58">
        <f t="shared" si="18"/>
        <v>0.836285273632542</v>
      </c>
      <c r="Y26" s="57">
        <f t="shared" si="19"/>
        <v>1.05</v>
      </c>
      <c r="Z26" s="60">
        <v>1</v>
      </c>
      <c r="AA26" s="60">
        <v>0.4</v>
      </c>
      <c r="AB26" s="60">
        <v>0</v>
      </c>
      <c r="AC26" s="61">
        <f t="shared" si="15"/>
        <v>182364.84753055</v>
      </c>
    </row>
    <row r="27" s="1" customFormat="1" spans="2:31">
      <c r="B27" s="67" t="s">
        <v>66</v>
      </c>
      <c r="C27" s="67">
        <f>SUM(AC22:AC30)</f>
        <v>2045149.3003407</v>
      </c>
      <c r="D27" s="67">
        <f>C27/E$26</f>
        <v>81805.9720136281</v>
      </c>
      <c r="E27" s="6"/>
      <c r="F27" s="6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9"/>
        <v>1012</v>
      </c>
      <c r="T27" s="56">
        <f t="shared" si="10"/>
        <v>1.29784980237154</v>
      </c>
      <c r="U27" s="56">
        <f>SUM($E$16:$E$20)</f>
        <v>1.28</v>
      </c>
      <c r="V27" s="58">
        <f t="shared" si="12"/>
        <v>3.2983</v>
      </c>
      <c r="W27" s="59">
        <f>$K$16</f>
        <v>0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5"/>
        <v>24122.7515513933</v>
      </c>
    </row>
    <row r="28" s="1" customFormat="1" spans="2:31">
      <c r="B28" s="67" t="s">
        <v>123</v>
      </c>
      <c r="C28" s="67">
        <f>AC17*2+AC18</f>
        <v>1204185.6</v>
      </c>
      <c r="D28" s="67"/>
      <c r="E28" s="45"/>
      <c r="F28" s="6"/>
      <c r="G28" s="45"/>
      <c r="H28" s="6"/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9"/>
        <v>1012</v>
      </c>
      <c r="T28" s="56">
        <f t="shared" si="10"/>
        <v>1.29784980237154</v>
      </c>
      <c r="U28" s="56">
        <f t="shared" si="16"/>
        <v>1.702</v>
      </c>
      <c r="V28" s="58">
        <f t="shared" si="12"/>
        <v>3.2983</v>
      </c>
      <c r="W28" s="59">
        <f t="shared" si="17"/>
        <v>0</v>
      </c>
      <c r="X28" s="58">
        <f t="shared" si="18"/>
        <v>0.836285273632542</v>
      </c>
      <c r="Y28" s="57">
        <f t="shared" si="19"/>
        <v>1.05</v>
      </c>
      <c r="Z28" s="60">
        <v>1</v>
      </c>
      <c r="AA28" s="60">
        <v>0.4</v>
      </c>
      <c r="AB28" s="60">
        <v>0</v>
      </c>
      <c r="AC28" s="61">
        <f t="shared" si="15"/>
        <v>182364.84753055</v>
      </c>
    </row>
    <row r="29" s="1" customFormat="1" spans="2:31">
      <c r="B29" s="67" t="s">
        <v>97</v>
      </c>
      <c r="C29" s="67">
        <f>SUM(C26:C28)</f>
        <v>3599196.55134407</v>
      </c>
      <c r="D29" s="67">
        <f>C29/E26</f>
        <v>143967.862053763</v>
      </c>
      <c r="E29" s="6"/>
      <c r="F29" s="6"/>
      <c r="G29" s="45"/>
      <c r="H29" s="6"/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9"/>
        <v>1012</v>
      </c>
      <c r="T29" s="56">
        <f t="shared" si="10"/>
        <v>1.29784980237154</v>
      </c>
      <c r="U29" s="56">
        <f t="shared" si="16"/>
        <v>1.702</v>
      </c>
      <c r="V29" s="58">
        <f>1+$G$21*($I$21-1+3)</f>
        <v>6.2323</v>
      </c>
      <c r="W29" s="59">
        <f>2+W28</f>
        <v>2</v>
      </c>
      <c r="X29" s="58">
        <f t="shared" si="18"/>
        <v>0.836285273632542</v>
      </c>
      <c r="Y29" s="57">
        <f t="shared" si="19"/>
        <v>1.05</v>
      </c>
      <c r="Z29" s="60">
        <v>0</v>
      </c>
      <c r="AA29" s="60">
        <v>0.4</v>
      </c>
      <c r="AB29" s="60">
        <v>0</v>
      </c>
      <c r="AC29" s="61">
        <f t="shared" si="15"/>
        <v>335055.590894075</v>
      </c>
    </row>
    <row r="30" s="1" customFormat="1" spans="2:31">
      <c r="B30" s="67"/>
      <c r="C30" s="67"/>
      <c r="D30" s="67"/>
      <c r="E30" s="57" t="s">
        <v>125</v>
      </c>
      <c r="F30" s="57" t="s">
        <v>101</v>
      </c>
      <c r="G30" s="56"/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9"/>
        <v>1012</v>
      </c>
      <c r="T30" s="56">
        <f t="shared" si="10"/>
        <v>1.29784980237154</v>
      </c>
      <c r="U30" s="56">
        <f t="shared" si="16"/>
        <v>1.702</v>
      </c>
      <c r="V30" s="58">
        <f t="shared" si="12"/>
        <v>3.2983</v>
      </c>
      <c r="W30" s="59">
        <f>$K$16+K$17</f>
        <v>0</v>
      </c>
      <c r="X30" s="58">
        <f>$AF$5</f>
        <v>0.968403540891094</v>
      </c>
      <c r="Y30" s="57">
        <f t="shared" si="19"/>
        <v>1.05</v>
      </c>
      <c r="Z30" s="60">
        <v>1</v>
      </c>
      <c r="AA30" s="60">
        <v>0.4</v>
      </c>
      <c r="AB30" s="60">
        <v>0</v>
      </c>
      <c r="AC30" s="61">
        <f t="shared" si="15"/>
        <v>1055752.41548033</v>
      </c>
    </row>
    <row r="31" s="1" customFormat="1" spans="2:31">
      <c r="B31" s="67"/>
      <c r="C31" s="67"/>
      <c r="D31" s="67"/>
      <c r="E31" s="93" t="s">
        <v>126</v>
      </c>
      <c r="F31" s="6">
        <v>39639</v>
      </c>
      <c r="G31" s="45"/>
      <c r="H31" s="6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"/>
      <c r="C32" s="6"/>
      <c r="D32" s="6"/>
      <c r="E32" s="6">
        <v>11</v>
      </c>
      <c r="F32" s="6">
        <v>42434</v>
      </c>
      <c r="G32" s="45">
        <f t="shared" ref="G32:G37" si="20">F32/F31-1</f>
        <v>0.0705113650697546</v>
      </c>
      <c r="H32" s="6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"/>
      <c r="C33" s="6"/>
      <c r="D33" s="6"/>
      <c r="E33" s="6">
        <v>21</v>
      </c>
      <c r="F33" s="6">
        <v>49560</v>
      </c>
      <c r="G33" s="45">
        <f t="shared" si="20"/>
        <v>0.16793137578357</v>
      </c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>
        <v>31</v>
      </c>
      <c r="F34" s="67">
        <v>61819</v>
      </c>
      <c r="G34" s="45">
        <f t="shared" si="20"/>
        <v>0.247356739305892</v>
      </c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>
        <v>41</v>
      </c>
      <c r="F35" s="67">
        <v>65865</v>
      </c>
      <c r="G35" s="45">
        <f t="shared" si="20"/>
        <v>0.0654491337614649</v>
      </c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>
        <v>61</v>
      </c>
      <c r="F36" s="6">
        <v>117226</v>
      </c>
      <c r="G36" s="45">
        <f t="shared" si="20"/>
        <v>0.779791998785394</v>
      </c>
      <c r="N36" s="6"/>
      <c r="U36" s="2"/>
      <c r="V36" s="3"/>
      <c r="AB36" s="4"/>
      <c r="AC36" s="4"/>
    </row>
    <row r="37" s="1" customFormat="1" ht="20" customHeight="1" spans="2:29">
      <c r="B37" s="67"/>
      <c r="C37" s="67"/>
      <c r="D37" s="67"/>
      <c r="E37" s="6">
        <v>65</v>
      </c>
      <c r="F37" s="67">
        <v>143968</v>
      </c>
      <c r="G37" s="45">
        <f t="shared" si="20"/>
        <v>0.228123453841298</v>
      </c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"/>
      <c r="C39" s="6"/>
      <c r="D39" s="6"/>
      <c r="E39" s="6"/>
      <c r="F39" s="6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7"/>
      <c r="C40" s="67"/>
      <c r="D40" s="67"/>
      <c r="E40" s="6"/>
      <c r="F40" s="67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"/>
      <c r="C42" s="6"/>
      <c r="D42" s="6"/>
      <c r="E42" s="6"/>
      <c r="F42" s="6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F43" s="67"/>
      <c r="G43" s="2"/>
      <c r="N43" s="6"/>
      <c r="Q43" s="2"/>
      <c r="U43" s="2"/>
      <c r="V43" s="3"/>
      <c r="AB43" s="4"/>
      <c r="AC43" s="4"/>
    </row>
    <row r="44" s="1" customFormat="1" spans="2:29">
      <c r="E44" s="6"/>
      <c r="G44" s="2"/>
      <c r="N44" s="6"/>
      <c r="Q44" s="2"/>
      <c r="U44" s="2"/>
      <c r="V44" s="3"/>
      <c r="AB44" s="4"/>
      <c r="AC44" s="4"/>
    </row>
    <row r="45" s="1" customFormat="1" spans="2:29"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sheetProtection formatCells="0" formatColumns="0" formatRows="0" insertRows="0" insertColumns="0" insertHyperlinks="0" deleteColumns="0" deleteRows="0" sort="0" autoFilter="0" pivotTables="0"/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conditionalFormatting sqref="G32:G3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{3fcaa784-ea0f-4237-bf37-77f565ea3933}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aa784-ea0f-4237-bf37-77f565ea39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G32:G37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workbookViewId="0">
      <selection activeCell="J28" sqref="J2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84" t="s">
        <v>109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6"/>
      <c r="P2" s="7" t="s">
        <v>1</v>
      </c>
      <c r="Q2" s="8" t="s">
        <v>2</v>
      </c>
      <c r="R2" s="9" t="s">
        <v>3</v>
      </c>
      <c r="S2" s="9" t="s">
        <v>110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85" t="s">
        <v>22</v>
      </c>
      <c r="Q3" s="18">
        <v>0.9543</v>
      </c>
      <c r="R3" s="19" t="s">
        <v>23</v>
      </c>
      <c r="S3" s="19">
        <f t="shared" ref="S3:S13" si="0">$C$4</f>
        <v>937</v>
      </c>
      <c r="T3" s="18">
        <f t="shared" ref="T3:T13" si="1">($C$5+$C$6+$C$7+$C$8)+($C$9+$C$10)/S3</f>
        <v>1.7355325506937</v>
      </c>
      <c r="U3" s="18">
        <f t="shared" ref="U3:U8" si="2">SUM($E$4:$E$7)</f>
        <v>1.26</v>
      </c>
      <c r="V3" s="20">
        <f t="shared" ref="V3:V13" si="3">1+$G$9*($I$9-1)</f>
        <v>2.7954</v>
      </c>
      <c r="W3" s="21">
        <f t="shared" ref="W3:W13" si="4">$K$4</f>
        <v>0.25</v>
      </c>
      <c r="X3" s="20">
        <f t="shared" ref="X3:X13" si="5">$AF$6</f>
        <v>0.582139232997858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3" si="6">Q3*S3*(1+T3)*(1+U3)*V3*(1+W3)*X3*Y3*(1+Z3)*(1+AA3)*(1+AB3)</f>
        <v>8995.92178781194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v>937</v>
      </c>
      <c r="D4" s="25" t="s">
        <v>24</v>
      </c>
      <c r="E4" s="27">
        <v>0.6</v>
      </c>
      <c r="F4" s="25" t="s">
        <v>25</v>
      </c>
      <c r="G4" s="28">
        <v>0.05</v>
      </c>
      <c r="H4" s="25" t="s">
        <v>25</v>
      </c>
      <c r="I4" s="27">
        <f>150%+16%</f>
        <v>1.66</v>
      </c>
      <c r="J4" s="29" t="s">
        <v>26</v>
      </c>
      <c r="K4" s="27">
        <v>0.25</v>
      </c>
      <c r="L4" s="25" t="s">
        <v>27</v>
      </c>
      <c r="M4" s="28">
        <f>8.6%*2</f>
        <v>0.172</v>
      </c>
      <c r="N4" s="6"/>
      <c r="P4" s="17" t="s">
        <v>111</v>
      </c>
      <c r="Q4" s="18">
        <v>0.3579</v>
      </c>
      <c r="R4" s="19" t="s">
        <v>37</v>
      </c>
      <c r="S4" s="19">
        <f t="shared" si="0"/>
        <v>937</v>
      </c>
      <c r="T4" s="18">
        <f t="shared" si="1"/>
        <v>1.7355325506937</v>
      </c>
      <c r="U4" s="18">
        <f t="shared" si="2"/>
        <v>1.26</v>
      </c>
      <c r="V4" s="20">
        <f t="shared" si="3"/>
        <v>2.7954</v>
      </c>
      <c r="W4" s="21">
        <f t="shared" si="4"/>
        <v>0.25</v>
      </c>
      <c r="X4" s="20">
        <f t="shared" si="5"/>
        <v>0.582139232997858</v>
      </c>
      <c r="Y4" s="19">
        <v>0.8</v>
      </c>
      <c r="Z4" s="22">
        <v>0</v>
      </c>
      <c r="AA4" s="22">
        <v>0</v>
      </c>
      <c r="AB4" s="22">
        <v>0</v>
      </c>
      <c r="AC4" s="23">
        <f t="shared" si="6"/>
        <v>3373.82417254311</v>
      </c>
      <c r="AD4" s="13">
        <f>32+AD6</f>
        <v>44</v>
      </c>
      <c r="AE4" s="13">
        <f>AE6</f>
        <v>18</v>
      </c>
      <c r="AF4" s="14">
        <f t="shared" ref="AF4:AF8" si="7">1520/(1520+(792+8*AG4)*(1-AE4/100)*(1-AD4/100))</f>
        <v>0.686443960160238</v>
      </c>
      <c r="AG4" s="24">
        <v>90</v>
      </c>
    </row>
    <row r="5" s="1" customFormat="1" spans="2:33">
      <c r="B5" s="25" t="s">
        <v>30</v>
      </c>
      <c r="C5" s="27">
        <f>12%+12%</f>
        <v>0.24</v>
      </c>
      <c r="D5" s="25" t="s">
        <v>39</v>
      </c>
      <c r="E5" s="27">
        <f>10%+12%</f>
        <v>0.22</v>
      </c>
      <c r="F5" s="25" t="s">
        <v>32</v>
      </c>
      <c r="G5" s="28">
        <v>0.36</v>
      </c>
      <c r="H5" s="25" t="s">
        <v>33</v>
      </c>
      <c r="I5" s="28">
        <f>M7+44%</f>
        <v>1.25</v>
      </c>
      <c r="J5" s="30" t="s">
        <v>34</v>
      </c>
      <c r="K5" s="28"/>
      <c r="L5" s="25" t="s">
        <v>112</v>
      </c>
      <c r="M5" s="28">
        <f>8.6%*2</f>
        <v>0.172</v>
      </c>
      <c r="N5" s="6"/>
      <c r="P5" s="17" t="s">
        <v>113</v>
      </c>
      <c r="Q5" s="18">
        <f>15.11%*4+90.66%</f>
        <v>1.511</v>
      </c>
      <c r="R5" s="19" t="s">
        <v>44</v>
      </c>
      <c r="S5" s="19">
        <f t="shared" si="0"/>
        <v>937</v>
      </c>
      <c r="T5" s="18">
        <f t="shared" si="1"/>
        <v>1.7355325506937</v>
      </c>
      <c r="U5" s="18">
        <f t="shared" si="2"/>
        <v>1.26</v>
      </c>
      <c r="V5" s="20">
        <f t="shared" si="3"/>
        <v>2.7954</v>
      </c>
      <c r="W5" s="21">
        <f t="shared" si="4"/>
        <v>0.25</v>
      </c>
      <c r="X5" s="20">
        <f t="shared" si="5"/>
        <v>0.582139232997858</v>
      </c>
      <c r="Y5" s="19">
        <v>0.8</v>
      </c>
      <c r="Z5" s="22">
        <v>0</v>
      </c>
      <c r="AA5" s="22">
        <v>0</v>
      </c>
      <c r="AB5" s="22">
        <v>0</v>
      </c>
      <c r="AC5" s="23">
        <f t="shared" si="6"/>
        <v>14243.778498778</v>
      </c>
      <c r="AD5" s="13">
        <f>AD4</f>
        <v>44</v>
      </c>
      <c r="AE5" s="13">
        <f>AE4</f>
        <v>18</v>
      </c>
      <c r="AF5" s="14">
        <f t="shared" si="7"/>
        <v>0.686443960160238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114</v>
      </c>
      <c r="E6" s="27"/>
      <c r="F6" s="25" t="s">
        <v>41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8.1%*5</f>
        <v>0.405</v>
      </c>
      <c r="N6" s="6"/>
      <c r="P6" s="17" t="s">
        <v>115</v>
      </c>
      <c r="Q6" s="18">
        <f>29.81%+14.91%+104.34%+47.78%</f>
        <v>1.9684</v>
      </c>
      <c r="R6" s="19" t="s">
        <v>29</v>
      </c>
      <c r="S6" s="19">
        <f t="shared" si="0"/>
        <v>937</v>
      </c>
      <c r="T6" s="18">
        <f t="shared" si="1"/>
        <v>1.7355325506937</v>
      </c>
      <c r="U6" s="18">
        <f t="shared" ref="U6:U11" si="8">SUM($E$4:$E$8)</f>
        <v>2.092</v>
      </c>
      <c r="V6" s="20">
        <f t="shared" si="3"/>
        <v>2.7954</v>
      </c>
      <c r="W6" s="21">
        <f t="shared" si="4"/>
        <v>0.25</v>
      </c>
      <c r="X6" s="20">
        <f t="shared" si="5"/>
        <v>0.582139232997858</v>
      </c>
      <c r="Y6" s="19">
        <v>0.8</v>
      </c>
      <c r="Z6" s="22">
        <v>0</v>
      </c>
      <c r="AA6" s="22">
        <v>0</v>
      </c>
      <c r="AB6" s="22">
        <v>0</v>
      </c>
      <c r="AC6" s="23">
        <f t="shared" si="6"/>
        <v>25386.6356225167</v>
      </c>
      <c r="AD6" s="13">
        <v>12</v>
      </c>
      <c r="AE6" s="13">
        <v>18</v>
      </c>
      <c r="AF6" s="14">
        <f t="shared" si="7"/>
        <v>0.582139232997858</v>
      </c>
      <c r="AG6" s="24">
        <v>90</v>
      </c>
    </row>
    <row r="7" s="1" customFormat="1" spans="2:33">
      <c r="B7" s="25" t="s">
        <v>45</v>
      </c>
      <c r="C7" s="31">
        <v>0.2</v>
      </c>
      <c r="D7" s="25" t="s">
        <v>45</v>
      </c>
      <c r="E7" s="27">
        <f>24%+20%</f>
        <v>0.44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116</v>
      </c>
      <c r="Q7" s="18">
        <f>10.15%*2+47.35%</f>
        <v>0.6765</v>
      </c>
      <c r="R7" s="19" t="s">
        <v>44</v>
      </c>
      <c r="S7" s="19">
        <f t="shared" si="0"/>
        <v>937</v>
      </c>
      <c r="T7" s="18">
        <f t="shared" si="1"/>
        <v>1.7355325506937</v>
      </c>
      <c r="U7" s="18">
        <f t="shared" si="2"/>
        <v>1.26</v>
      </c>
      <c r="V7" s="20">
        <f t="shared" si="3"/>
        <v>2.7954</v>
      </c>
      <c r="W7" s="21">
        <f t="shared" si="4"/>
        <v>0.25</v>
      </c>
      <c r="X7" s="20">
        <f t="shared" si="5"/>
        <v>0.582139232997858</v>
      </c>
      <c r="Y7" s="19">
        <v>0.8</v>
      </c>
      <c r="Z7" s="22">
        <v>0</v>
      </c>
      <c r="AA7" s="22">
        <v>0</v>
      </c>
      <c r="AB7" s="22">
        <v>0</v>
      </c>
      <c r="AC7" s="23">
        <f t="shared" si="6"/>
        <v>6377.17812999557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0.39</v>
      </c>
      <c r="D8" s="25" t="s">
        <v>77</v>
      </c>
      <c r="E8" s="27">
        <f>24%+M5+12%+30%</f>
        <v>0.832</v>
      </c>
      <c r="F8" s="25" t="s">
        <v>51</v>
      </c>
      <c r="G8" s="28">
        <v>0.125</v>
      </c>
      <c r="H8" s="25" t="s">
        <v>51</v>
      </c>
      <c r="I8" s="28"/>
      <c r="J8" s="30"/>
      <c r="K8" s="28"/>
      <c r="L8" s="25"/>
      <c r="M8" s="26"/>
      <c r="N8" s="6"/>
      <c r="P8" s="17" t="s">
        <v>117</v>
      </c>
      <c r="Q8" s="18">
        <f>16.97%*8</f>
        <v>1.3576</v>
      </c>
      <c r="R8" s="19" t="s">
        <v>37</v>
      </c>
      <c r="S8" s="19">
        <f t="shared" si="0"/>
        <v>937</v>
      </c>
      <c r="T8" s="18">
        <f t="shared" si="1"/>
        <v>1.7355325506937</v>
      </c>
      <c r="U8" s="18">
        <f t="shared" si="2"/>
        <v>1.26</v>
      </c>
      <c r="V8" s="20">
        <f t="shared" si="3"/>
        <v>2.7954</v>
      </c>
      <c r="W8" s="21">
        <f t="shared" si="4"/>
        <v>0.25</v>
      </c>
      <c r="X8" s="20">
        <f t="shared" si="5"/>
        <v>0.582139232997858</v>
      </c>
      <c r="Y8" s="19">
        <v>0.8</v>
      </c>
      <c r="Z8" s="22">
        <v>0</v>
      </c>
      <c r="AA8" s="22">
        <v>0</v>
      </c>
      <c r="AB8" s="22">
        <v>0</v>
      </c>
      <c r="AC8" s="23">
        <f t="shared" si="6"/>
        <v>12797.7191859305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/>
      <c r="E9" s="27"/>
      <c r="F9" s="34" t="s">
        <v>55</v>
      </c>
      <c r="G9" s="35">
        <f>MIN(100%,SUM(G4:G8))</f>
        <v>0.94</v>
      </c>
      <c r="H9" s="34" t="s">
        <v>56</v>
      </c>
      <c r="I9" s="36">
        <f>SUM(I4:I8)</f>
        <v>2.91</v>
      </c>
      <c r="J9" s="30"/>
      <c r="K9" s="28"/>
      <c r="L9" s="25"/>
      <c r="M9" s="26"/>
      <c r="N9" s="6"/>
      <c r="P9" s="17" t="s">
        <v>118</v>
      </c>
      <c r="Q9" s="18">
        <f>954.29%</f>
        <v>9.5429</v>
      </c>
      <c r="R9" s="19" t="s">
        <v>29</v>
      </c>
      <c r="S9" s="19">
        <f t="shared" si="0"/>
        <v>937</v>
      </c>
      <c r="T9" s="18">
        <f t="shared" si="1"/>
        <v>1.7355325506937</v>
      </c>
      <c r="U9" s="18">
        <f t="shared" si="8"/>
        <v>2.092</v>
      </c>
      <c r="V9" s="20">
        <f t="shared" si="3"/>
        <v>2.7954</v>
      </c>
      <c r="W9" s="21">
        <f t="shared" si="4"/>
        <v>0.25</v>
      </c>
      <c r="X9" s="20">
        <f t="shared" si="5"/>
        <v>0.582139232997858</v>
      </c>
      <c r="Y9" s="19">
        <v>0.8</v>
      </c>
      <c r="Z9" s="22">
        <v>0</v>
      </c>
      <c r="AA9" s="22">
        <v>0</v>
      </c>
      <c r="AB9" s="22">
        <v>0</v>
      </c>
      <c r="AC9" s="23">
        <f t="shared" si="6"/>
        <v>123075.657936453</v>
      </c>
    </row>
    <row r="10" s="1" customFormat="1" spans="2:33">
      <c r="B10" s="40" t="s">
        <v>60</v>
      </c>
      <c r="C10" s="41"/>
      <c r="D10" s="40"/>
      <c r="E10" s="42"/>
      <c r="F10" s="40"/>
      <c r="G10" s="43"/>
      <c r="H10" s="40"/>
      <c r="I10" s="41"/>
      <c r="J10" s="44"/>
      <c r="K10" s="43"/>
      <c r="L10" s="40"/>
      <c r="M10" s="41"/>
      <c r="N10" s="6"/>
      <c r="P10" s="17" t="s">
        <v>119</v>
      </c>
      <c r="Q10" s="18">
        <f>11.49%*6+14.73%*7+14.92%*8</f>
        <v>2.9141</v>
      </c>
      <c r="R10" s="19" t="s">
        <v>29</v>
      </c>
      <c r="S10" s="19">
        <f t="shared" si="0"/>
        <v>937</v>
      </c>
      <c r="T10" s="18">
        <f t="shared" si="1"/>
        <v>1.7355325506937</v>
      </c>
      <c r="U10" s="18">
        <f t="shared" si="8"/>
        <v>2.092</v>
      </c>
      <c r="V10" s="20">
        <f t="shared" si="3"/>
        <v>2.7954</v>
      </c>
      <c r="W10" s="21">
        <f t="shared" si="4"/>
        <v>0.25</v>
      </c>
      <c r="X10" s="20">
        <f t="shared" si="5"/>
        <v>0.582139232997858</v>
      </c>
      <c r="Y10" s="19">
        <v>0.8</v>
      </c>
      <c r="Z10" s="22">
        <v>1.2</v>
      </c>
      <c r="AA10" s="22">
        <v>0</v>
      </c>
      <c r="AB10" s="22">
        <v>0</v>
      </c>
      <c r="AC10" s="23">
        <f t="shared" si="6"/>
        <v>82683.5138735353</v>
      </c>
    </row>
    <row r="11" s="1" customFormat="1" spans="2:33">
      <c r="B11" s="6"/>
      <c r="C11" s="6"/>
      <c r="D11" s="6"/>
      <c r="E11" s="6"/>
      <c r="F11" s="6" t="s">
        <v>63</v>
      </c>
      <c r="G11" s="45"/>
      <c r="H11" s="6"/>
      <c r="I11" s="6"/>
      <c r="J11" s="6"/>
      <c r="K11" s="6"/>
      <c r="L11" s="6"/>
      <c r="M11" s="6"/>
      <c r="N11" s="6"/>
      <c r="P11" s="17" t="s">
        <v>120</v>
      </c>
      <c r="Q11" s="18">
        <f>51.54%+206.13%+100*2.58%</f>
        <v>5.1567</v>
      </c>
      <c r="R11" s="19" t="s">
        <v>29</v>
      </c>
      <c r="S11" s="19">
        <f t="shared" si="0"/>
        <v>937</v>
      </c>
      <c r="T11" s="18">
        <f t="shared" si="1"/>
        <v>1.7355325506937</v>
      </c>
      <c r="U11" s="18">
        <f t="shared" si="8"/>
        <v>2.092</v>
      </c>
      <c r="V11" s="20">
        <f t="shared" si="3"/>
        <v>2.7954</v>
      </c>
      <c r="W11" s="21">
        <f t="shared" si="4"/>
        <v>0.25</v>
      </c>
      <c r="X11" s="20">
        <f t="shared" si="5"/>
        <v>0.582139232997858</v>
      </c>
      <c r="Y11" s="19">
        <v>0.8</v>
      </c>
      <c r="Z11" s="22">
        <v>1.2</v>
      </c>
      <c r="AA11" s="22">
        <v>0</v>
      </c>
      <c r="AB11" s="22">
        <v>0</v>
      </c>
      <c r="AC11" s="23">
        <f t="shared" si="6"/>
        <v>146314.15393832</v>
      </c>
    </row>
    <row r="12" s="1" customFormat="1" spans="2:33">
      <c r="B12" s="6"/>
      <c r="C12" s="6"/>
      <c r="D12" s="6"/>
      <c r="E12" s="6"/>
      <c r="F12" s="6"/>
      <c r="G12" s="45"/>
      <c r="H12" s="6"/>
      <c r="I12" s="6"/>
      <c r="J12" s="6"/>
      <c r="K12" s="6"/>
      <c r="L12" s="6"/>
      <c r="M12" s="6"/>
      <c r="N12" s="6"/>
      <c r="P12" s="17" t="s">
        <v>121</v>
      </c>
      <c r="Q12" s="18">
        <f>131.04%*2</f>
        <v>2.6208</v>
      </c>
      <c r="R12" s="19" t="s">
        <v>62</v>
      </c>
      <c r="S12" s="19">
        <f t="shared" si="0"/>
        <v>937</v>
      </c>
      <c r="T12" s="18">
        <f t="shared" si="1"/>
        <v>1.7355325506937</v>
      </c>
      <c r="U12" s="18">
        <f>SUM($E$4:$E$7)</f>
        <v>1.26</v>
      </c>
      <c r="V12" s="20">
        <f t="shared" si="3"/>
        <v>2.7954</v>
      </c>
      <c r="W12" s="21">
        <f t="shared" si="4"/>
        <v>0.25</v>
      </c>
      <c r="X12" s="20">
        <f t="shared" si="5"/>
        <v>0.582139232997858</v>
      </c>
      <c r="Y12" s="19">
        <v>0.8</v>
      </c>
      <c r="Z12" s="22">
        <v>0</v>
      </c>
      <c r="AA12" s="22">
        <v>0</v>
      </c>
      <c r="AB12" s="22">
        <v>0</v>
      </c>
      <c r="AC12" s="23">
        <f t="shared" si="6"/>
        <v>24705.555717801</v>
      </c>
    </row>
    <row r="13" s="1" customFormat="1" ht="14.75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 t="s">
        <v>122</v>
      </c>
      <c r="Q13" s="18">
        <f>24.57%*8</f>
        <v>1.9656</v>
      </c>
      <c r="R13" s="19" t="s">
        <v>62</v>
      </c>
      <c r="S13" s="19">
        <f t="shared" si="0"/>
        <v>937</v>
      </c>
      <c r="T13" s="18">
        <f t="shared" si="1"/>
        <v>1.7355325506937</v>
      </c>
      <c r="U13" s="18">
        <f>SUM($E$4:$E$7)+1</f>
        <v>2.26</v>
      </c>
      <c r="V13" s="20">
        <f t="shared" si="3"/>
        <v>2.7954</v>
      </c>
      <c r="W13" s="21">
        <f t="shared" si="4"/>
        <v>0.25</v>
      </c>
      <c r="X13" s="20">
        <f t="shared" si="5"/>
        <v>0.582139232997858</v>
      </c>
      <c r="Y13" s="19">
        <v>0.8</v>
      </c>
      <c r="Z13" s="22">
        <v>0</v>
      </c>
      <c r="AA13" s="22">
        <v>0</v>
      </c>
      <c r="AB13" s="22">
        <v>0</v>
      </c>
      <c r="AC13" s="23">
        <f t="shared" si="6"/>
        <v>26727.9131548777</v>
      </c>
    </row>
    <row r="14" s="1" customFormat="1" ht="15" spans="2:33">
      <c r="B14" s="46" t="s">
        <v>66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  <c r="N14" s="6"/>
      <c r="P14" s="17"/>
      <c r="Q14" s="18"/>
      <c r="R14" s="19"/>
      <c r="S14" s="19"/>
      <c r="T14" s="18"/>
      <c r="U14" s="18"/>
      <c r="V14" s="20"/>
      <c r="W14" s="21"/>
      <c r="X14" s="20"/>
      <c r="Y14" s="19"/>
      <c r="Z14" s="22"/>
      <c r="AA14" s="22"/>
      <c r="AB14" s="22"/>
      <c r="AC14" s="23"/>
    </row>
    <row r="15" s="1" customFormat="1" spans="2:33">
      <c r="B15" s="50" t="s">
        <v>18</v>
      </c>
      <c r="C15" s="51"/>
      <c r="D15" s="50" t="s">
        <v>6</v>
      </c>
      <c r="E15" s="51"/>
      <c r="F15" s="50" t="s">
        <v>19</v>
      </c>
      <c r="G15" s="51"/>
      <c r="H15" s="50" t="s">
        <v>20</v>
      </c>
      <c r="I15" s="51"/>
      <c r="J15" s="52" t="s">
        <v>8</v>
      </c>
      <c r="K15" s="52"/>
      <c r="L15" s="50" t="s">
        <v>21</v>
      </c>
      <c r="M15" s="51"/>
      <c r="N15" s="6"/>
      <c r="P15" s="17"/>
      <c r="Q15" s="18"/>
      <c r="R15" s="19"/>
      <c r="S15" s="19"/>
      <c r="T15" s="18"/>
      <c r="U15" s="18"/>
      <c r="V15" s="20"/>
      <c r="W15" s="21"/>
      <c r="X15" s="49"/>
      <c r="Y15" s="19"/>
      <c r="Z15" s="22"/>
      <c r="AA15" s="22"/>
      <c r="AB15" s="22"/>
      <c r="AC15" s="23"/>
    </row>
    <row r="16" s="1" customFormat="1" spans="2:33">
      <c r="B16" s="25" t="s">
        <v>4</v>
      </c>
      <c r="C16" s="26">
        <f>425+587</f>
        <v>1012</v>
      </c>
      <c r="D16" s="25" t="s">
        <v>24</v>
      </c>
      <c r="E16" s="27">
        <v>0.3</v>
      </c>
      <c r="F16" s="25" t="s">
        <v>25</v>
      </c>
      <c r="G16" s="28">
        <v>0.13</v>
      </c>
      <c r="H16" s="25" t="s">
        <v>25</v>
      </c>
      <c r="I16" s="27">
        <v>1.5</v>
      </c>
      <c r="J16" s="53" t="s">
        <v>26</v>
      </c>
      <c r="K16" s="54">
        <v>0.15</v>
      </c>
      <c r="L16" s="25" t="s">
        <v>27</v>
      </c>
      <c r="M16" s="28">
        <f>8.6%*2</f>
        <v>0.172</v>
      </c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>$AF$3</f>
        <v>0.50131926121372</v>
      </c>
      <c r="Y16" s="19">
        <v>0.8</v>
      </c>
      <c r="Z16" s="22">
        <v>0</v>
      </c>
      <c r="AA16" s="22">
        <v>0</v>
      </c>
      <c r="AB16" s="22">
        <v>0.1</v>
      </c>
      <c r="AC16" s="23">
        <f>Q16*S16*(1+T16)*(1+U16)*V16*(1+W16)*X16*Y16*(1+Z16)*(1+AA16)*(1+AB16)</f>
        <v>26383.2053718206</v>
      </c>
    </row>
    <row r="17" s="1" customFormat="1" spans="2:31">
      <c r="B17" s="25" t="s">
        <v>30</v>
      </c>
      <c r="C17" s="27">
        <v>0.12</v>
      </c>
      <c r="D17" s="25" t="s">
        <v>70</v>
      </c>
      <c r="E17" s="27"/>
      <c r="F17" s="25" t="s">
        <v>32</v>
      </c>
      <c r="G17" s="28">
        <v>0.243</v>
      </c>
      <c r="H17" s="25" t="s">
        <v>33</v>
      </c>
      <c r="I17" s="28">
        <f>M19</f>
        <v>0.81</v>
      </c>
      <c r="J17" s="30" t="s">
        <v>71</v>
      </c>
      <c r="K17" s="28"/>
      <c r="L17" s="25" t="s">
        <v>72</v>
      </c>
      <c r="M17" s="28">
        <f>8.6%*2</f>
        <v>0.172</v>
      </c>
      <c r="N17" s="6"/>
      <c r="P17" s="17" t="s">
        <v>123</v>
      </c>
      <c r="Q17" s="21"/>
      <c r="R17" s="19"/>
      <c r="S17" s="19"/>
      <c r="T17" s="18"/>
      <c r="U17" s="18"/>
      <c r="V17" s="20"/>
      <c r="W17" s="21"/>
      <c r="X17" s="49"/>
      <c r="Y17" s="19"/>
      <c r="Z17" s="22"/>
      <c r="AA17" s="22"/>
      <c r="AB17" s="22"/>
      <c r="AC17" s="21">
        <v>20906</v>
      </c>
    </row>
    <row r="18" s="1" customFormat="1" spans="2:31">
      <c r="B18" s="25" t="s">
        <v>38</v>
      </c>
      <c r="C18" s="27">
        <f>18%+18%+M16+30%</f>
        <v>0.832</v>
      </c>
      <c r="D18" s="25" t="s">
        <v>39</v>
      </c>
      <c r="E18" s="27">
        <v>0.3</v>
      </c>
      <c r="F18" s="25" t="s">
        <v>41</v>
      </c>
      <c r="G18" s="28">
        <v>0.2</v>
      </c>
      <c r="H18" s="25" t="s">
        <v>74</v>
      </c>
      <c r="I18" s="28">
        <v>0.44</v>
      </c>
      <c r="J18" s="30"/>
      <c r="K18" s="28"/>
      <c r="L18" s="25" t="s">
        <v>19</v>
      </c>
      <c r="M18" s="28">
        <f>8.1*5%</f>
        <v>0.405</v>
      </c>
      <c r="N18" s="6"/>
      <c r="P18" s="17" t="s">
        <v>124</v>
      </c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1">
        <f>AC17*4*2</f>
        <v>167248</v>
      </c>
    </row>
    <row r="19" s="1" customFormat="1" spans="2:31">
      <c r="B19" s="25" t="s">
        <v>45</v>
      </c>
      <c r="C19" s="31"/>
      <c r="D19" s="25" t="s">
        <v>49</v>
      </c>
      <c r="E19" s="27">
        <v>0.24</v>
      </c>
      <c r="F19" s="25" t="s">
        <v>33</v>
      </c>
      <c r="G19" s="28">
        <f>M18</f>
        <v>0.405</v>
      </c>
      <c r="H19" s="25" t="s">
        <v>75</v>
      </c>
      <c r="I19" s="28">
        <v>0.3</v>
      </c>
      <c r="J19" s="30"/>
      <c r="K19" s="28"/>
      <c r="L19" s="25" t="s">
        <v>47</v>
      </c>
      <c r="M19" s="27">
        <f>16.2%*5</f>
        <v>0.81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49</v>
      </c>
      <c r="C20" s="31">
        <v>0.39</v>
      </c>
      <c r="D20" s="25" t="s">
        <v>50</v>
      </c>
      <c r="E20" s="32">
        <v>0.12</v>
      </c>
      <c r="F20" s="25"/>
      <c r="G20" s="28">
        <v>0.125</v>
      </c>
      <c r="H20" s="25" t="s">
        <v>76</v>
      </c>
      <c r="I20" s="28">
        <v>0.25</v>
      </c>
      <c r="J20" s="30"/>
      <c r="K20" s="28"/>
      <c r="L20" s="25"/>
      <c r="M20" s="26"/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53</v>
      </c>
      <c r="C21" s="26">
        <v>350</v>
      </c>
      <c r="D21" s="25" t="s">
        <v>77</v>
      </c>
      <c r="E21" s="33">
        <f>25%+M17</f>
        <v>0.422</v>
      </c>
      <c r="F21" s="34" t="s">
        <v>55</v>
      </c>
      <c r="G21" s="35">
        <f>MIN(100%,SUM(G16:G20))</f>
        <v>1</v>
      </c>
      <c r="H21" s="34" t="s">
        <v>56</v>
      </c>
      <c r="I21" s="36">
        <f>SUM(I16:I20)</f>
        <v>3.3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40" t="s">
        <v>60</v>
      </c>
      <c r="C22" s="41"/>
      <c r="D22" s="40"/>
      <c r="E22" s="42"/>
      <c r="F22" s="40"/>
      <c r="G22" s="42"/>
      <c r="H22" s="40"/>
      <c r="I22" s="41"/>
      <c r="J22" s="44"/>
      <c r="K22" s="43"/>
      <c r="L22" s="40"/>
      <c r="M22" s="41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9">$C$16</f>
        <v>1012</v>
      </c>
      <c r="T22" s="56">
        <f t="shared" ref="T22:T30" si="10">($C$17+$C$18+$C$19+$C$20)+($C$21+$C$22)/S22</f>
        <v>1.68784980237154</v>
      </c>
      <c r="U22" s="56">
        <f t="shared" ref="U22:U25" si="11">SUM($E$16:$E$20)</f>
        <v>0.96</v>
      </c>
      <c r="V22" s="58">
        <f t="shared" ref="V22:V30" si="12">1+$G$21*($I$21-1)</f>
        <v>3.3</v>
      </c>
      <c r="W22" s="59">
        <f t="shared" ref="W22:W25" si="13">$K$16</f>
        <v>0.15</v>
      </c>
      <c r="X22" s="58">
        <f t="shared" ref="X22:X25" si="14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5">Q22*S22*(1+T22)*(1+U22)*V22*(1+W22)*X22*Y22*(1+Z22)*(1+AA22)*(1+AB22)</f>
        <v>22201.0661940778</v>
      </c>
      <c r="AE22" s="62" t="s">
        <v>78</v>
      </c>
    </row>
    <row r="23" s="1" customFormat="1" spans="2:31">
      <c r="B23" s="6"/>
      <c r="C23" s="6"/>
      <c r="D23" s="6"/>
      <c r="E23" s="6"/>
      <c r="F23" s="6"/>
      <c r="G23" s="45"/>
      <c r="H23" s="6"/>
      <c r="I23" s="6"/>
      <c r="J23" s="6"/>
      <c r="K23" s="6"/>
      <c r="L23" s="6"/>
      <c r="M23" s="6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9"/>
        <v>1012</v>
      </c>
      <c r="T23" s="56">
        <f t="shared" si="10"/>
        <v>1.68784980237154</v>
      </c>
      <c r="U23" s="56">
        <f t="shared" si="11"/>
        <v>0.96</v>
      </c>
      <c r="V23" s="58">
        <f t="shared" si="12"/>
        <v>3.3</v>
      </c>
      <c r="W23" s="59">
        <f t="shared" si="13"/>
        <v>0.15</v>
      </c>
      <c r="X23" s="58">
        <f t="shared" si="14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5"/>
        <v>10920.3928669554</v>
      </c>
      <c r="AE23" s="1">
        <v>0.9</v>
      </c>
    </row>
    <row r="24" s="1" customFormat="1" ht="15" spans="2:31">
      <c r="B24" s="63" t="s">
        <v>81</v>
      </c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86" t="s">
        <v>80</v>
      </c>
      <c r="Q24" s="87">
        <f>167.01%+222.67%*3</f>
        <v>8.3502</v>
      </c>
      <c r="R24" s="88" t="s">
        <v>29</v>
      </c>
      <c r="S24" s="57">
        <f t="shared" si="9"/>
        <v>1012</v>
      </c>
      <c r="T24" s="56">
        <f t="shared" si="10"/>
        <v>1.68784980237154</v>
      </c>
      <c r="U24" s="56">
        <f t="shared" ref="U24:U30" si="16">SUM($E$16:$E$21)</f>
        <v>1.382</v>
      </c>
      <c r="V24" s="58">
        <f t="shared" si="12"/>
        <v>3.3</v>
      </c>
      <c r="W24" s="59">
        <f t="shared" ref="W24:W28" si="17">$K$16+K$17</f>
        <v>0.15</v>
      </c>
      <c r="X24" s="58">
        <f t="shared" ref="X24:X29" si="18">$AF$4</f>
        <v>0.686443960160238</v>
      </c>
      <c r="Y24" s="57">
        <f t="shared" ref="Y24:Y30" si="19">AE$23</f>
        <v>0.9</v>
      </c>
      <c r="Z24" s="60">
        <v>0</v>
      </c>
      <c r="AA24" s="60">
        <v>0</v>
      </c>
      <c r="AB24" s="60">
        <v>0</v>
      </c>
      <c r="AC24" s="61">
        <f t="shared" si="15"/>
        <v>126847.970071683</v>
      </c>
    </row>
    <row r="25" s="1" customFormat="1" spans="2:31">
      <c r="B25" s="64"/>
      <c r="C25" s="64" t="s">
        <v>83</v>
      </c>
      <c r="D25" s="64" t="s">
        <v>84</v>
      </c>
      <c r="E25" s="64" t="s">
        <v>85</v>
      </c>
      <c r="F25" s="65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9"/>
        <v>1012</v>
      </c>
      <c r="T25" s="56">
        <f t="shared" si="10"/>
        <v>1.68784980237154</v>
      </c>
      <c r="U25" s="56">
        <f t="shared" si="11"/>
        <v>0.96</v>
      </c>
      <c r="V25" s="58">
        <f t="shared" si="12"/>
        <v>3.3</v>
      </c>
      <c r="W25" s="59">
        <f t="shared" si="13"/>
        <v>0.15</v>
      </c>
      <c r="X25" s="58">
        <f t="shared" si="14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5"/>
        <v>27909.5640257787</v>
      </c>
    </row>
    <row r="26" s="1" customFormat="1" spans="2:31">
      <c r="B26" s="67" t="s">
        <v>109</v>
      </c>
      <c r="C26" s="67">
        <f>SUM(AC3:AC13)</f>
        <v>474681.852018563</v>
      </c>
      <c r="D26" s="67">
        <f>C26/E$26</f>
        <v>18987.2740807425</v>
      </c>
      <c r="E26" s="65">
        <v>25</v>
      </c>
      <c r="F26" s="65"/>
      <c r="G26" s="45"/>
      <c r="H26" s="6"/>
      <c r="I26" s="6"/>
      <c r="J26" s="6"/>
      <c r="K26" s="6"/>
      <c r="L26" s="6"/>
      <c r="M26" s="6"/>
      <c r="N26" s="6"/>
      <c r="P26" s="86" t="s">
        <v>86</v>
      </c>
      <c r="Q26" s="87">
        <f>17.9%*4+35.79%*3+178.93%</f>
        <v>3.579</v>
      </c>
      <c r="R26" s="88" t="s">
        <v>29</v>
      </c>
      <c r="S26" s="57">
        <f t="shared" si="9"/>
        <v>1012</v>
      </c>
      <c r="T26" s="56">
        <f t="shared" si="10"/>
        <v>1.68784980237154</v>
      </c>
      <c r="U26" s="56">
        <f t="shared" si="16"/>
        <v>1.382</v>
      </c>
      <c r="V26" s="58">
        <f t="shared" si="12"/>
        <v>3.3</v>
      </c>
      <c r="W26" s="59">
        <f t="shared" si="17"/>
        <v>0.15</v>
      </c>
      <c r="X26" s="58">
        <f t="shared" si="18"/>
        <v>0.686443960160238</v>
      </c>
      <c r="Y26" s="57">
        <f t="shared" si="19"/>
        <v>0.9</v>
      </c>
      <c r="Z26" s="60">
        <v>0</v>
      </c>
      <c r="AA26" s="60">
        <v>0</v>
      </c>
      <c r="AB26" s="60">
        <v>0</v>
      </c>
      <c r="AC26" s="61">
        <f t="shared" si="15"/>
        <v>54368.6240912257</v>
      </c>
    </row>
    <row r="27" s="1" customFormat="1" spans="2:31">
      <c r="B27" s="67" t="s">
        <v>51</v>
      </c>
      <c r="C27" s="67">
        <v>50000</v>
      </c>
      <c r="D27" s="67"/>
      <c r="E27" s="6"/>
      <c r="F27" s="6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9"/>
        <v>1012</v>
      </c>
      <c r="T27" s="56">
        <f t="shared" si="10"/>
        <v>1.68784980237154</v>
      </c>
      <c r="U27" s="56">
        <f>SUM($E$16:$E$20)</f>
        <v>0.96</v>
      </c>
      <c r="V27" s="58">
        <f t="shared" si="12"/>
        <v>3.3</v>
      </c>
      <c r="W27" s="59">
        <f>$K$16</f>
        <v>0.15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5"/>
        <v>27909.5640257787</v>
      </c>
    </row>
    <row r="28" s="1" customFormat="1" spans="2:31">
      <c r="B28" s="67" t="s">
        <v>66</v>
      </c>
      <c r="C28" s="67">
        <f>SUM(AC22:AC30)</f>
        <v>692872.589618059</v>
      </c>
      <c r="D28" s="67">
        <f>C28/E$26</f>
        <v>27714.9035847224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86" t="s">
        <v>89</v>
      </c>
      <c r="Q28" s="87">
        <f>17.9%*4+35.79%*3+178.93%</f>
        <v>3.579</v>
      </c>
      <c r="R28" s="88" t="s">
        <v>29</v>
      </c>
      <c r="S28" s="57">
        <f t="shared" si="9"/>
        <v>1012</v>
      </c>
      <c r="T28" s="56">
        <f t="shared" si="10"/>
        <v>1.68784980237154</v>
      </c>
      <c r="U28" s="56">
        <f t="shared" si="16"/>
        <v>1.382</v>
      </c>
      <c r="V28" s="58">
        <f t="shared" si="12"/>
        <v>3.3</v>
      </c>
      <c r="W28" s="59">
        <f t="shared" si="17"/>
        <v>0.15</v>
      </c>
      <c r="X28" s="58">
        <f t="shared" si="18"/>
        <v>0.686443960160238</v>
      </c>
      <c r="Y28" s="57">
        <f t="shared" si="19"/>
        <v>0.9</v>
      </c>
      <c r="Z28" s="60">
        <v>0</v>
      </c>
      <c r="AA28" s="60">
        <v>0</v>
      </c>
      <c r="AB28" s="60">
        <v>0</v>
      </c>
      <c r="AC28" s="61">
        <f t="shared" si="15"/>
        <v>54368.6240912257</v>
      </c>
    </row>
    <row r="29" s="1" customFormat="1" spans="2:31">
      <c r="B29" s="67" t="s">
        <v>123</v>
      </c>
      <c r="C29" s="67">
        <f>AC17+AC18</f>
        <v>188154</v>
      </c>
      <c r="D29" s="67"/>
      <c r="E29" s="45"/>
      <c r="F29" s="6"/>
      <c r="G29" s="45"/>
      <c r="H29" s="6"/>
      <c r="I29" s="6"/>
      <c r="J29" s="6"/>
      <c r="K29" s="6"/>
      <c r="L29" s="6"/>
      <c r="M29" s="6"/>
      <c r="N29" s="6"/>
      <c r="P29" s="86" t="s">
        <v>91</v>
      </c>
      <c r="Q29" s="87">
        <f>232%</f>
        <v>2.32</v>
      </c>
      <c r="R29" s="88" t="s">
        <v>29</v>
      </c>
      <c r="S29" s="57">
        <f t="shared" si="9"/>
        <v>1012</v>
      </c>
      <c r="T29" s="56">
        <f t="shared" si="10"/>
        <v>1.68784980237154</v>
      </c>
      <c r="U29" s="56">
        <f t="shared" si="16"/>
        <v>1.382</v>
      </c>
      <c r="V29" s="58">
        <f t="shared" si="12"/>
        <v>3.3</v>
      </c>
      <c r="W29" s="59">
        <f>2+W28</f>
        <v>2.15</v>
      </c>
      <c r="X29" s="58">
        <f t="shared" si="18"/>
        <v>0.686443960160238</v>
      </c>
      <c r="Y29" s="57">
        <f t="shared" si="19"/>
        <v>0.9</v>
      </c>
      <c r="Z29" s="60">
        <v>0</v>
      </c>
      <c r="AA29" s="60">
        <v>0</v>
      </c>
      <c r="AB29" s="60">
        <v>0</v>
      </c>
      <c r="AC29" s="61">
        <f t="shared" si="15"/>
        <v>96535.5649157957</v>
      </c>
    </row>
    <row r="30" s="1" customFormat="1" spans="2:31">
      <c r="B30" s="67" t="s">
        <v>97</v>
      </c>
      <c r="C30" s="67">
        <f>SUM(C26:C29)</f>
        <v>1405708.44163662</v>
      </c>
      <c r="D30" s="67">
        <f>C30/E26</f>
        <v>56228.3376654649</v>
      </c>
      <c r="E30" s="6"/>
      <c r="F30" s="6"/>
      <c r="G30" s="45"/>
      <c r="I30" s="6"/>
      <c r="J30" s="6"/>
      <c r="K30" s="6"/>
      <c r="L30" s="6"/>
      <c r="M30" s="6"/>
      <c r="N30" s="6"/>
      <c r="P30" s="86" t="s">
        <v>92</v>
      </c>
      <c r="Q30" s="87">
        <v>17.8929</v>
      </c>
      <c r="R30" s="88" t="s">
        <v>29</v>
      </c>
      <c r="S30" s="57">
        <f t="shared" si="9"/>
        <v>1012</v>
      </c>
      <c r="T30" s="56">
        <f t="shared" si="10"/>
        <v>1.68784980237154</v>
      </c>
      <c r="U30" s="56">
        <f t="shared" si="16"/>
        <v>1.382</v>
      </c>
      <c r="V30" s="58">
        <f t="shared" si="12"/>
        <v>3.3</v>
      </c>
      <c r="W30" s="59">
        <f>$K$16+K$17</f>
        <v>0.15</v>
      </c>
      <c r="X30" s="58">
        <f>$AF$5</f>
        <v>0.686443960160238</v>
      </c>
      <c r="Y30" s="57">
        <f t="shared" si="19"/>
        <v>0.9</v>
      </c>
      <c r="Z30" s="60">
        <v>0</v>
      </c>
      <c r="AA30" s="60">
        <v>0</v>
      </c>
      <c r="AB30" s="60">
        <v>0</v>
      </c>
      <c r="AC30" s="61">
        <f t="shared" si="15"/>
        <v>271811.219335539</v>
      </c>
    </row>
    <row r="31" s="1" customFormat="1" spans="2:31">
      <c r="B31" s="67"/>
      <c r="C31" s="67"/>
      <c r="D31" s="67"/>
      <c r="E31" s="6"/>
      <c r="F31" s="6"/>
      <c r="G31" s="45"/>
      <c r="H31" s="6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/>
      <c r="C32" s="67"/>
      <c r="D32" s="67"/>
      <c r="E32" s="6"/>
      <c r="F32" s="6"/>
      <c r="G32" s="45"/>
      <c r="H32" s="6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"/>
      <c r="C33" s="6"/>
      <c r="D33" s="6"/>
      <c r="E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"/>
      <c r="C34" s="6"/>
      <c r="D34" s="6"/>
      <c r="E34" s="6"/>
      <c r="F34" s="67"/>
      <c r="G34" s="2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7"/>
      <c r="C36" s="67"/>
      <c r="D36" s="67"/>
      <c r="E36" s="6"/>
      <c r="F36" s="6"/>
      <c r="G36" s="2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7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"/>
      <c r="C40" s="6"/>
      <c r="D40" s="6"/>
      <c r="E40" s="6"/>
      <c r="F40" s="67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"/>
      <c r="C43" s="6"/>
      <c r="D43" s="6"/>
      <c r="E43" s="6"/>
      <c r="F43" s="67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G44" s="2"/>
      <c r="N44" s="6"/>
      <c r="Q44" s="2"/>
      <c r="U44" s="2"/>
      <c r="V44" s="3"/>
      <c r="AB44" s="4"/>
      <c r="AC44" s="4"/>
    </row>
    <row r="45" s="1" customFormat="1" spans="2:29"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L10" workbookViewId="0">
      <selection activeCell="G28" sqref="G28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1.52544755970924</v>
      </c>
      <c r="U3" s="18">
        <f>SUM($E$4:$E$8)</f>
        <v>1.68</v>
      </c>
      <c r="V3" s="20">
        <f t="shared" ref="V3:V11" si="2">1+$G$9*($I$9-1)</f>
        <v>2.58025</v>
      </c>
      <c r="W3" s="21">
        <f t="shared" ref="W3:W11" si="3">$K$4</f>
        <v>0.35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20468.9552330574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15%+20%</f>
        <v>0.35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1.52544755970924</v>
      </c>
      <c r="U4" s="18">
        <f t="shared" ref="U4:U11" si="6">SUM($E$4:$E$8)</f>
        <v>1.68</v>
      </c>
      <c r="V4" s="20">
        <f t="shared" si="2"/>
        <v>2.58025</v>
      </c>
      <c r="W4" s="21">
        <f t="shared" si="3"/>
        <v>0.35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79654.1015919866</v>
      </c>
      <c r="AD4" s="13">
        <v>48</v>
      </c>
      <c r="AE4" s="13">
        <v>0</v>
      </c>
      <c r="AF4" s="14">
        <f t="shared" ref="AF4:AF8" si="7">1520/(1520+(792+8*AG4)*(1-AE4/100)*(1-AD4/100))</f>
        <v>0.659081448591647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1.52544755970924</v>
      </c>
      <c r="U5" s="18">
        <f t="shared" si="6"/>
        <v>1.68</v>
      </c>
      <c r="V5" s="20">
        <f t="shared" si="2"/>
        <v>2.58025</v>
      </c>
      <c r="W5" s="21">
        <f t="shared" si="3"/>
        <v>0.35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25370.3958922899</v>
      </c>
      <c r="AD5" s="13">
        <v>48</v>
      </c>
      <c r="AE5" s="13">
        <v>0</v>
      </c>
      <c r="AF5" s="14">
        <f t="shared" si="7"/>
        <v>0.659081448591647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1.52544755970924</v>
      </c>
      <c r="U6" s="18">
        <f t="shared" ref="U6:U8" si="8">SUM($E$4:$E$9)</f>
        <v>2.212</v>
      </c>
      <c r="V6" s="20">
        <f t="shared" si="2"/>
        <v>2.58025</v>
      </c>
      <c r="W6" s="21">
        <f t="shared" si="3"/>
        <v>0.35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60627.6983436668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1.52544755970924</v>
      </c>
      <c r="U7" s="18">
        <f t="shared" si="8"/>
        <v>2.212</v>
      </c>
      <c r="V7" s="20">
        <f t="shared" si="2"/>
        <v>2.58025</v>
      </c>
      <c r="W7" s="21">
        <f t="shared" si="3"/>
        <v>0.35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33568.0754743176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0.39</v>
      </c>
      <c r="D8" s="25" t="s">
        <v>50</v>
      </c>
      <c r="E8" s="32">
        <v>0.24</v>
      </c>
      <c r="F8" s="25" t="s">
        <v>51</v>
      </c>
      <c r="G8" s="28">
        <v>0.125</v>
      </c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1.52544755970924</v>
      </c>
      <c r="U8" s="18">
        <f t="shared" si="8"/>
        <v>2.212</v>
      </c>
      <c r="V8" s="20">
        <f t="shared" si="2"/>
        <v>2.58025</v>
      </c>
      <c r="W8" s="21">
        <f t="shared" si="3"/>
        <v>0.35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132779.417396332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0.903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1.52544755970924</v>
      </c>
      <c r="U9" s="18">
        <f t="shared" si="6"/>
        <v>1.68</v>
      </c>
      <c r="V9" s="20">
        <f t="shared" si="2"/>
        <v>2.58025</v>
      </c>
      <c r="W9" s="21">
        <f t="shared" si="3"/>
        <v>0.35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21180.998070791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1.52544755970924</v>
      </c>
      <c r="U10" s="18">
        <f t="shared" si="6"/>
        <v>1.68</v>
      </c>
      <c r="V10" s="20">
        <f t="shared" si="2"/>
        <v>2.58025</v>
      </c>
      <c r="W10" s="21">
        <f t="shared" si="3"/>
        <v>0.35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9105.40713214296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1.52544755970924</v>
      </c>
      <c r="U11" s="18">
        <f t="shared" si="6"/>
        <v>1.68</v>
      </c>
      <c r="V11" s="20">
        <f t="shared" si="2"/>
        <v>2.58025</v>
      </c>
      <c r="W11" s="21">
        <f t="shared" si="3"/>
        <v>0.35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24912.3939135432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113448.229472296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35977.0982343008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15%+15%</f>
        <v>0.3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</v>
      </c>
      <c r="AB17" s="22">
        <v>0.5</v>
      </c>
      <c r="AC17" s="23">
        <f t="shared" si="10"/>
        <v>290227.202596306</v>
      </c>
    </row>
    <row r="18" s="1" customFormat="1" spans="2:31">
      <c r="B18" s="25" t="s">
        <v>30</v>
      </c>
      <c r="C18" s="27">
        <v>0.12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</f>
        <v>0.58</v>
      </c>
      <c r="F20" s="25" t="s">
        <v>33</v>
      </c>
      <c r="G20" s="28">
        <f>M19</f>
        <v>0.405</v>
      </c>
      <c r="H20" s="25" t="s">
        <v>75</v>
      </c>
      <c r="I20" s="28">
        <v>0.3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25%+30%+14%</f>
        <v>0.69</v>
      </c>
      <c r="D21" s="25" t="s">
        <v>50</v>
      </c>
      <c r="E21" s="32">
        <v>0.24</v>
      </c>
      <c r="F21" s="25"/>
      <c r="G21" s="28">
        <v>0.125</v>
      </c>
      <c r="H21" s="25" t="s">
        <v>76</v>
      </c>
      <c r="I21" s="28">
        <v>0.25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1</v>
      </c>
      <c r="H22" s="34" t="s">
        <v>56</v>
      </c>
      <c r="I22" s="36">
        <f>SUM(I17:I21)</f>
        <v>3.3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1.98784980237154</v>
      </c>
      <c r="U22" s="56">
        <f t="shared" ref="U22:U25" si="13">SUM($E$17:$E$21)</f>
        <v>1.42</v>
      </c>
      <c r="V22" s="58">
        <f t="shared" ref="V22:V30" si="14">1+$G$22*($I$22-1)</f>
        <v>3.3</v>
      </c>
      <c r="W22" s="59">
        <f t="shared" ref="W22:W25" si="15">$K$17</f>
        <v>0.3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34445.4928948053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1.98784980237154</v>
      </c>
      <c r="U23" s="56">
        <f t="shared" si="13"/>
        <v>1.42</v>
      </c>
      <c r="V23" s="58">
        <f t="shared" si="14"/>
        <v>3.3</v>
      </c>
      <c r="W23" s="59">
        <f t="shared" si="15"/>
        <v>0.3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16943.2545094404</v>
      </c>
      <c r="AE23" s="1">
        <v>1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1.98784980237154</v>
      </c>
      <c r="U24" s="56">
        <f t="shared" ref="U24:U30" si="18">SUM($E$17:$E$22)</f>
        <v>1.842</v>
      </c>
      <c r="V24" s="58">
        <f t="shared" si="14"/>
        <v>3.3</v>
      </c>
      <c r="W24" s="59">
        <f t="shared" ref="W24:W28" si="19">$K$17+K$18</f>
        <v>0.55</v>
      </c>
      <c r="X24" s="58">
        <f t="shared" ref="X24:X29" si="20">$AF$4</f>
        <v>0.659081448591647</v>
      </c>
      <c r="Y24" s="57">
        <f t="shared" ref="Y24:Y30" si="21">AE$23</f>
        <v>1</v>
      </c>
      <c r="Z24" s="60">
        <v>0</v>
      </c>
      <c r="AA24" s="60">
        <v>0</v>
      </c>
      <c r="AB24" s="60">
        <v>0</v>
      </c>
      <c r="AC24" s="61">
        <f t="shared" si="17"/>
        <v>241905.059189896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1.98784980237154</v>
      </c>
      <c r="U25" s="56">
        <f t="shared" si="13"/>
        <v>1.42</v>
      </c>
      <c r="V25" s="58">
        <f t="shared" si="14"/>
        <v>3.3</v>
      </c>
      <c r="W25" s="59">
        <f t="shared" si="15"/>
        <v>0.3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43302.3657937438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1.98784980237154</v>
      </c>
      <c r="U26" s="56">
        <f t="shared" si="18"/>
        <v>1.842</v>
      </c>
      <c r="V26" s="58">
        <f t="shared" si="14"/>
        <v>3.3</v>
      </c>
      <c r="W26" s="59">
        <f t="shared" si="19"/>
        <v>0.55</v>
      </c>
      <c r="X26" s="58">
        <f t="shared" si="20"/>
        <v>0.659081448591647</v>
      </c>
      <c r="Y26" s="57">
        <f t="shared" si="21"/>
        <v>1</v>
      </c>
      <c r="Z26" s="60">
        <v>0</v>
      </c>
      <c r="AA26" s="60">
        <v>0</v>
      </c>
      <c r="AB26" s="60">
        <v>0</v>
      </c>
      <c r="AC26" s="61">
        <f t="shared" si="17"/>
        <v>103683.529357457</v>
      </c>
    </row>
    <row r="27" s="1" customFormat="1" spans="2:31">
      <c r="B27" s="67" t="s">
        <v>87</v>
      </c>
      <c r="C27" s="67">
        <f>SUM(AC3:AC11)</f>
        <v>407667.443048128</v>
      </c>
      <c r="D27" s="67">
        <f>C27/E$27</f>
        <v>16306.6977219251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1.98784980237154</v>
      </c>
      <c r="U27" s="56">
        <f>SUM($E$17:$E$21)</f>
        <v>1.42</v>
      </c>
      <c r="V27" s="58">
        <f t="shared" si="14"/>
        <v>3.3</v>
      </c>
      <c r="W27" s="59">
        <f>$K$17</f>
        <v>0.3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43302.3657937438</v>
      </c>
    </row>
    <row r="28" s="1" customFormat="1" spans="2:31">
      <c r="B28" s="67" t="s">
        <v>64</v>
      </c>
      <c r="C28" s="67">
        <f>AC14</f>
        <v>113448.229472296</v>
      </c>
      <c r="D28" s="67">
        <f>C28/E$27</f>
        <v>4537.92917889182</v>
      </c>
      <c r="E28" s="6"/>
      <c r="F28" s="6"/>
      <c r="G28" s="45"/>
      <c r="H28" s="6"/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1.98784980237154</v>
      </c>
      <c r="U28" s="56">
        <f t="shared" si="18"/>
        <v>1.842</v>
      </c>
      <c r="V28" s="58">
        <f t="shared" si="14"/>
        <v>3.3</v>
      </c>
      <c r="W28" s="59">
        <f t="shared" si="19"/>
        <v>0.55</v>
      </c>
      <c r="X28" s="58">
        <f t="shared" si="20"/>
        <v>0.659081448591647</v>
      </c>
      <c r="Y28" s="57">
        <f t="shared" si="21"/>
        <v>1</v>
      </c>
      <c r="Z28" s="60">
        <v>0</v>
      </c>
      <c r="AA28" s="60">
        <v>0</v>
      </c>
      <c r="AB28" s="60">
        <v>0</v>
      </c>
      <c r="AC28" s="61">
        <f t="shared" si="17"/>
        <v>103683.529357457</v>
      </c>
    </row>
    <row r="29" s="1" customFormat="1" spans="2:31">
      <c r="B29" s="67" t="s">
        <v>51</v>
      </c>
      <c r="C29" s="67">
        <v>50000</v>
      </c>
      <c r="D29" s="67">
        <f>C29/E$27</f>
        <v>2000</v>
      </c>
      <c r="E29" s="45"/>
      <c r="F29" s="6"/>
      <c r="G29" s="45"/>
      <c r="H29" s="6">
        <v>88140</v>
      </c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1.98784980237154</v>
      </c>
      <c r="U29" s="56">
        <f t="shared" si="18"/>
        <v>1.842</v>
      </c>
      <c r="V29" s="58">
        <f t="shared" si="14"/>
        <v>3.3</v>
      </c>
      <c r="W29" s="59">
        <f>2+W28</f>
        <v>2.55</v>
      </c>
      <c r="X29" s="58">
        <f t="shared" si="20"/>
        <v>0.659081448591647</v>
      </c>
      <c r="Y29" s="57">
        <f t="shared" si="21"/>
        <v>1</v>
      </c>
      <c r="Z29" s="60">
        <v>0</v>
      </c>
      <c r="AA29" s="60">
        <v>0</v>
      </c>
      <c r="AB29" s="60">
        <v>0</v>
      </c>
      <c r="AC29" s="61">
        <f t="shared" si="17"/>
        <v>153933.347355635</v>
      </c>
    </row>
    <row r="30" s="1" customFormat="1" spans="2:31">
      <c r="B30" s="67" t="s">
        <v>93</v>
      </c>
      <c r="C30" s="67">
        <f>SUM(AC22:AC30)</f>
        <v>1259555.75409852</v>
      </c>
      <c r="D30" s="67">
        <f>C30/E$27</f>
        <v>50382.2301639407</v>
      </c>
      <c r="E30" s="45"/>
      <c r="F30" s="6"/>
      <c r="G30" s="45"/>
      <c r="H30" s="6">
        <v>76139</v>
      </c>
      <c r="I30" s="6">
        <f>1-H30/H29</f>
        <v>0.136158384388473</v>
      </c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1.98784980237154</v>
      </c>
      <c r="U30" s="56">
        <f t="shared" si="18"/>
        <v>1.842</v>
      </c>
      <c r="V30" s="58">
        <f t="shared" si="14"/>
        <v>3.3</v>
      </c>
      <c r="W30" s="59">
        <f>$K$17+K$18</f>
        <v>0.55</v>
      </c>
      <c r="X30" s="58">
        <f>$AF$5</f>
        <v>0.659081448591647</v>
      </c>
      <c r="Y30" s="57">
        <f t="shared" si="21"/>
        <v>1</v>
      </c>
      <c r="Z30" s="60">
        <v>0</v>
      </c>
      <c r="AA30" s="60">
        <v>0</v>
      </c>
      <c r="AB30" s="60">
        <v>0</v>
      </c>
      <c r="AC30" s="61">
        <f t="shared" si="17"/>
        <v>518356.809846339</v>
      </c>
    </row>
    <row r="31" s="1" customFormat="1" spans="2:31">
      <c r="B31" s="67" t="s">
        <v>68</v>
      </c>
      <c r="C31" s="67">
        <f>AC16+AC17</f>
        <v>326204.300830607</v>
      </c>
      <c r="D31" s="67">
        <f>C31/E$27</f>
        <v>13048.1720332243</v>
      </c>
      <c r="E31" s="6"/>
      <c r="F31" s="6"/>
      <c r="G31" s="45"/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 t="s">
        <v>97</v>
      </c>
      <c r="C32" s="67">
        <f>SUM(C27:C31)</f>
        <v>2156875.72744955</v>
      </c>
      <c r="D32" s="67">
        <f>C32/E27</f>
        <v>86275.029097982</v>
      </c>
      <c r="E32" s="6"/>
      <c r="F32" s="6"/>
      <c r="G32" s="45"/>
      <c r="H32" s="6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/>
      <c r="C33" s="67"/>
      <c r="D33" s="67"/>
      <c r="E33" s="6"/>
      <c r="F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"/>
      <c r="C35" s="6"/>
      <c r="D35" s="6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7"/>
      <c r="C37" s="67"/>
      <c r="D37" s="67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"/>
      <c r="C39" s="6"/>
      <c r="D39" s="6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7"/>
      <c r="C40" s="67"/>
      <c r="D40" s="67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"/>
      <c r="C42" s="6"/>
      <c r="D42" s="6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"/>
      <c r="C45" s="6"/>
      <c r="D45" s="6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7"/>
      <c r="C46" s="67"/>
      <c r="D46" s="67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4" workbookViewId="0">
      <selection activeCell="A4" sqref="$A1:$XFD1048576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1.52544755970924</v>
      </c>
      <c r="U3" s="18">
        <f>SUM($E$4:$E$8)</f>
        <v>1.68</v>
      </c>
      <c r="V3" s="20">
        <f t="shared" ref="V3:V11" si="2">1+$G$9*($I$9-1)</f>
        <v>2.58025</v>
      </c>
      <c r="W3" s="21">
        <f t="shared" ref="W3:W11" si="3">$K$4</f>
        <v>0.35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20468.9552330574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15%+20%</f>
        <v>0.35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1.52544755970924</v>
      </c>
      <c r="U4" s="18">
        <f t="shared" ref="U4:U11" si="6">SUM($E$4:$E$8)</f>
        <v>1.68</v>
      </c>
      <c r="V4" s="20">
        <f t="shared" si="2"/>
        <v>2.58025</v>
      </c>
      <c r="W4" s="21">
        <f t="shared" si="3"/>
        <v>0.35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79654.1015919866</v>
      </c>
      <c r="AD4" s="13">
        <v>32</v>
      </c>
      <c r="AE4" s="13">
        <v>0</v>
      </c>
      <c r="AF4" s="14">
        <f t="shared" ref="AF4:AF8" si="7">1520/(1520+(792+8*AG4)*(1-AE4/100)*(1-AD4/100))</f>
        <v>0.596508853447193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1.52544755970924</v>
      </c>
      <c r="U5" s="18">
        <f t="shared" si="6"/>
        <v>1.68</v>
      </c>
      <c r="V5" s="20">
        <f t="shared" si="2"/>
        <v>2.58025</v>
      </c>
      <c r="W5" s="21">
        <f t="shared" si="3"/>
        <v>0.35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25370.3958922899</v>
      </c>
      <c r="AD5" s="13">
        <v>32</v>
      </c>
      <c r="AE5" s="13">
        <v>0</v>
      </c>
      <c r="AF5" s="14">
        <f t="shared" si="7"/>
        <v>0.596508853447193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1.52544755970924</v>
      </c>
      <c r="U6" s="18">
        <f t="shared" ref="U6:U8" si="8">SUM($E$4:$E$9)</f>
        <v>2.212</v>
      </c>
      <c r="V6" s="20">
        <f t="shared" si="2"/>
        <v>2.58025</v>
      </c>
      <c r="W6" s="21">
        <f t="shared" si="3"/>
        <v>0.35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60627.6983436668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1.52544755970924</v>
      </c>
      <c r="U7" s="18">
        <f t="shared" si="8"/>
        <v>2.212</v>
      </c>
      <c r="V7" s="20">
        <f t="shared" si="2"/>
        <v>2.58025</v>
      </c>
      <c r="W7" s="21">
        <f t="shared" si="3"/>
        <v>0.35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33568.0754743176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0.39</v>
      </c>
      <c r="D8" s="25" t="s">
        <v>50</v>
      </c>
      <c r="E8" s="32">
        <v>0.24</v>
      </c>
      <c r="F8" s="25" t="s">
        <v>51</v>
      </c>
      <c r="G8" s="28">
        <v>0.125</v>
      </c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1.52544755970924</v>
      </c>
      <c r="U8" s="18">
        <f t="shared" si="8"/>
        <v>2.212</v>
      </c>
      <c r="V8" s="20">
        <f t="shared" si="2"/>
        <v>2.58025</v>
      </c>
      <c r="W8" s="21">
        <f t="shared" si="3"/>
        <v>0.35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132779.417396332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0.903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1.52544755970924</v>
      </c>
      <c r="U9" s="18">
        <f t="shared" si="6"/>
        <v>1.68</v>
      </c>
      <c r="V9" s="20">
        <f t="shared" si="2"/>
        <v>2.58025</v>
      </c>
      <c r="W9" s="21">
        <f t="shared" si="3"/>
        <v>0.35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21180.998070791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1.52544755970924</v>
      </c>
      <c r="U10" s="18">
        <f t="shared" si="6"/>
        <v>1.68</v>
      </c>
      <c r="V10" s="20">
        <f t="shared" si="2"/>
        <v>2.58025</v>
      </c>
      <c r="W10" s="21">
        <f t="shared" si="3"/>
        <v>0.35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9105.40713214296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1.52544755970924</v>
      </c>
      <c r="U11" s="18">
        <f t="shared" si="6"/>
        <v>1.68</v>
      </c>
      <c r="V11" s="20">
        <f t="shared" si="2"/>
        <v>2.58025</v>
      </c>
      <c r="W11" s="21">
        <f t="shared" si="3"/>
        <v>0.35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24912.3939135432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113448.229472296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0.1</v>
      </c>
      <c r="AC16" s="23">
        <f t="shared" si="10"/>
        <v>26383.2053718206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v>0.15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</v>
      </c>
      <c r="AB17" s="22">
        <v>0.1</v>
      </c>
      <c r="AC17" s="23">
        <f t="shared" si="10"/>
        <v>212833.281903958</v>
      </c>
    </row>
    <row r="18" s="1" customFormat="1" spans="2:31">
      <c r="B18" s="25" t="s">
        <v>30</v>
      </c>
      <c r="C18" s="27">
        <v>0.12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0.38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v>0.12</v>
      </c>
      <c r="F20" s="25" t="s">
        <v>33</v>
      </c>
      <c r="G20" s="28">
        <f>M19</f>
        <v>0.405</v>
      </c>
      <c r="H20" s="25" t="s">
        <v>75</v>
      </c>
      <c r="I20" s="28"/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25%+22.5%+14%</f>
        <v>0.615</v>
      </c>
      <c r="D21" s="25" t="s">
        <v>50</v>
      </c>
      <c r="E21" s="32">
        <v>0.12</v>
      </c>
      <c r="F21" s="25"/>
      <c r="G21" s="28">
        <v>0.125</v>
      </c>
      <c r="H21" s="25" t="s">
        <v>76</v>
      </c>
      <c r="I21" s="28">
        <v>0.25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1</v>
      </c>
      <c r="H22" s="34" t="s">
        <v>56</v>
      </c>
      <c r="I22" s="36">
        <f>SUM(I17:I21)</f>
        <v>3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1.91284980237154</v>
      </c>
      <c r="U22" s="56">
        <f t="shared" ref="U22:U25" si="13">SUM($E$17:$E$21)</f>
        <v>0.84</v>
      </c>
      <c r="V22" s="58">
        <f t="shared" ref="V22:V30" si="14">1+$G$22*($I$22-1)</f>
        <v>3</v>
      </c>
      <c r="W22" s="59">
        <f t="shared" ref="W22:W25" si="15">$K$17</f>
        <v>0.15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20533.1695330307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1.91284980237154</v>
      </c>
      <c r="U23" s="56">
        <f t="shared" si="13"/>
        <v>0.84</v>
      </c>
      <c r="V23" s="58">
        <f t="shared" si="14"/>
        <v>3</v>
      </c>
      <c r="W23" s="59">
        <f t="shared" si="15"/>
        <v>0.15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10099.9779084622</v>
      </c>
      <c r="AE23" s="1">
        <v>0.9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1.91284980237154</v>
      </c>
      <c r="U24" s="56">
        <f t="shared" ref="U24:U30" si="18">SUM($E$17:$E$22)</f>
        <v>1.262</v>
      </c>
      <c r="V24" s="58">
        <f t="shared" si="14"/>
        <v>3</v>
      </c>
      <c r="W24" s="59">
        <f t="shared" ref="W24:W28" si="19">$K$17+K$18</f>
        <v>0.53</v>
      </c>
      <c r="X24" s="58">
        <f t="shared" ref="X24:X29" si="20">$AF$4</f>
        <v>0.596508853447193</v>
      </c>
      <c r="Y24" s="57">
        <f t="shared" ref="Y24:Y30" si="21">AE$23</f>
        <v>0.9</v>
      </c>
      <c r="Z24" s="60">
        <v>0</v>
      </c>
      <c r="AA24" s="60">
        <v>0</v>
      </c>
      <c r="AB24" s="60">
        <v>0</v>
      </c>
      <c r="AC24" s="61">
        <f t="shared" si="17"/>
        <v>137201.914313299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1.91284980237154</v>
      </c>
      <c r="U25" s="56">
        <f t="shared" si="13"/>
        <v>0.84</v>
      </c>
      <c r="V25" s="58">
        <f t="shared" si="14"/>
        <v>3</v>
      </c>
      <c r="W25" s="59">
        <f t="shared" si="15"/>
        <v>0.15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25812.8057780917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1.91284980237154</v>
      </c>
      <c r="U26" s="56">
        <f t="shared" si="18"/>
        <v>1.262</v>
      </c>
      <c r="V26" s="58">
        <f t="shared" si="14"/>
        <v>3</v>
      </c>
      <c r="W26" s="59">
        <f t="shared" si="19"/>
        <v>0.53</v>
      </c>
      <c r="X26" s="58">
        <f t="shared" si="20"/>
        <v>0.596508853447193</v>
      </c>
      <c r="Y26" s="57">
        <f t="shared" si="21"/>
        <v>0.9</v>
      </c>
      <c r="Z26" s="60">
        <v>0</v>
      </c>
      <c r="AA26" s="60">
        <v>0</v>
      </c>
      <c r="AB26" s="60">
        <v>0</v>
      </c>
      <c r="AC26" s="61">
        <f t="shared" si="17"/>
        <v>58806.453896589</v>
      </c>
    </row>
    <row r="27" s="1" customFormat="1" spans="2:31">
      <c r="B27" s="67" t="s">
        <v>127</v>
      </c>
      <c r="C27" s="67">
        <v>200000</v>
      </c>
      <c r="D27" s="67">
        <f>C27/E$27</f>
        <v>8000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1.91284980237154</v>
      </c>
      <c r="U27" s="56">
        <f>SUM($E$17:$E$21)</f>
        <v>0.84</v>
      </c>
      <c r="V27" s="58">
        <f t="shared" si="14"/>
        <v>3</v>
      </c>
      <c r="W27" s="59">
        <f>$K$17</f>
        <v>0.15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25812.8057780917</v>
      </c>
    </row>
    <row r="28" s="1" customFormat="1" spans="2:31">
      <c r="B28" s="67" t="s">
        <v>51</v>
      </c>
      <c r="C28" s="67">
        <v>50000</v>
      </c>
      <c r="D28" s="67">
        <f>C28/E$27</f>
        <v>2000</v>
      </c>
      <c r="E28" s="45"/>
      <c r="F28" s="6"/>
      <c r="G28" s="45"/>
      <c r="H28" s="6"/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1.91284980237154</v>
      </c>
      <c r="U28" s="56">
        <f t="shared" si="18"/>
        <v>1.262</v>
      </c>
      <c r="V28" s="58">
        <f t="shared" si="14"/>
        <v>3</v>
      </c>
      <c r="W28" s="59">
        <f t="shared" si="19"/>
        <v>0.53</v>
      </c>
      <c r="X28" s="58">
        <f t="shared" si="20"/>
        <v>0.596508853447193</v>
      </c>
      <c r="Y28" s="57">
        <f t="shared" si="21"/>
        <v>0.9</v>
      </c>
      <c r="Z28" s="60">
        <v>0</v>
      </c>
      <c r="AA28" s="60">
        <v>0</v>
      </c>
      <c r="AB28" s="60">
        <v>0</v>
      </c>
      <c r="AC28" s="61">
        <f t="shared" si="17"/>
        <v>58806.453896589</v>
      </c>
    </row>
    <row r="29" s="1" customFormat="1" spans="2:31">
      <c r="B29" s="67" t="s">
        <v>93</v>
      </c>
      <c r="C29" s="67">
        <f>SUM(AC22:AC30)</f>
        <v>719021.084092484</v>
      </c>
      <c r="D29" s="67">
        <f>C29/E$27</f>
        <v>28760.8433636994</v>
      </c>
      <c r="E29" s="45"/>
      <c r="F29" s="6"/>
      <c r="G29" s="45"/>
      <c r="H29" s="6">
        <v>88140</v>
      </c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1.91284980237154</v>
      </c>
      <c r="U29" s="56">
        <f t="shared" si="18"/>
        <v>1.262</v>
      </c>
      <c r="V29" s="58">
        <f t="shared" si="14"/>
        <v>3</v>
      </c>
      <c r="W29" s="59">
        <f>2+W28</f>
        <v>2.53</v>
      </c>
      <c r="X29" s="58">
        <f t="shared" si="20"/>
        <v>0.596508853447193</v>
      </c>
      <c r="Y29" s="57">
        <f t="shared" si="21"/>
        <v>0.9</v>
      </c>
      <c r="Z29" s="60">
        <v>0</v>
      </c>
      <c r="AA29" s="60">
        <v>0</v>
      </c>
      <c r="AB29" s="60">
        <v>0</v>
      </c>
      <c r="AC29" s="61">
        <f t="shared" si="17"/>
        <v>87949.7385495831</v>
      </c>
    </row>
    <row r="30" s="1" customFormat="1" spans="2:31">
      <c r="B30" s="67" t="s">
        <v>68</v>
      </c>
      <c r="C30" s="67">
        <f>AC16+AC17</f>
        <v>239216.487275778</v>
      </c>
      <c r="D30" s="67">
        <f>C30/E$27</f>
        <v>9568.65949103113</v>
      </c>
      <c r="E30" s="6"/>
      <c r="F30" s="6"/>
      <c r="G30" s="45"/>
      <c r="H30" s="6">
        <v>76139</v>
      </c>
      <c r="I30" s="6">
        <f>1-H30/H29</f>
        <v>0.136158384388473</v>
      </c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1.91284980237154</v>
      </c>
      <c r="U30" s="56">
        <f t="shared" si="18"/>
        <v>1.262</v>
      </c>
      <c r="V30" s="58">
        <f t="shared" si="14"/>
        <v>3</v>
      </c>
      <c r="W30" s="59">
        <f>$K$17+K$18</f>
        <v>0.53</v>
      </c>
      <c r="X30" s="58">
        <f>$AF$5</f>
        <v>0.596508853447193</v>
      </c>
      <c r="Y30" s="57">
        <f t="shared" si="21"/>
        <v>0.9</v>
      </c>
      <c r="Z30" s="60">
        <v>0</v>
      </c>
      <c r="AA30" s="60">
        <v>0</v>
      </c>
      <c r="AB30" s="60">
        <v>0</v>
      </c>
      <c r="AC30" s="61">
        <f t="shared" si="17"/>
        <v>293997.764438748</v>
      </c>
    </row>
    <row r="31" s="1" customFormat="1" spans="2:31">
      <c r="B31" s="67" t="s">
        <v>97</v>
      </c>
      <c r="C31" s="67">
        <f>SUM(C27:C30)</f>
        <v>1208237.57136826</v>
      </c>
      <c r="D31" s="67">
        <f>C31/E27</f>
        <v>48329.5028547305</v>
      </c>
      <c r="E31" s="6"/>
      <c r="F31" s="6"/>
      <c r="G31" s="45"/>
      <c r="H31" s="1">
        <v>48330</v>
      </c>
      <c r="I31" s="6">
        <f>1-H31/H30</f>
        <v>0.365239890200817</v>
      </c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/>
      <c r="C32" s="67"/>
      <c r="D32" s="67"/>
      <c r="E32" s="6"/>
      <c r="F32" s="6"/>
      <c r="G32" s="45"/>
      <c r="H32" s="6"/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/>
      <c r="C33" s="67"/>
      <c r="D33" s="67"/>
      <c r="E33" s="6"/>
      <c r="F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"/>
      <c r="C34" s="6"/>
      <c r="D34" s="6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"/>
      <c r="C35" s="6"/>
      <c r="D35" s="6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7"/>
      <c r="C36" s="67"/>
      <c r="D36" s="67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7"/>
      <c r="C37" s="67"/>
      <c r="D37" s="67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"/>
      <c r="C38" s="6"/>
      <c r="D38" s="6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7"/>
      <c r="C40" s="67"/>
      <c r="D40" s="67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"/>
      <c r="C41" s="6"/>
      <c r="D41" s="6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"/>
      <c r="C44" s="6"/>
      <c r="D44" s="6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4" workbookViewId="0">
      <selection activeCell="J29" sqref="J29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2.7727272727273" style="1" customWidth="1"/>
    <col min="7" max="7" width="7.92727272727273" style="2" customWidth="1"/>
    <col min="8" max="8" width="15.1545454545455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1.52544755970924</v>
      </c>
      <c r="U3" s="18">
        <f>SUM($E$4:$E$8)</f>
        <v>1.68</v>
      </c>
      <c r="V3" s="20">
        <f t="shared" ref="V3:V11" si="2">1+$G$9*($I$9-1)</f>
        <v>2.58025</v>
      </c>
      <c r="W3" s="21">
        <f t="shared" ref="W3:W11" si="3">$K$4</f>
        <v>0.35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20468.9552330574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15%+20%</f>
        <v>0.35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1.52544755970924</v>
      </c>
      <c r="U4" s="18">
        <f t="shared" ref="U4:U11" si="6">SUM($E$4:$E$8)</f>
        <v>1.68</v>
      </c>
      <c r="V4" s="20">
        <f t="shared" si="2"/>
        <v>2.58025</v>
      </c>
      <c r="W4" s="21">
        <f t="shared" si="3"/>
        <v>0.35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79654.1015919866</v>
      </c>
      <c r="AD4" s="13">
        <v>32</v>
      </c>
      <c r="AE4" s="13">
        <v>0</v>
      </c>
      <c r="AF4" s="14">
        <f t="shared" ref="AF4:AF8" si="7">1520/(1520+(792+8*AG4)*(1-AE4/100)*(1-AD4/100))</f>
        <v>0.596508853447193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1.52544755970924</v>
      </c>
      <c r="U5" s="18">
        <f t="shared" si="6"/>
        <v>1.68</v>
      </c>
      <c r="V5" s="20">
        <f t="shared" si="2"/>
        <v>2.58025</v>
      </c>
      <c r="W5" s="21">
        <f t="shared" si="3"/>
        <v>0.35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25370.3958922899</v>
      </c>
      <c r="AD5" s="13">
        <v>32</v>
      </c>
      <c r="AE5" s="13">
        <v>0</v>
      </c>
      <c r="AF5" s="14">
        <f t="shared" si="7"/>
        <v>0.596508853447193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1.52544755970924</v>
      </c>
      <c r="U6" s="18">
        <f t="shared" ref="U6:U8" si="8">SUM($E$4:$E$9)</f>
        <v>2.212</v>
      </c>
      <c r="V6" s="20">
        <f t="shared" si="2"/>
        <v>2.58025</v>
      </c>
      <c r="W6" s="21">
        <f t="shared" si="3"/>
        <v>0.35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60627.6983436668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1.52544755970924</v>
      </c>
      <c r="U7" s="18">
        <f t="shared" si="8"/>
        <v>2.212</v>
      </c>
      <c r="V7" s="20">
        <f t="shared" si="2"/>
        <v>2.58025</v>
      </c>
      <c r="W7" s="21">
        <f t="shared" si="3"/>
        <v>0.35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33568.0754743176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0.39</v>
      </c>
      <c r="D8" s="25" t="s">
        <v>50</v>
      </c>
      <c r="E8" s="32">
        <v>0.24</v>
      </c>
      <c r="F8" s="25" t="s">
        <v>51</v>
      </c>
      <c r="G8" s="28">
        <v>0.125</v>
      </c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1.52544755970924</v>
      </c>
      <c r="U8" s="18">
        <f t="shared" si="8"/>
        <v>2.212</v>
      </c>
      <c r="V8" s="20">
        <f t="shared" si="2"/>
        <v>2.58025</v>
      </c>
      <c r="W8" s="21">
        <f t="shared" si="3"/>
        <v>0.35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132779.417396332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0.903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1.52544755970924</v>
      </c>
      <c r="U9" s="18">
        <f t="shared" si="6"/>
        <v>1.68</v>
      </c>
      <c r="V9" s="20">
        <f t="shared" si="2"/>
        <v>2.58025</v>
      </c>
      <c r="W9" s="21">
        <f t="shared" si="3"/>
        <v>0.35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21180.998070791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1.52544755970924</v>
      </c>
      <c r="U10" s="18">
        <f t="shared" si="6"/>
        <v>1.68</v>
      </c>
      <c r="V10" s="20">
        <f t="shared" si="2"/>
        <v>2.58025</v>
      </c>
      <c r="W10" s="21">
        <f t="shared" si="3"/>
        <v>0.35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9105.40713214296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1.52544755970924</v>
      </c>
      <c r="U11" s="18">
        <f t="shared" si="6"/>
        <v>1.68</v>
      </c>
      <c r="V11" s="20">
        <f t="shared" si="2"/>
        <v>2.58025</v>
      </c>
      <c r="W11" s="21">
        <f t="shared" si="3"/>
        <v>0.35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24912.3939135432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113448.229472296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0.1</v>
      </c>
      <c r="AC16" s="23">
        <f t="shared" si="10"/>
        <v>26383.2053718206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v>0.25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</v>
      </c>
      <c r="AB17" s="22">
        <v>0.1</v>
      </c>
      <c r="AC17" s="23">
        <f t="shared" si="10"/>
        <v>212833.281903958</v>
      </c>
    </row>
    <row r="18" s="1" customFormat="1" spans="2:31">
      <c r="B18" s="25" t="s">
        <v>30</v>
      </c>
      <c r="C18" s="27">
        <v>0.12</v>
      </c>
      <c r="D18" s="25" t="s">
        <v>70</v>
      </c>
      <c r="E18" s="27">
        <v>0.4</v>
      </c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0.38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v>0.12</v>
      </c>
      <c r="F20" s="25" t="s">
        <v>33</v>
      </c>
      <c r="G20" s="28">
        <f>M19</f>
        <v>0.405</v>
      </c>
      <c r="H20" s="25" t="s">
        <v>75</v>
      </c>
      <c r="I20" s="28">
        <v>0.3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25%+22.5%</f>
        <v>0.475</v>
      </c>
      <c r="D21" s="25" t="s">
        <v>50</v>
      </c>
      <c r="E21" s="32">
        <v>0.12</v>
      </c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3.25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1.77284980237154</v>
      </c>
      <c r="U22" s="56">
        <f t="shared" ref="U22:U25" si="13">SUM($E$17:$E$21)</f>
        <v>1.24</v>
      </c>
      <c r="V22" s="58">
        <f t="shared" ref="V22:V30" si="14">1+$G$22*($I$22-1)</f>
        <v>3.2005</v>
      </c>
      <c r="W22" s="59">
        <f t="shared" ref="W22:W25" si="15">$K$17</f>
        <v>0.25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27593.2713691479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1.77284980237154</v>
      </c>
      <c r="U23" s="56">
        <f t="shared" si="13"/>
        <v>1.24</v>
      </c>
      <c r="V23" s="58">
        <f t="shared" si="14"/>
        <v>3.2005</v>
      </c>
      <c r="W23" s="59">
        <f t="shared" si="15"/>
        <v>0.25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13572.7429124997</v>
      </c>
      <c r="AE23" s="1">
        <v>0.9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1.77284980237154</v>
      </c>
      <c r="U24" s="56">
        <f t="shared" ref="U24:U30" si="18">SUM($E$17:$E$22)</f>
        <v>1.662</v>
      </c>
      <c r="V24" s="58">
        <f t="shared" si="14"/>
        <v>3.2005</v>
      </c>
      <c r="W24" s="59">
        <f t="shared" ref="W24:W28" si="19">$K$17+K$18</f>
        <v>0.63</v>
      </c>
      <c r="X24" s="58">
        <f t="shared" ref="X24:X29" si="20">$AF$4</f>
        <v>0.596508853447193</v>
      </c>
      <c r="Y24" s="57">
        <f t="shared" ref="Y24:Y30" si="21">AE$23</f>
        <v>0.9</v>
      </c>
      <c r="Z24" s="60">
        <v>0</v>
      </c>
      <c r="AA24" s="60">
        <v>0</v>
      </c>
      <c r="AB24" s="60">
        <v>0</v>
      </c>
      <c r="AC24" s="61">
        <f t="shared" si="17"/>
        <v>174693.451800655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1.77284980237154</v>
      </c>
      <c r="U25" s="56">
        <f t="shared" si="13"/>
        <v>1.24</v>
      </c>
      <c r="V25" s="58">
        <f t="shared" si="14"/>
        <v>3.2005</v>
      </c>
      <c r="W25" s="59">
        <f t="shared" si="15"/>
        <v>0.25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34688.2517815001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1.77284980237154</v>
      </c>
      <c r="U26" s="56">
        <f t="shared" si="18"/>
        <v>1.662</v>
      </c>
      <c r="V26" s="58">
        <f t="shared" si="14"/>
        <v>3.2005</v>
      </c>
      <c r="W26" s="59">
        <f t="shared" si="19"/>
        <v>0.63</v>
      </c>
      <c r="X26" s="58">
        <f t="shared" si="20"/>
        <v>0.596508853447193</v>
      </c>
      <c r="Y26" s="57">
        <f t="shared" si="21"/>
        <v>0.9</v>
      </c>
      <c r="Z26" s="60">
        <v>0</v>
      </c>
      <c r="AA26" s="60">
        <v>0</v>
      </c>
      <c r="AB26" s="60">
        <v>0</v>
      </c>
      <c r="AC26" s="61">
        <f t="shared" si="17"/>
        <v>74875.7950701234</v>
      </c>
    </row>
    <row r="27" s="1" customFormat="1" spans="2:31">
      <c r="B27" s="67" t="s">
        <v>127</v>
      </c>
      <c r="C27" s="67">
        <v>200000</v>
      </c>
      <c r="D27" s="67">
        <f t="shared" ref="D27:D30" si="22">C27/E$27</f>
        <v>8000</v>
      </c>
      <c r="E27" s="65">
        <v>25</v>
      </c>
      <c r="F27" s="65"/>
      <c r="G27" s="45"/>
      <c r="H27" s="6"/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1.77284980237154</v>
      </c>
      <c r="U27" s="56">
        <f>SUM($E$17:$E$21)</f>
        <v>1.24</v>
      </c>
      <c r="V27" s="58">
        <f t="shared" si="14"/>
        <v>3.2005</v>
      </c>
      <c r="W27" s="59">
        <f>$K$17</f>
        <v>0.25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34688.2517815001</v>
      </c>
    </row>
    <row r="28" s="1" customFormat="1" spans="2:31">
      <c r="B28" s="67" t="s">
        <v>76</v>
      </c>
      <c r="C28" s="67">
        <v>73068</v>
      </c>
      <c r="D28" s="67">
        <f t="shared" si="22"/>
        <v>2922.72</v>
      </c>
      <c r="E28" s="45"/>
      <c r="F28" s="6"/>
      <c r="G28" s="56" t="s">
        <v>128</v>
      </c>
      <c r="H28" s="57" t="s">
        <v>129</v>
      </c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1.77284980237154</v>
      </c>
      <c r="U28" s="56">
        <f t="shared" si="18"/>
        <v>1.662</v>
      </c>
      <c r="V28" s="58">
        <f t="shared" si="14"/>
        <v>3.2005</v>
      </c>
      <c r="W28" s="59">
        <f t="shared" si="19"/>
        <v>0.63</v>
      </c>
      <c r="X28" s="58">
        <f t="shared" si="20"/>
        <v>0.596508853447193</v>
      </c>
      <c r="Y28" s="57">
        <f t="shared" si="21"/>
        <v>0.9</v>
      </c>
      <c r="Z28" s="60">
        <v>0</v>
      </c>
      <c r="AA28" s="60">
        <v>0</v>
      </c>
      <c r="AB28" s="60">
        <v>0</v>
      </c>
      <c r="AC28" s="61">
        <f t="shared" si="17"/>
        <v>74875.7950701234</v>
      </c>
    </row>
    <row r="29" s="1" customFormat="1" spans="2:31">
      <c r="B29" s="67" t="s">
        <v>93</v>
      </c>
      <c r="C29" s="67">
        <f>SUM(AC22:AC30)</f>
        <v>917412.909250337</v>
      </c>
      <c r="D29" s="67">
        <f t="shared" si="22"/>
        <v>36696.5163700135</v>
      </c>
      <c r="E29" s="45"/>
      <c r="F29" s="6"/>
      <c r="G29" s="45" t="s">
        <v>130</v>
      </c>
      <c r="H29" s="6">
        <v>88140</v>
      </c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1.77284980237154</v>
      </c>
      <c r="U29" s="56">
        <f t="shared" si="18"/>
        <v>1.662</v>
      </c>
      <c r="V29" s="58">
        <f t="shared" si="14"/>
        <v>3.2005</v>
      </c>
      <c r="W29" s="59">
        <f>2+W28</f>
        <v>2.63</v>
      </c>
      <c r="X29" s="58">
        <f t="shared" si="20"/>
        <v>0.596508853447193</v>
      </c>
      <c r="Y29" s="57">
        <f t="shared" si="21"/>
        <v>0.9</v>
      </c>
      <c r="Z29" s="60">
        <v>0</v>
      </c>
      <c r="AA29" s="60">
        <v>0</v>
      </c>
      <c r="AB29" s="60">
        <v>0</v>
      </c>
      <c r="AC29" s="61">
        <f t="shared" si="17"/>
        <v>108090.307941957</v>
      </c>
    </row>
    <row r="30" s="1" customFormat="1" spans="2:31">
      <c r="B30" s="67" t="s">
        <v>68</v>
      </c>
      <c r="C30" s="67">
        <f>AC16+AC17</f>
        <v>239216.487275778</v>
      </c>
      <c r="D30" s="67">
        <f t="shared" si="22"/>
        <v>9568.65949103113</v>
      </c>
      <c r="E30" s="6"/>
      <c r="F30" s="6"/>
      <c r="G30" s="45" t="s">
        <v>131</v>
      </c>
      <c r="H30" s="6">
        <v>76139</v>
      </c>
      <c r="I30" s="6">
        <f>1-H30/H29</f>
        <v>0.136158384388473</v>
      </c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1.77284980237154</v>
      </c>
      <c r="U30" s="56">
        <f t="shared" si="18"/>
        <v>1.662</v>
      </c>
      <c r="V30" s="58">
        <f t="shared" si="14"/>
        <v>3.2005</v>
      </c>
      <c r="W30" s="59">
        <f>$K$17+K$18</f>
        <v>0.63</v>
      </c>
      <c r="X30" s="58">
        <f>$AF$5</f>
        <v>0.596508853447193</v>
      </c>
      <c r="Y30" s="57">
        <f t="shared" si="21"/>
        <v>0.9</v>
      </c>
      <c r="Z30" s="60">
        <v>0</v>
      </c>
      <c r="AA30" s="60">
        <v>0</v>
      </c>
      <c r="AB30" s="60">
        <v>0</v>
      </c>
      <c r="AC30" s="61">
        <f t="shared" si="17"/>
        <v>374335.041522831</v>
      </c>
    </row>
    <row r="31" s="1" customFormat="1" spans="2:31">
      <c r="B31" s="67" t="s">
        <v>97</v>
      </c>
      <c r="C31" s="67">
        <f>SUM(C27:C30)</f>
        <v>1429697.39652612</v>
      </c>
      <c r="D31" s="67">
        <f>C31/E27</f>
        <v>57187.8958610446</v>
      </c>
      <c r="E31" s="6"/>
      <c r="F31" s="6"/>
      <c r="G31" s="45" t="s">
        <v>132</v>
      </c>
      <c r="H31" s="79">
        <v>48330</v>
      </c>
      <c r="I31" s="6">
        <f>1-H31/H30</f>
        <v>0.365239890200817</v>
      </c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spans="2:31">
      <c r="B32" s="67"/>
      <c r="C32" s="67"/>
      <c r="D32" s="67"/>
      <c r="E32" s="6"/>
      <c r="F32" s="6"/>
      <c r="G32" s="45" t="s">
        <v>133</v>
      </c>
      <c r="H32" s="6">
        <v>57188</v>
      </c>
      <c r="I32" s="6">
        <f>1-H32/H29</f>
        <v>0.351168595416383</v>
      </c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spans="2:29">
      <c r="B33" s="67"/>
      <c r="C33" s="67"/>
      <c r="D33" s="67"/>
      <c r="E33" s="6"/>
      <c r="F33" s="6"/>
      <c r="G33" s="45"/>
      <c r="H33" s="6"/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"/>
      <c r="C34" s="6"/>
      <c r="D34" s="6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"/>
      <c r="C35" s="6"/>
      <c r="D35" s="6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7"/>
      <c r="C36" s="67"/>
      <c r="D36" s="67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7"/>
      <c r="C37" s="67"/>
      <c r="D37" s="67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"/>
      <c r="C38" s="6"/>
      <c r="D38" s="6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7"/>
      <c r="C40" s="67"/>
      <c r="D40" s="67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"/>
      <c r="C41" s="6"/>
      <c r="D41" s="6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7"/>
      <c r="C43" s="67"/>
      <c r="D43" s="67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"/>
      <c r="C44" s="6"/>
      <c r="D44" s="6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8"/>
  <sheetViews>
    <sheetView topLeftCell="A10" workbookViewId="0">
      <selection activeCell="J29" sqref="J29"/>
    </sheetView>
  </sheetViews>
  <sheetFormatPr defaultColWidth="9.69090909090909" defaultRowHeight="14"/>
  <cols>
    <col min="1" max="1" width="9.69090909090909" style="1"/>
    <col min="2" max="2" width="15.1545454545455" style="1" customWidth="1"/>
    <col min="3" max="3" width="9.69090909090909" style="1" customWidth="1"/>
    <col min="4" max="4" width="10.3090909090909" style="1" customWidth="1"/>
    <col min="5" max="5" width="5.46363636363636" style="1" customWidth="1"/>
    <col min="6" max="6" width="13.6363636363636" style="1" customWidth="1"/>
    <col min="7" max="7" width="23.6363636363636" style="2" customWidth="1"/>
    <col min="8" max="8" width="9.36363636363636" style="1" customWidth="1"/>
    <col min="9" max="11" width="8.92727272727273" style="1" customWidth="1"/>
    <col min="12" max="12" width="10.3090909090909" style="1" customWidth="1"/>
    <col min="13" max="13" width="7.92727272727273" style="1" customWidth="1"/>
    <col min="14" max="15" width="9.69090909090909" style="1"/>
    <col min="16" max="16" width="20.8181818181818" style="1" customWidth="1"/>
    <col min="17" max="17" width="8.92727272727273" style="2" customWidth="1"/>
    <col min="18" max="18" width="6" style="1" customWidth="1"/>
    <col min="19" max="19" width="10.3090909090909" style="1" customWidth="1"/>
    <col min="20" max="20" width="9.69090909090909" style="1" customWidth="1"/>
    <col min="21" max="21" width="8.15454545454545" style="2" customWidth="1"/>
    <col min="22" max="22" width="8.15454545454545" style="3" customWidth="1"/>
    <col min="23" max="25" width="8.15454545454545" style="1" customWidth="1"/>
    <col min="26" max="26" width="10.3090909090909" style="1" customWidth="1"/>
    <col min="27" max="27" width="8.15454545454545" style="1" customWidth="1"/>
    <col min="28" max="28" width="10.3090909090909" style="4" customWidth="1"/>
    <col min="29" max="29" width="11.8181818181818" style="4" customWidth="1"/>
    <col min="30" max="30" width="10.7727272727273" style="1" customWidth="1"/>
    <col min="31" max="31" width="6" style="1" customWidth="1"/>
    <col min="32" max="32" width="8.15454545454545" style="1" customWidth="1"/>
    <col min="33" max="33" width="10.3090909090909" style="1" customWidth="1"/>
    <col min="34" max="16384" width="9.69090909090909" style="1"/>
  </cols>
  <sheetData>
    <row r="1" ht="14.75"/>
    <row r="2" s="1" customFormat="1" ht="15" spans="2:3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7" t="s">
        <v>1</v>
      </c>
      <c r="Q2" s="8" t="s">
        <v>2</v>
      </c>
      <c r="R2" s="9" t="s">
        <v>3</v>
      </c>
      <c r="S2" s="9" t="s">
        <v>4</v>
      </c>
      <c r="T2" s="9" t="s">
        <v>5</v>
      </c>
      <c r="U2" s="8" t="s">
        <v>6</v>
      </c>
      <c r="V2" s="10" t="s">
        <v>7</v>
      </c>
      <c r="W2" s="9" t="s">
        <v>8</v>
      </c>
      <c r="X2" s="9" t="s">
        <v>9</v>
      </c>
      <c r="Y2" s="9" t="s">
        <v>10</v>
      </c>
      <c r="Z2" s="9" t="s">
        <v>11</v>
      </c>
      <c r="AA2" s="9" t="s">
        <v>12</v>
      </c>
      <c r="AB2" s="11" t="s">
        <v>13</v>
      </c>
      <c r="AC2" s="12" t="s">
        <v>14</v>
      </c>
      <c r="AD2" s="13" t="s">
        <v>15</v>
      </c>
      <c r="AE2" s="13" t="s">
        <v>16</v>
      </c>
      <c r="AF2" s="14" t="s">
        <v>9</v>
      </c>
      <c r="AG2" s="14" t="s">
        <v>17</v>
      </c>
    </row>
    <row r="3" s="1" customFormat="1" spans="2:33">
      <c r="B3" s="15" t="s">
        <v>18</v>
      </c>
      <c r="C3" s="16"/>
      <c r="D3" s="15" t="s">
        <v>6</v>
      </c>
      <c r="E3" s="16"/>
      <c r="F3" s="15" t="s">
        <v>19</v>
      </c>
      <c r="G3" s="16"/>
      <c r="H3" s="15" t="s">
        <v>20</v>
      </c>
      <c r="I3" s="16"/>
      <c r="J3" s="15" t="s">
        <v>8</v>
      </c>
      <c r="K3" s="16"/>
      <c r="L3" s="15" t="s">
        <v>21</v>
      </c>
      <c r="M3" s="16"/>
      <c r="N3" s="6"/>
      <c r="P3" s="17" t="s">
        <v>22</v>
      </c>
      <c r="Q3" s="18">
        <f>22.48%*10</f>
        <v>2.248</v>
      </c>
      <c r="R3" s="19" t="s">
        <v>23</v>
      </c>
      <c r="S3" s="19">
        <f t="shared" ref="S3:S11" si="0">$C$4</f>
        <v>963</v>
      </c>
      <c r="T3" s="18">
        <f t="shared" ref="T3:T11" si="1">($C$5+$C$6+$C$7+$C$8)+($C$9+$C$11)/S3</f>
        <v>1.38544755970924</v>
      </c>
      <c r="U3" s="18">
        <f>SUM($E$4:$E$8)</f>
        <v>1.68</v>
      </c>
      <c r="V3" s="20">
        <f t="shared" ref="V3:V11" si="2">1+$G$9*($I$9-1)</f>
        <v>2.3615</v>
      </c>
      <c r="W3" s="21">
        <f t="shared" ref="W3:W11" si="3">$K$4</f>
        <v>0.45</v>
      </c>
      <c r="X3" s="20">
        <f t="shared" ref="X3:X11" si="4">$AF$3</f>
        <v>0.50131926121372</v>
      </c>
      <c r="Y3" s="19">
        <v>0.8</v>
      </c>
      <c r="Z3" s="22">
        <v>0</v>
      </c>
      <c r="AA3" s="22">
        <v>0</v>
      </c>
      <c r="AB3" s="22">
        <v>0</v>
      </c>
      <c r="AC3" s="23">
        <f t="shared" ref="AC3:AC11" si="5">Q3*S3*(1+T3)*(1+U3)*V3*(1+W3)*X3*Y3*(1+Z3)*(1+AA3)*(1+AB3)</f>
        <v>19005.8628898635</v>
      </c>
      <c r="AD3" s="13">
        <v>0</v>
      </c>
      <c r="AE3" s="13">
        <v>0</v>
      </c>
      <c r="AF3" s="14">
        <f>1520/(1520+(792+8*AG3)*(1-AE3/100))</f>
        <v>0.50131926121372</v>
      </c>
      <c r="AG3" s="24">
        <v>90</v>
      </c>
    </row>
    <row r="4" s="1" customFormat="1" spans="2:33">
      <c r="B4" s="25" t="s">
        <v>4</v>
      </c>
      <c r="C4" s="26">
        <f>375+588</f>
        <v>963</v>
      </c>
      <c r="D4" s="25" t="s">
        <v>24</v>
      </c>
      <c r="E4" s="27">
        <v>0.6</v>
      </c>
      <c r="F4" s="25" t="s">
        <v>25</v>
      </c>
      <c r="G4" s="28">
        <v>0.13</v>
      </c>
      <c r="H4" s="25" t="s">
        <v>25</v>
      </c>
      <c r="I4" s="27">
        <v>1.5</v>
      </c>
      <c r="J4" s="29" t="s">
        <v>26</v>
      </c>
      <c r="K4" s="27">
        <f>25%+20%</f>
        <v>0.45</v>
      </c>
      <c r="L4" s="25" t="s">
        <v>27</v>
      </c>
      <c r="M4" s="28">
        <f>8.6%*2</f>
        <v>0.172</v>
      </c>
      <c r="N4" s="6"/>
      <c r="P4" s="17" t="s">
        <v>28</v>
      </c>
      <c r="Q4" s="18">
        <f>87.48%*10</f>
        <v>8.748</v>
      </c>
      <c r="R4" s="19" t="s">
        <v>29</v>
      </c>
      <c r="S4" s="19">
        <f t="shared" si="0"/>
        <v>963</v>
      </c>
      <c r="T4" s="18">
        <f t="shared" si="1"/>
        <v>1.38544755970924</v>
      </c>
      <c r="U4" s="18">
        <f t="shared" ref="U4:U11" si="6">SUM($E$4:$E$8)</f>
        <v>1.68</v>
      </c>
      <c r="V4" s="20">
        <f t="shared" si="2"/>
        <v>2.3615</v>
      </c>
      <c r="W4" s="21">
        <f t="shared" si="3"/>
        <v>0.45</v>
      </c>
      <c r="X4" s="20">
        <f t="shared" si="4"/>
        <v>0.50131926121372</v>
      </c>
      <c r="Y4" s="19">
        <v>0.8</v>
      </c>
      <c r="Z4" s="22">
        <v>0</v>
      </c>
      <c r="AA4" s="22">
        <v>0</v>
      </c>
      <c r="AB4" s="22">
        <v>0</v>
      </c>
      <c r="AC4" s="23">
        <f t="shared" si="5"/>
        <v>73960.5376158924</v>
      </c>
      <c r="AD4" s="13">
        <v>0</v>
      </c>
      <c r="AE4" s="13">
        <v>0</v>
      </c>
      <c r="AF4" s="14">
        <f t="shared" ref="AF4:AF8" si="7">1520/(1520+(792+8*AG4)*(1-AE4/100)*(1-AD4/100))</f>
        <v>0.50131926121372</v>
      </c>
      <c r="AG4" s="24">
        <v>90</v>
      </c>
    </row>
    <row r="5" s="1" customFormat="1" spans="2:33">
      <c r="B5" s="25" t="s">
        <v>30</v>
      </c>
      <c r="C5" s="27">
        <v>0.24</v>
      </c>
      <c r="D5" s="25" t="s">
        <v>31</v>
      </c>
      <c r="E5" s="27"/>
      <c r="F5" s="25" t="s">
        <v>32</v>
      </c>
      <c r="G5" s="28">
        <v>0.243</v>
      </c>
      <c r="H5" s="25" t="s">
        <v>33</v>
      </c>
      <c r="I5" s="28">
        <f>M7+44%</f>
        <v>1.25</v>
      </c>
      <c r="J5" s="30" t="s">
        <v>34</v>
      </c>
      <c r="K5" s="28"/>
      <c r="L5" s="25" t="s">
        <v>35</v>
      </c>
      <c r="M5" s="28">
        <f>8.6%*2</f>
        <v>0.172</v>
      </c>
      <c r="N5" s="6"/>
      <c r="P5" s="17" t="s">
        <v>36</v>
      </c>
      <c r="Q5" s="18">
        <f>139.31%+46.44%*3</f>
        <v>2.7863</v>
      </c>
      <c r="R5" s="19" t="s">
        <v>37</v>
      </c>
      <c r="S5" s="19">
        <f t="shared" si="0"/>
        <v>963</v>
      </c>
      <c r="T5" s="18">
        <f t="shared" si="1"/>
        <v>1.38544755970924</v>
      </c>
      <c r="U5" s="18">
        <f t="shared" si="6"/>
        <v>1.68</v>
      </c>
      <c r="V5" s="20">
        <f t="shared" si="2"/>
        <v>2.3615</v>
      </c>
      <c r="W5" s="21">
        <f t="shared" si="3"/>
        <v>0.45</v>
      </c>
      <c r="X5" s="20">
        <f t="shared" si="4"/>
        <v>0.50131926121372</v>
      </c>
      <c r="Y5" s="19">
        <v>0.8</v>
      </c>
      <c r="Z5" s="22">
        <v>0</v>
      </c>
      <c r="AA5" s="22">
        <v>0</v>
      </c>
      <c r="AB5" s="22">
        <v>0</v>
      </c>
      <c r="AC5" s="23">
        <f t="shared" si="5"/>
        <v>23556.955413713</v>
      </c>
      <c r="AD5" s="13">
        <v>20</v>
      </c>
      <c r="AE5" s="13">
        <v>0</v>
      </c>
      <c r="AF5" s="14">
        <f t="shared" si="7"/>
        <v>0.556858147713951</v>
      </c>
      <c r="AG5" s="24">
        <v>90</v>
      </c>
    </row>
    <row r="6" s="1" customFormat="1" spans="2:33">
      <c r="B6" s="25" t="s">
        <v>38</v>
      </c>
      <c r="C6" s="27">
        <f>18%+18%+M4</f>
        <v>0.532</v>
      </c>
      <c r="D6" s="25" t="s">
        <v>39</v>
      </c>
      <c r="E6" s="27">
        <f>10%+10%</f>
        <v>0.2</v>
      </c>
      <c r="F6" s="25" t="s">
        <v>40</v>
      </c>
      <c r="G6" s="28"/>
      <c r="H6" s="25" t="s">
        <v>41</v>
      </c>
      <c r="I6" s="28"/>
      <c r="J6" s="30" t="s">
        <v>42</v>
      </c>
      <c r="K6" s="28"/>
      <c r="L6" s="25" t="s">
        <v>19</v>
      </c>
      <c r="M6" s="28">
        <f>8.1*5%</f>
        <v>0.405</v>
      </c>
      <c r="N6" s="6"/>
      <c r="P6" s="17" t="s">
        <v>43</v>
      </c>
      <c r="Q6" s="18">
        <f>277.78%*2</f>
        <v>5.5556</v>
      </c>
      <c r="R6" s="19" t="s">
        <v>44</v>
      </c>
      <c r="S6" s="19">
        <f t="shared" si="0"/>
        <v>963</v>
      </c>
      <c r="T6" s="18">
        <f t="shared" si="1"/>
        <v>1.38544755970924</v>
      </c>
      <c r="U6" s="18">
        <f t="shared" ref="U6:U8" si="8">SUM($E$4:$E$9)</f>
        <v>2.212</v>
      </c>
      <c r="V6" s="20">
        <f t="shared" si="2"/>
        <v>2.3615</v>
      </c>
      <c r="W6" s="21">
        <f t="shared" si="3"/>
        <v>0.45</v>
      </c>
      <c r="X6" s="20">
        <f t="shared" si="4"/>
        <v>0.50131926121372</v>
      </c>
      <c r="Y6" s="19">
        <v>0.8</v>
      </c>
      <c r="Z6" s="22">
        <v>0</v>
      </c>
      <c r="AA6" s="22">
        <v>0</v>
      </c>
      <c r="AB6" s="22">
        <v>0</v>
      </c>
      <c r="AC6" s="23">
        <f t="shared" si="5"/>
        <v>56294.1151088552</v>
      </c>
      <c r="AD6" s="13">
        <v>0</v>
      </c>
      <c r="AE6" s="13">
        <v>0</v>
      </c>
      <c r="AF6" s="14">
        <f t="shared" si="7"/>
        <v>0.50131926121372</v>
      </c>
      <c r="AG6" s="24">
        <v>90</v>
      </c>
    </row>
    <row r="7" s="1" customFormat="1" spans="2:33">
      <c r="B7" s="25" t="s">
        <v>45</v>
      </c>
      <c r="C7" s="31"/>
      <c r="D7" s="25" t="s">
        <v>46</v>
      </c>
      <c r="E7" s="27">
        <f>24%+40%</f>
        <v>0.64</v>
      </c>
      <c r="F7" s="25" t="s">
        <v>33</v>
      </c>
      <c r="G7" s="28">
        <f>M6</f>
        <v>0.405</v>
      </c>
      <c r="H7" s="25"/>
      <c r="I7" s="28"/>
      <c r="J7" s="30"/>
      <c r="K7" s="28"/>
      <c r="L7" s="25" t="s">
        <v>47</v>
      </c>
      <c r="M7" s="27">
        <f>16.2%*5</f>
        <v>0.81</v>
      </c>
      <c r="N7" s="6"/>
      <c r="P7" s="17" t="s">
        <v>48</v>
      </c>
      <c r="Q7" s="18">
        <f>33.8%*3+16.9%*6+13.1%*8</f>
        <v>3.076</v>
      </c>
      <c r="R7" s="19" t="s">
        <v>44</v>
      </c>
      <c r="S7" s="19">
        <f t="shared" si="0"/>
        <v>963</v>
      </c>
      <c r="T7" s="18">
        <f t="shared" si="1"/>
        <v>1.38544755970924</v>
      </c>
      <c r="U7" s="18">
        <f t="shared" si="8"/>
        <v>2.212</v>
      </c>
      <c r="V7" s="20">
        <f t="shared" si="2"/>
        <v>2.3615</v>
      </c>
      <c r="W7" s="21">
        <f t="shared" si="3"/>
        <v>0.45</v>
      </c>
      <c r="X7" s="20">
        <f t="shared" si="4"/>
        <v>0.50131926121372</v>
      </c>
      <c r="Y7" s="19">
        <v>0.8</v>
      </c>
      <c r="Z7" s="22">
        <v>0</v>
      </c>
      <c r="AA7" s="22">
        <v>0</v>
      </c>
      <c r="AB7" s="22">
        <v>0</v>
      </c>
      <c r="AC7" s="23">
        <f t="shared" si="5"/>
        <v>31168.6763040605</v>
      </c>
      <c r="AD7" s="13">
        <v>0</v>
      </c>
      <c r="AE7" s="13">
        <v>0</v>
      </c>
      <c r="AF7" s="14">
        <f t="shared" si="7"/>
        <v>0.50131926121372</v>
      </c>
      <c r="AG7" s="24">
        <v>90</v>
      </c>
    </row>
    <row r="8" s="1" customFormat="1" spans="2:33">
      <c r="B8" s="25" t="s">
        <v>49</v>
      </c>
      <c r="C8" s="31">
        <v>0.25</v>
      </c>
      <c r="D8" s="25" t="s">
        <v>50</v>
      </c>
      <c r="E8" s="32">
        <v>0.24</v>
      </c>
      <c r="F8" s="25" t="s">
        <v>51</v>
      </c>
      <c r="G8" s="28"/>
      <c r="H8" s="25" t="s">
        <v>51</v>
      </c>
      <c r="I8" s="28"/>
      <c r="J8" s="30"/>
      <c r="K8" s="28"/>
      <c r="L8" s="25"/>
      <c r="M8" s="26"/>
      <c r="N8" s="6"/>
      <c r="P8" s="17" t="s">
        <v>52</v>
      </c>
      <c r="Q8" s="18">
        <v>12.1672</v>
      </c>
      <c r="R8" s="19" t="s">
        <v>44</v>
      </c>
      <c r="S8" s="19">
        <f t="shared" si="0"/>
        <v>963</v>
      </c>
      <c r="T8" s="18">
        <f t="shared" si="1"/>
        <v>1.38544755970924</v>
      </c>
      <c r="U8" s="18">
        <f t="shared" si="8"/>
        <v>2.212</v>
      </c>
      <c r="V8" s="20">
        <f t="shared" si="2"/>
        <v>2.3615</v>
      </c>
      <c r="W8" s="21">
        <f t="shared" si="3"/>
        <v>0.45</v>
      </c>
      <c r="X8" s="20">
        <f t="shared" si="4"/>
        <v>0.50131926121372</v>
      </c>
      <c r="Y8" s="19">
        <v>0.8</v>
      </c>
      <c r="Z8" s="22">
        <v>0</v>
      </c>
      <c r="AA8" s="22">
        <v>0</v>
      </c>
      <c r="AB8" s="22">
        <v>0</v>
      </c>
      <c r="AC8" s="23">
        <f t="shared" si="5"/>
        <v>123288.530015203</v>
      </c>
      <c r="AD8" s="13">
        <v>0</v>
      </c>
      <c r="AE8" s="13">
        <v>36</v>
      </c>
      <c r="AF8" s="14">
        <f t="shared" si="7"/>
        <v>0.611011062516079</v>
      </c>
      <c r="AG8" s="24">
        <v>90</v>
      </c>
    </row>
    <row r="9" s="1" customFormat="1" spans="2:33">
      <c r="B9" s="25" t="s">
        <v>53</v>
      </c>
      <c r="C9" s="26">
        <v>350</v>
      </c>
      <c r="D9" s="25" t="s">
        <v>54</v>
      </c>
      <c r="E9" s="33">
        <f>36%+M5</f>
        <v>0.532</v>
      </c>
      <c r="F9" s="34" t="s">
        <v>55</v>
      </c>
      <c r="G9" s="35">
        <f>MIN(100%,SUM(G4:G8))</f>
        <v>0.778</v>
      </c>
      <c r="H9" s="34" t="s">
        <v>56</v>
      </c>
      <c r="I9" s="36">
        <f>SUM(I4:I8)</f>
        <v>2.75</v>
      </c>
      <c r="J9" s="30"/>
      <c r="K9" s="28"/>
      <c r="L9" s="25"/>
      <c r="M9" s="26"/>
      <c r="N9" s="6"/>
      <c r="P9" s="37" t="s">
        <v>57</v>
      </c>
      <c r="Q9" s="38">
        <f>116.31%*2</f>
        <v>2.3262</v>
      </c>
      <c r="R9" s="39" t="s">
        <v>37</v>
      </c>
      <c r="S9" s="19">
        <f t="shared" si="0"/>
        <v>963</v>
      </c>
      <c r="T9" s="18">
        <f t="shared" si="1"/>
        <v>1.38544755970924</v>
      </c>
      <c r="U9" s="18">
        <f t="shared" si="6"/>
        <v>1.68</v>
      </c>
      <c r="V9" s="20">
        <f t="shared" si="2"/>
        <v>2.3615</v>
      </c>
      <c r="W9" s="21">
        <f t="shared" si="3"/>
        <v>0.45</v>
      </c>
      <c r="X9" s="20">
        <f t="shared" si="4"/>
        <v>0.50131926121372</v>
      </c>
      <c r="Y9" s="19">
        <v>0.8</v>
      </c>
      <c r="Z9" s="22">
        <v>0</v>
      </c>
      <c r="AA9" s="22">
        <v>0</v>
      </c>
      <c r="AB9" s="22">
        <v>0</v>
      </c>
      <c r="AC9" s="23">
        <f t="shared" si="5"/>
        <v>19667.0098996444</v>
      </c>
    </row>
    <row r="10" s="1" customFormat="1" spans="2:33">
      <c r="B10" s="25"/>
      <c r="C10" s="26"/>
      <c r="D10" s="25"/>
      <c r="E10" s="27"/>
      <c r="F10" s="34"/>
      <c r="G10" s="35"/>
      <c r="H10" s="34"/>
      <c r="I10" s="36"/>
      <c r="J10" s="30"/>
      <c r="K10" s="28"/>
      <c r="L10" s="25"/>
      <c r="M10" s="26"/>
      <c r="N10" s="6"/>
      <c r="P10" s="17" t="s">
        <v>58</v>
      </c>
      <c r="Q10" s="18">
        <v>1</v>
      </c>
      <c r="R10" s="19" t="s">
        <v>59</v>
      </c>
      <c r="S10" s="19">
        <f t="shared" si="0"/>
        <v>963</v>
      </c>
      <c r="T10" s="18">
        <f t="shared" si="1"/>
        <v>1.38544755970924</v>
      </c>
      <c r="U10" s="18">
        <f t="shared" si="6"/>
        <v>1.68</v>
      </c>
      <c r="V10" s="20">
        <f t="shared" si="2"/>
        <v>2.3615</v>
      </c>
      <c r="W10" s="21">
        <f t="shared" si="3"/>
        <v>0.45</v>
      </c>
      <c r="X10" s="20">
        <f t="shared" si="4"/>
        <v>0.50131926121372</v>
      </c>
      <c r="Y10" s="19">
        <v>0.8</v>
      </c>
      <c r="Z10" s="22">
        <v>0</v>
      </c>
      <c r="AA10" s="22">
        <v>0</v>
      </c>
      <c r="AB10" s="22">
        <v>0</v>
      </c>
      <c r="AC10" s="23">
        <f t="shared" si="5"/>
        <v>8454.56534246598</v>
      </c>
    </row>
    <row r="11" s="1" customFormat="1" spans="2:33">
      <c r="B11" s="40" t="s">
        <v>60</v>
      </c>
      <c r="C11" s="41"/>
      <c r="D11" s="40"/>
      <c r="E11" s="42"/>
      <c r="F11" s="40"/>
      <c r="G11" s="43"/>
      <c r="H11" s="40"/>
      <c r="I11" s="41"/>
      <c r="J11" s="44"/>
      <c r="K11" s="43"/>
      <c r="L11" s="40"/>
      <c r="M11" s="41"/>
      <c r="N11" s="6"/>
      <c r="P11" s="17" t="s">
        <v>61</v>
      </c>
      <c r="Q11" s="18">
        <f>27.36%*10</f>
        <v>2.736</v>
      </c>
      <c r="R11" s="19" t="s">
        <v>62</v>
      </c>
      <c r="S11" s="19">
        <f t="shared" si="0"/>
        <v>963</v>
      </c>
      <c r="T11" s="18">
        <f t="shared" si="1"/>
        <v>1.38544755970924</v>
      </c>
      <c r="U11" s="18">
        <f t="shared" si="6"/>
        <v>1.68</v>
      </c>
      <c r="V11" s="20">
        <f t="shared" si="2"/>
        <v>2.3615</v>
      </c>
      <c r="W11" s="21">
        <f t="shared" si="3"/>
        <v>0.45</v>
      </c>
      <c r="X11" s="20">
        <f t="shared" si="4"/>
        <v>0.50131926121372</v>
      </c>
      <c r="Y11" s="19">
        <v>0.8</v>
      </c>
      <c r="Z11" s="22">
        <v>0</v>
      </c>
      <c r="AA11" s="22">
        <v>0</v>
      </c>
      <c r="AB11" s="22">
        <v>0</v>
      </c>
      <c r="AC11" s="23">
        <f t="shared" si="5"/>
        <v>23131.6907769869</v>
      </c>
    </row>
    <row r="12" s="1" customFormat="1" spans="2:33">
      <c r="B12" s="6"/>
      <c r="C12" s="6"/>
      <c r="D12" s="6"/>
      <c r="E12" s="6"/>
      <c r="F12" s="6" t="s">
        <v>63</v>
      </c>
      <c r="G12" s="45"/>
      <c r="H12" s="6"/>
      <c r="I12" s="6"/>
      <c r="J12" s="6"/>
      <c r="K12" s="6"/>
      <c r="L12" s="6"/>
      <c r="M12" s="6"/>
      <c r="N12" s="6"/>
      <c r="P12" s="17"/>
      <c r="Q12" s="18"/>
      <c r="R12" s="19"/>
      <c r="S12" s="19"/>
      <c r="T12" s="18"/>
      <c r="U12" s="18"/>
      <c r="V12" s="20"/>
      <c r="W12" s="21"/>
      <c r="X12" s="20"/>
      <c r="Y12" s="19"/>
      <c r="Z12" s="22"/>
      <c r="AA12" s="22"/>
      <c r="AB12" s="22"/>
      <c r="AC12" s="23"/>
    </row>
    <row r="13" s="1" customFormat="1" spans="2:33">
      <c r="B13" s="6"/>
      <c r="C13" s="6"/>
      <c r="D13" s="6"/>
      <c r="E13" s="6"/>
      <c r="F13" s="6"/>
      <c r="G13" s="45"/>
      <c r="H13" s="6"/>
      <c r="I13" s="6"/>
      <c r="J13" s="6"/>
      <c r="K13" s="6"/>
      <c r="L13" s="6"/>
      <c r="M13" s="6"/>
      <c r="N13" s="6"/>
      <c r="P13" s="17"/>
      <c r="Q13" s="18"/>
      <c r="R13" s="19"/>
      <c r="S13" s="19"/>
      <c r="T13" s="18"/>
      <c r="U13" s="18"/>
      <c r="V13" s="20"/>
      <c r="W13" s="21"/>
      <c r="X13" s="20"/>
      <c r="Y13" s="19"/>
      <c r="Z13" s="22"/>
      <c r="AA13" s="22"/>
      <c r="AB13" s="22"/>
      <c r="AC13" s="23"/>
    </row>
    <row r="14" s="1" customFormat="1" ht="14.75" spans="2:33">
      <c r="B14" s="6"/>
      <c r="C14" s="6"/>
      <c r="D14" s="6"/>
      <c r="E14" s="6"/>
      <c r="F14" s="6"/>
      <c r="G14" s="45"/>
      <c r="H14" s="6"/>
      <c r="I14" s="6"/>
      <c r="J14" s="6"/>
      <c r="K14" s="6"/>
      <c r="L14" s="6"/>
      <c r="M14" s="6"/>
      <c r="N14" s="6"/>
      <c r="P14" s="17" t="s">
        <v>64</v>
      </c>
      <c r="Q14" s="18">
        <v>18.8075</v>
      </c>
      <c r="R14" s="19" t="s">
        <v>65</v>
      </c>
      <c r="S14" s="19">
        <v>10027</v>
      </c>
      <c r="T14" s="18">
        <v>0</v>
      </c>
      <c r="U14" s="18">
        <v>0</v>
      </c>
      <c r="V14" s="20">
        <v>1</v>
      </c>
      <c r="W14" s="21">
        <v>0</v>
      </c>
      <c r="X14" s="20">
        <f t="shared" ref="X14:X17" si="9">$AF$3</f>
        <v>0.50131926121372</v>
      </c>
      <c r="Y14" s="19">
        <v>0.8</v>
      </c>
      <c r="Z14" s="22">
        <v>0</v>
      </c>
      <c r="AA14" s="22">
        <v>0</v>
      </c>
      <c r="AB14" s="22">
        <v>0.5</v>
      </c>
      <c r="AC14" s="23">
        <f t="shared" ref="AC14:AC17" si="10">Q14*S14*(1+T14)*(1+U14)*V14*(1+W14)*X14*Y14*(1+Z14)*(1+AA14)*(1+AB14)</f>
        <v>113448.229472296</v>
      </c>
    </row>
    <row r="15" s="1" customFormat="1" ht="15" spans="2:33">
      <c r="B15" s="46" t="s">
        <v>66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/>
      <c r="N15" s="6"/>
      <c r="P15" s="17" t="s">
        <v>67</v>
      </c>
      <c r="Q15" s="18">
        <v>2.9822</v>
      </c>
      <c r="R15" s="19" t="s">
        <v>65</v>
      </c>
      <c r="S15" s="19">
        <v>10027</v>
      </c>
      <c r="T15" s="18">
        <v>0</v>
      </c>
      <c r="U15" s="18">
        <v>0</v>
      </c>
      <c r="V15" s="20">
        <v>1</v>
      </c>
      <c r="W15" s="21">
        <v>0</v>
      </c>
      <c r="X15" s="49">
        <f t="shared" si="9"/>
        <v>0.50131926121372</v>
      </c>
      <c r="Y15" s="19">
        <v>0.8</v>
      </c>
      <c r="Z15" s="22">
        <v>0</v>
      </c>
      <c r="AA15" s="22">
        <v>0</v>
      </c>
      <c r="AB15" s="22">
        <v>0.5</v>
      </c>
      <c r="AC15" s="23">
        <f t="shared" si="10"/>
        <v>17988.8507208443</v>
      </c>
    </row>
    <row r="16" s="1" customFormat="1" spans="2:33">
      <c r="B16" s="50" t="s">
        <v>18</v>
      </c>
      <c r="C16" s="51"/>
      <c r="D16" s="50" t="s">
        <v>6</v>
      </c>
      <c r="E16" s="51"/>
      <c r="F16" s="50" t="s">
        <v>19</v>
      </c>
      <c r="G16" s="51"/>
      <c r="H16" s="50" t="s">
        <v>20</v>
      </c>
      <c r="I16" s="51"/>
      <c r="J16" s="52" t="s">
        <v>8</v>
      </c>
      <c r="K16" s="52"/>
      <c r="L16" s="50" t="s">
        <v>21</v>
      </c>
      <c r="M16" s="51"/>
      <c r="N16" s="6"/>
      <c r="P16" s="17" t="s">
        <v>68</v>
      </c>
      <c r="Q16" s="18">
        <v>5.9643</v>
      </c>
      <c r="R16" s="19" t="s">
        <v>65</v>
      </c>
      <c r="S16" s="19">
        <v>10027</v>
      </c>
      <c r="T16" s="18">
        <v>0</v>
      </c>
      <c r="U16" s="18">
        <v>0</v>
      </c>
      <c r="V16" s="20">
        <v>1</v>
      </c>
      <c r="W16" s="21">
        <v>0</v>
      </c>
      <c r="X16" s="49">
        <f t="shared" si="9"/>
        <v>0.50131926121372</v>
      </c>
      <c r="Y16" s="19">
        <v>0.8</v>
      </c>
      <c r="Z16" s="22">
        <v>0</v>
      </c>
      <c r="AA16" s="22">
        <v>0</v>
      </c>
      <c r="AB16" s="22">
        <v>0.5</v>
      </c>
      <c r="AC16" s="23">
        <f t="shared" si="10"/>
        <v>35977.0982343008</v>
      </c>
    </row>
    <row r="17" s="1" customFormat="1" spans="2:31">
      <c r="B17" s="25" t="s">
        <v>4</v>
      </c>
      <c r="C17" s="26">
        <f>425+587</f>
        <v>1012</v>
      </c>
      <c r="D17" s="25" t="s">
        <v>24</v>
      </c>
      <c r="E17" s="27">
        <v>0.3</v>
      </c>
      <c r="F17" s="25" t="s">
        <v>25</v>
      </c>
      <c r="G17" s="28">
        <v>0.13</v>
      </c>
      <c r="H17" s="25" t="s">
        <v>25</v>
      </c>
      <c r="I17" s="27">
        <v>1.5</v>
      </c>
      <c r="J17" s="53" t="s">
        <v>26</v>
      </c>
      <c r="K17" s="54">
        <f>15%+25%</f>
        <v>0.4</v>
      </c>
      <c r="L17" s="25" t="s">
        <v>27</v>
      </c>
      <c r="M17" s="28">
        <f>8.6%*2</f>
        <v>0.172</v>
      </c>
      <c r="N17" s="6"/>
      <c r="P17" s="17" t="s">
        <v>69</v>
      </c>
      <c r="Q17" s="18">
        <f>109.35%*20</f>
        <v>21.87</v>
      </c>
      <c r="R17" s="19" t="s">
        <v>65</v>
      </c>
      <c r="S17" s="19">
        <v>10027</v>
      </c>
      <c r="T17" s="18">
        <v>0</v>
      </c>
      <c r="U17" s="18">
        <v>0</v>
      </c>
      <c r="V17" s="20">
        <v>1</v>
      </c>
      <c r="W17" s="21">
        <v>0</v>
      </c>
      <c r="X17" s="49">
        <f t="shared" si="9"/>
        <v>0.50131926121372</v>
      </c>
      <c r="Y17" s="19">
        <v>0.8</v>
      </c>
      <c r="Z17" s="22">
        <v>1.2</v>
      </c>
      <c r="AA17" s="22">
        <v>0</v>
      </c>
      <c r="AB17" s="22">
        <v>0.5</v>
      </c>
      <c r="AC17" s="23">
        <f t="shared" si="10"/>
        <v>290227.202596306</v>
      </c>
    </row>
    <row r="18" s="1" customFormat="1" spans="2:31">
      <c r="B18" s="25" t="s">
        <v>30</v>
      </c>
      <c r="C18" s="27">
        <v>0.24</v>
      </c>
      <c r="D18" s="25" t="s">
        <v>70</v>
      </c>
      <c r="E18" s="27"/>
      <c r="F18" s="25" t="s">
        <v>32</v>
      </c>
      <c r="G18" s="28">
        <v>0.243</v>
      </c>
      <c r="H18" s="25" t="s">
        <v>33</v>
      </c>
      <c r="I18" s="28">
        <f>M20</f>
        <v>0.81</v>
      </c>
      <c r="J18" s="30" t="s">
        <v>71</v>
      </c>
      <c r="K18" s="28">
        <v>0.25</v>
      </c>
      <c r="L18" s="25" t="s">
        <v>72</v>
      </c>
      <c r="M18" s="28">
        <f>8.6%*2</f>
        <v>0.172</v>
      </c>
      <c r="N18" s="6"/>
      <c r="P18" s="17"/>
      <c r="Q18" s="18"/>
      <c r="R18" s="19"/>
      <c r="S18" s="19"/>
      <c r="T18" s="18"/>
      <c r="U18" s="18"/>
      <c r="V18" s="20"/>
      <c r="W18" s="21"/>
      <c r="X18" s="20"/>
      <c r="Y18" s="19"/>
      <c r="Z18" s="22"/>
      <c r="AA18" s="22"/>
      <c r="AB18" s="22"/>
      <c r="AC18" s="23"/>
    </row>
    <row r="19" s="1" customFormat="1" spans="2:31">
      <c r="B19" s="25" t="s">
        <v>38</v>
      </c>
      <c r="C19" s="27">
        <f>18%+18%+M17+30%</f>
        <v>0.832</v>
      </c>
      <c r="D19" s="25" t="s">
        <v>39</v>
      </c>
      <c r="E19" s="27">
        <v>0.3</v>
      </c>
      <c r="F19" s="25" t="s">
        <v>41</v>
      </c>
      <c r="G19" s="28">
        <v>0.2</v>
      </c>
      <c r="H19" s="25" t="s">
        <v>74</v>
      </c>
      <c r="I19" s="28">
        <v>0.44</v>
      </c>
      <c r="J19" s="30"/>
      <c r="K19" s="28"/>
      <c r="L19" s="25" t="s">
        <v>19</v>
      </c>
      <c r="M19" s="28">
        <f>8.1*5%</f>
        <v>0.405</v>
      </c>
      <c r="N19" s="6"/>
      <c r="P19" s="17"/>
      <c r="Q19" s="18"/>
      <c r="R19" s="19"/>
      <c r="S19" s="19"/>
      <c r="T19" s="18"/>
      <c r="U19" s="18"/>
      <c r="V19" s="20"/>
      <c r="W19" s="21"/>
      <c r="X19" s="20"/>
      <c r="Y19" s="19"/>
      <c r="Z19" s="22"/>
      <c r="AA19" s="22"/>
      <c r="AB19" s="22"/>
      <c r="AC19" s="23"/>
    </row>
    <row r="20" s="1" customFormat="1" spans="2:31">
      <c r="B20" s="25" t="s">
        <v>45</v>
      </c>
      <c r="C20" s="31"/>
      <c r="D20" s="25" t="s">
        <v>49</v>
      </c>
      <c r="E20" s="27">
        <f>58%+40%</f>
        <v>0.98</v>
      </c>
      <c r="F20" s="25" t="s">
        <v>33</v>
      </c>
      <c r="G20" s="28">
        <f>M19</f>
        <v>0.405</v>
      </c>
      <c r="H20" s="25" t="s">
        <v>75</v>
      </c>
      <c r="I20" s="28">
        <v>0.6</v>
      </c>
      <c r="J20" s="30"/>
      <c r="K20" s="28"/>
      <c r="L20" s="25" t="s">
        <v>47</v>
      </c>
      <c r="M20" s="27">
        <f>16.2%*5</f>
        <v>0.81</v>
      </c>
      <c r="N20" s="6"/>
      <c r="P20" s="17"/>
      <c r="Q20" s="18"/>
      <c r="R20" s="19"/>
      <c r="S20" s="19"/>
      <c r="T20" s="18"/>
      <c r="U20" s="18"/>
      <c r="V20" s="20"/>
      <c r="W20" s="21"/>
      <c r="X20" s="20"/>
      <c r="Y20" s="19"/>
      <c r="Z20" s="22"/>
      <c r="AA20" s="22"/>
      <c r="AB20" s="22"/>
      <c r="AC20" s="23"/>
    </row>
    <row r="21" s="1" customFormat="1" spans="2:31">
      <c r="B21" s="25" t="s">
        <v>49</v>
      </c>
      <c r="C21" s="31">
        <f>25%+30%</f>
        <v>0.55</v>
      </c>
      <c r="D21" s="25" t="s">
        <v>50</v>
      </c>
      <c r="E21" s="32"/>
      <c r="F21" s="25"/>
      <c r="G21" s="28"/>
      <c r="H21" s="25" t="s">
        <v>76</v>
      </c>
      <c r="I21" s="28">
        <v>0.2</v>
      </c>
      <c r="J21" s="30"/>
      <c r="K21" s="28"/>
      <c r="L21" s="25"/>
      <c r="M21" s="26"/>
      <c r="N21" s="6"/>
      <c r="P21" s="17"/>
      <c r="Q21" s="18"/>
      <c r="R21" s="19"/>
      <c r="S21" s="19"/>
      <c r="T21" s="18"/>
      <c r="U21" s="18"/>
      <c r="V21" s="20"/>
      <c r="W21" s="21"/>
      <c r="X21" s="20"/>
      <c r="Y21" s="19"/>
      <c r="Z21" s="22"/>
      <c r="AA21" s="22"/>
      <c r="AB21" s="22"/>
      <c r="AC21" s="23"/>
    </row>
    <row r="22" s="1" customFormat="1" spans="2:31">
      <c r="B22" s="25" t="s">
        <v>53</v>
      </c>
      <c r="C22" s="26">
        <v>350</v>
      </c>
      <c r="D22" s="25" t="s">
        <v>77</v>
      </c>
      <c r="E22" s="33">
        <f>25%+M18</f>
        <v>0.422</v>
      </c>
      <c r="F22" s="34" t="s">
        <v>55</v>
      </c>
      <c r="G22" s="35">
        <f>MIN(100%,SUM(G17:G21))</f>
        <v>0.978</v>
      </c>
      <c r="H22" s="34" t="s">
        <v>56</v>
      </c>
      <c r="I22" s="36">
        <f>SUM(I17:I21)</f>
        <v>3.55</v>
      </c>
      <c r="J22" s="30"/>
      <c r="K22" s="28"/>
      <c r="L22" s="25"/>
      <c r="M22" s="26"/>
      <c r="N22" s="6"/>
      <c r="P22" s="55" t="s">
        <v>62</v>
      </c>
      <c r="Q22" s="56">
        <f>273.6%</f>
        <v>2.736</v>
      </c>
      <c r="R22" s="57" t="s">
        <v>62</v>
      </c>
      <c r="S22" s="57">
        <f t="shared" ref="S22:S30" si="11">$C$17</f>
        <v>1012</v>
      </c>
      <c r="T22" s="56">
        <f t="shared" ref="T22:T30" si="12">($C$18+$C$19+$C$20+$C$21)+($C$22+$C$23)/S22</f>
        <v>1.96784980237154</v>
      </c>
      <c r="U22" s="56">
        <f t="shared" ref="U22:U25" si="13">SUM($E$17:$E$21)</f>
        <v>1.58</v>
      </c>
      <c r="V22" s="58">
        <f t="shared" ref="V22:V30" si="14">1+$G$22*($I$22-1)</f>
        <v>3.4939</v>
      </c>
      <c r="W22" s="59">
        <f t="shared" ref="W22:W25" si="15">$K$17</f>
        <v>0.4</v>
      </c>
      <c r="X22" s="58">
        <f t="shared" ref="X22:X25" si="16">$AF$3</f>
        <v>0.50131926121372</v>
      </c>
      <c r="Y22" s="57">
        <v>0.8</v>
      </c>
      <c r="Z22" s="60">
        <v>0</v>
      </c>
      <c r="AA22" s="60">
        <v>0</v>
      </c>
      <c r="AB22" s="60">
        <v>0</v>
      </c>
      <c r="AC22" s="61">
        <f t="shared" ref="AC22:AC30" si="17">Q22*S22*(1+T22)*(1+U22)*V22*(1+W22)*X22*Y22*(1+Z22)*(1+AA22)*(1+AB22)</f>
        <v>41591.1677535475</v>
      </c>
      <c r="AE22" s="62" t="s">
        <v>78</v>
      </c>
    </row>
    <row r="23" s="1" customFormat="1" spans="2:31">
      <c r="B23" s="40" t="s">
        <v>60</v>
      </c>
      <c r="C23" s="41"/>
      <c r="D23" s="40"/>
      <c r="E23" s="42"/>
      <c r="F23" s="40"/>
      <c r="G23" s="42"/>
      <c r="H23" s="40"/>
      <c r="I23" s="41"/>
      <c r="J23" s="44"/>
      <c r="K23" s="43"/>
      <c r="L23" s="40"/>
      <c r="M23" s="41"/>
      <c r="N23" s="6"/>
      <c r="P23" s="55" t="s">
        <v>79</v>
      </c>
      <c r="Q23" s="56">
        <f>13.46%*2+107.66%</f>
        <v>1.3458</v>
      </c>
      <c r="R23" s="57" t="s">
        <v>23</v>
      </c>
      <c r="S23" s="57">
        <f t="shared" si="11"/>
        <v>1012</v>
      </c>
      <c r="T23" s="56">
        <f t="shared" si="12"/>
        <v>1.96784980237154</v>
      </c>
      <c r="U23" s="56">
        <f t="shared" si="13"/>
        <v>1.58</v>
      </c>
      <c r="V23" s="58">
        <f t="shared" si="14"/>
        <v>3.4939</v>
      </c>
      <c r="W23" s="59">
        <f t="shared" si="15"/>
        <v>0.4</v>
      </c>
      <c r="X23" s="58">
        <f t="shared" si="16"/>
        <v>0.50131926121372</v>
      </c>
      <c r="Y23" s="57">
        <v>0.8</v>
      </c>
      <c r="Z23" s="60">
        <v>0</v>
      </c>
      <c r="AA23" s="60">
        <v>0</v>
      </c>
      <c r="AB23" s="60">
        <v>0</v>
      </c>
      <c r="AC23" s="61">
        <f t="shared" si="17"/>
        <v>20458.1116822822</v>
      </c>
      <c r="AE23" s="1">
        <v>0.8</v>
      </c>
    </row>
    <row r="24" s="1" customFormat="1" spans="2:31">
      <c r="B24" s="6"/>
      <c r="C24" s="6"/>
      <c r="D24" s="6"/>
      <c r="E24" s="6"/>
      <c r="F24" s="6"/>
      <c r="G24" s="45"/>
      <c r="H24" s="6"/>
      <c r="I24" s="6"/>
      <c r="J24" s="6"/>
      <c r="K24" s="6"/>
      <c r="L24" s="6"/>
      <c r="M24" s="6"/>
      <c r="N24" s="6"/>
      <c r="P24" s="55" t="s">
        <v>80</v>
      </c>
      <c r="Q24" s="56">
        <f>167.01%+222.67%*3</f>
        <v>8.3502</v>
      </c>
      <c r="R24" s="57" t="s">
        <v>29</v>
      </c>
      <c r="S24" s="57">
        <f t="shared" si="11"/>
        <v>1012</v>
      </c>
      <c r="T24" s="56">
        <f t="shared" si="12"/>
        <v>1.96784980237154</v>
      </c>
      <c r="U24" s="56">
        <f t="shared" ref="U24:U30" si="18">SUM($E$17:$E$22)</f>
        <v>2.002</v>
      </c>
      <c r="V24" s="58">
        <f t="shared" si="14"/>
        <v>3.4939</v>
      </c>
      <c r="W24" s="59">
        <f t="shared" ref="W24:W28" si="19">$K$17+K$18</f>
        <v>0.65</v>
      </c>
      <c r="X24" s="58">
        <f t="shared" ref="X24:X29" si="20">$AF$4</f>
        <v>0.50131926121372</v>
      </c>
      <c r="Y24" s="57">
        <f t="shared" ref="Y24:Y30" si="21">AE$23</f>
        <v>0.8</v>
      </c>
      <c r="Z24" s="60">
        <v>0</v>
      </c>
      <c r="AA24" s="60">
        <v>0</v>
      </c>
      <c r="AB24" s="60">
        <v>0</v>
      </c>
      <c r="AC24" s="61">
        <f t="shared" si="17"/>
        <v>174071.947928121</v>
      </c>
    </row>
    <row r="25" s="1" customFormat="1" ht="15" spans="2:31">
      <c r="B25" s="63" t="s">
        <v>81</v>
      </c>
      <c r="C25" s="6"/>
      <c r="D25" s="6"/>
      <c r="E25" s="6"/>
      <c r="F25" s="6"/>
      <c r="G25" s="45"/>
      <c r="H25" s="6"/>
      <c r="I25" s="6"/>
      <c r="J25" s="6"/>
      <c r="K25" s="6"/>
      <c r="L25" s="6"/>
      <c r="M25" s="6"/>
      <c r="N25" s="6"/>
      <c r="P25" s="55" t="s">
        <v>82</v>
      </c>
      <c r="Q25" s="56">
        <f>18.57%+74.26%+3.89%*6+81.54%+11.65%+40.38%+94.21%</f>
        <v>3.4395</v>
      </c>
      <c r="R25" s="57" t="s">
        <v>44</v>
      </c>
      <c r="S25" s="57">
        <f t="shared" si="11"/>
        <v>1012</v>
      </c>
      <c r="T25" s="56">
        <f t="shared" si="12"/>
        <v>1.96784980237154</v>
      </c>
      <c r="U25" s="56">
        <f t="shared" si="13"/>
        <v>1.58</v>
      </c>
      <c r="V25" s="58">
        <f t="shared" si="14"/>
        <v>3.4939</v>
      </c>
      <c r="W25" s="59">
        <f t="shared" si="15"/>
        <v>0.4</v>
      </c>
      <c r="X25" s="58">
        <f t="shared" si="16"/>
        <v>0.50131926121372</v>
      </c>
      <c r="Y25" s="57">
        <v>0.8</v>
      </c>
      <c r="Z25" s="60">
        <v>0</v>
      </c>
      <c r="AA25" s="60">
        <v>0</v>
      </c>
      <c r="AB25" s="60">
        <v>0</v>
      </c>
      <c r="AC25" s="61">
        <f t="shared" si="17"/>
        <v>52285.3879708796</v>
      </c>
    </row>
    <row r="26" s="1" customFormat="1" spans="2:31">
      <c r="B26" s="64"/>
      <c r="C26" s="64" t="s">
        <v>83</v>
      </c>
      <c r="D26" s="64" t="s">
        <v>84</v>
      </c>
      <c r="E26" s="64" t="s">
        <v>85</v>
      </c>
      <c r="F26" s="65"/>
      <c r="G26" s="45"/>
      <c r="H26" s="6"/>
      <c r="I26" s="6"/>
      <c r="J26" s="6"/>
      <c r="K26" s="6"/>
      <c r="L26" s="6"/>
      <c r="M26" s="6"/>
      <c r="N26" s="6"/>
      <c r="P26" s="55" t="s">
        <v>86</v>
      </c>
      <c r="Q26" s="66">
        <f>17.9%*4+35.79%*3+178.93%</f>
        <v>3.579</v>
      </c>
      <c r="R26" s="57" t="s">
        <v>29</v>
      </c>
      <c r="S26" s="57">
        <f t="shared" si="11"/>
        <v>1012</v>
      </c>
      <c r="T26" s="56">
        <f t="shared" si="12"/>
        <v>1.96784980237154</v>
      </c>
      <c r="U26" s="56">
        <f t="shared" si="18"/>
        <v>2.002</v>
      </c>
      <c r="V26" s="58">
        <f t="shared" si="14"/>
        <v>3.4939</v>
      </c>
      <c r="W26" s="59">
        <f t="shared" si="19"/>
        <v>0.65</v>
      </c>
      <c r="X26" s="58">
        <f t="shared" si="20"/>
        <v>0.50131926121372</v>
      </c>
      <c r="Y26" s="57">
        <f t="shared" si="21"/>
        <v>0.8</v>
      </c>
      <c r="Z26" s="60">
        <v>0</v>
      </c>
      <c r="AA26" s="60">
        <v>0</v>
      </c>
      <c r="AB26" s="60">
        <v>0</v>
      </c>
      <c r="AC26" s="61">
        <f t="shared" si="17"/>
        <v>74609.4107488138</v>
      </c>
    </row>
    <row r="27" s="1" customFormat="1" ht="17.5" spans="2:31">
      <c r="B27" s="67" t="s">
        <v>87</v>
      </c>
      <c r="C27" s="67">
        <f>SUM(AC3:AC11)</f>
        <v>378527.943366685</v>
      </c>
      <c r="D27" s="67">
        <f t="shared" ref="D27:D32" si="22">C27/E$27</f>
        <v>15141.1177346674</v>
      </c>
      <c r="E27" s="65">
        <v>25</v>
      </c>
      <c r="F27" s="68" t="s">
        <v>32</v>
      </c>
      <c r="G27" s="69" t="s">
        <v>134</v>
      </c>
      <c r="H27" s="70" t="s">
        <v>135</v>
      </c>
      <c r="I27" s="6"/>
      <c r="J27" s="6"/>
      <c r="K27" s="6"/>
      <c r="L27" s="6"/>
      <c r="M27" s="6"/>
      <c r="N27" s="6"/>
      <c r="P27" s="55" t="s">
        <v>88</v>
      </c>
      <c r="Q27" s="56">
        <f>18.57%+74.26%+3.89%*6+81.54%+11.65%+40.38%+94.21%</f>
        <v>3.4395</v>
      </c>
      <c r="R27" s="57" t="s">
        <v>44</v>
      </c>
      <c r="S27" s="57">
        <f t="shared" si="11"/>
        <v>1012</v>
      </c>
      <c r="T27" s="56">
        <f t="shared" si="12"/>
        <v>1.96784980237154</v>
      </c>
      <c r="U27" s="56">
        <f>SUM($E$17:$E$21)</f>
        <v>1.58</v>
      </c>
      <c r="V27" s="58">
        <f t="shared" si="14"/>
        <v>3.4939</v>
      </c>
      <c r="W27" s="59">
        <f>$K$17</f>
        <v>0.4</v>
      </c>
      <c r="X27" s="58">
        <f>$AF$3</f>
        <v>0.50131926121372</v>
      </c>
      <c r="Y27" s="57">
        <v>0.8</v>
      </c>
      <c r="Z27" s="60">
        <v>0</v>
      </c>
      <c r="AA27" s="60">
        <v>0</v>
      </c>
      <c r="AB27" s="60">
        <v>0</v>
      </c>
      <c r="AC27" s="61">
        <f t="shared" si="17"/>
        <v>52285.3879708796</v>
      </c>
    </row>
    <row r="28" s="1" customFormat="1" ht="17.5" spans="2:31">
      <c r="B28" s="67" t="s">
        <v>64</v>
      </c>
      <c r="C28" s="67">
        <f>AC14</f>
        <v>113448.229472296</v>
      </c>
      <c r="D28" s="67">
        <f t="shared" si="22"/>
        <v>4537.92917889182</v>
      </c>
      <c r="E28" s="6"/>
      <c r="F28" s="71" t="s">
        <v>136</v>
      </c>
      <c r="G28" s="71">
        <v>40449</v>
      </c>
      <c r="H28" s="72"/>
      <c r="I28" s="6"/>
      <c r="J28" s="6"/>
      <c r="K28" s="6"/>
      <c r="L28" s="6"/>
      <c r="M28" s="6"/>
      <c r="N28" s="6"/>
      <c r="P28" s="55" t="s">
        <v>89</v>
      </c>
      <c r="Q28" s="66">
        <f>17.9%*4+35.79%*3+178.93%</f>
        <v>3.579</v>
      </c>
      <c r="R28" s="57" t="s">
        <v>29</v>
      </c>
      <c r="S28" s="57">
        <f t="shared" si="11"/>
        <v>1012</v>
      </c>
      <c r="T28" s="56">
        <f t="shared" si="12"/>
        <v>1.96784980237154</v>
      </c>
      <c r="U28" s="56">
        <f t="shared" si="18"/>
        <v>2.002</v>
      </c>
      <c r="V28" s="58">
        <f t="shared" si="14"/>
        <v>3.4939</v>
      </c>
      <c r="W28" s="59">
        <f t="shared" si="19"/>
        <v>0.65</v>
      </c>
      <c r="X28" s="58">
        <f t="shared" si="20"/>
        <v>0.50131926121372</v>
      </c>
      <c r="Y28" s="57">
        <f t="shared" si="21"/>
        <v>0.8</v>
      </c>
      <c r="Z28" s="60">
        <v>0</v>
      </c>
      <c r="AA28" s="60">
        <v>0</v>
      </c>
      <c r="AB28" s="60">
        <v>0</v>
      </c>
      <c r="AC28" s="61">
        <f t="shared" si="17"/>
        <v>74609.4107488138</v>
      </c>
    </row>
    <row r="29" s="1" customFormat="1" ht="17.5" spans="2:31">
      <c r="B29" s="67" t="s">
        <v>90</v>
      </c>
      <c r="C29" s="67">
        <v>59877</v>
      </c>
      <c r="D29" s="67">
        <f t="shared" si="22"/>
        <v>2395.08</v>
      </c>
      <c r="E29" s="45"/>
      <c r="F29" s="73" t="s">
        <v>137</v>
      </c>
      <c r="G29" s="74">
        <v>52299</v>
      </c>
      <c r="H29" s="75">
        <f>G29/G28-1</f>
        <v>0.292961507082993</v>
      </c>
      <c r="I29" s="6"/>
      <c r="J29" s="6"/>
      <c r="K29" s="6"/>
      <c r="L29" s="6"/>
      <c r="M29" s="6"/>
      <c r="N29" s="6"/>
      <c r="P29" s="55" t="s">
        <v>91</v>
      </c>
      <c r="Q29" s="56">
        <f>232%</f>
        <v>2.32</v>
      </c>
      <c r="R29" s="57" t="s">
        <v>29</v>
      </c>
      <c r="S29" s="57">
        <f t="shared" si="11"/>
        <v>1012</v>
      </c>
      <c r="T29" s="56">
        <f t="shared" si="12"/>
        <v>1.96784980237154</v>
      </c>
      <c r="U29" s="56">
        <f t="shared" si="18"/>
        <v>2.002</v>
      </c>
      <c r="V29" s="58">
        <f t="shared" si="14"/>
        <v>3.4939</v>
      </c>
      <c r="W29" s="59">
        <f>2+W28</f>
        <v>2.65</v>
      </c>
      <c r="X29" s="58">
        <f t="shared" si="20"/>
        <v>0.50131926121372</v>
      </c>
      <c r="Y29" s="57">
        <f t="shared" si="21"/>
        <v>0.8</v>
      </c>
      <c r="Z29" s="60">
        <v>0</v>
      </c>
      <c r="AA29" s="60">
        <v>0</v>
      </c>
      <c r="AB29" s="60">
        <v>0</v>
      </c>
      <c r="AC29" s="61">
        <f t="shared" si="17"/>
        <v>106986.459773079</v>
      </c>
    </row>
    <row r="30" s="1" customFormat="1" ht="17.5" spans="2:31">
      <c r="B30" s="67" t="s">
        <v>67</v>
      </c>
      <c r="C30" s="67">
        <f>AC15</f>
        <v>17988.8507208443</v>
      </c>
      <c r="D30" s="67">
        <f t="shared" si="22"/>
        <v>719.554028833773</v>
      </c>
      <c r="E30" s="45"/>
      <c r="F30" s="71" t="s">
        <v>138</v>
      </c>
      <c r="G30" s="76">
        <v>57962</v>
      </c>
      <c r="H30" s="72">
        <f>G30/G29-1</f>
        <v>0.108281229086598</v>
      </c>
      <c r="I30" s="6"/>
      <c r="J30" s="6"/>
      <c r="K30" s="6"/>
      <c r="L30" s="6"/>
      <c r="M30" s="6"/>
      <c r="N30" s="6"/>
      <c r="P30" s="55" t="s">
        <v>92</v>
      </c>
      <c r="Q30" s="56">
        <v>17.8929</v>
      </c>
      <c r="R30" s="57" t="s">
        <v>29</v>
      </c>
      <c r="S30" s="57">
        <f t="shared" si="11"/>
        <v>1012</v>
      </c>
      <c r="T30" s="56">
        <f t="shared" si="12"/>
        <v>1.96784980237154</v>
      </c>
      <c r="U30" s="56">
        <f t="shared" si="18"/>
        <v>2.002</v>
      </c>
      <c r="V30" s="58">
        <f t="shared" si="14"/>
        <v>3.4939</v>
      </c>
      <c r="W30" s="59">
        <f>$K$17+K$18</f>
        <v>0.65</v>
      </c>
      <c r="X30" s="58">
        <f>$AF$5</f>
        <v>0.556858147713951</v>
      </c>
      <c r="Y30" s="57">
        <f t="shared" si="21"/>
        <v>0.8</v>
      </c>
      <c r="Z30" s="60">
        <v>0</v>
      </c>
      <c r="AA30" s="60">
        <v>0</v>
      </c>
      <c r="AB30" s="60">
        <v>0</v>
      </c>
      <c r="AC30" s="61">
        <f t="shared" si="17"/>
        <v>414326.616902004</v>
      </c>
    </row>
    <row r="31" s="1" customFormat="1" ht="17.5" spans="2:31">
      <c r="B31" s="67" t="s">
        <v>93</v>
      </c>
      <c r="C31" s="67">
        <f>SUM(AC22:AC30)</f>
        <v>1011223.90147842</v>
      </c>
      <c r="D31" s="67">
        <f t="shared" si="22"/>
        <v>40448.9560591368</v>
      </c>
      <c r="E31" s="6"/>
      <c r="F31" s="71" t="s">
        <v>139</v>
      </c>
      <c r="G31" s="76">
        <v>64311</v>
      </c>
      <c r="H31" s="72">
        <f>G31/G30-1</f>
        <v>0.109537283047514</v>
      </c>
      <c r="I31" s="6"/>
      <c r="J31" s="6"/>
      <c r="K31" s="6"/>
      <c r="L31" s="6"/>
      <c r="M31" s="6"/>
      <c r="N31" s="6"/>
      <c r="P31" s="55"/>
      <c r="Q31" s="56"/>
      <c r="R31" s="57"/>
      <c r="S31" s="57"/>
      <c r="T31" s="57"/>
      <c r="U31" s="56"/>
      <c r="V31" s="58"/>
      <c r="W31" s="60"/>
      <c r="X31" s="57"/>
      <c r="Y31" s="57"/>
      <c r="Z31" s="60"/>
      <c r="AA31" s="60"/>
      <c r="AB31" s="77"/>
      <c r="AC31" s="61"/>
    </row>
    <row r="32" s="1" customFormat="1" ht="17.5" spans="2:31">
      <c r="B32" s="67" t="s">
        <v>68</v>
      </c>
      <c r="C32" s="67">
        <f>AC16+AC17</f>
        <v>326204.300830607</v>
      </c>
      <c r="D32" s="67">
        <f t="shared" si="22"/>
        <v>13048.1720332243</v>
      </c>
      <c r="E32" s="6"/>
      <c r="F32" s="71" t="s">
        <v>140</v>
      </c>
      <c r="G32" s="76">
        <v>69933</v>
      </c>
      <c r="H32" s="72">
        <f>G32/G31-1</f>
        <v>0.0874189485469048</v>
      </c>
      <c r="I32" s="6"/>
      <c r="J32" s="6"/>
      <c r="K32" s="6"/>
      <c r="L32" s="6"/>
      <c r="M32" s="6"/>
      <c r="N32" s="6"/>
      <c r="P32" s="55"/>
      <c r="Q32" s="56"/>
      <c r="R32" s="57"/>
      <c r="S32" s="57"/>
      <c r="T32" s="57"/>
      <c r="U32" s="56"/>
      <c r="V32" s="58"/>
      <c r="W32" s="60"/>
      <c r="X32" s="57"/>
      <c r="Y32" s="57"/>
      <c r="Z32" s="60"/>
      <c r="AA32" s="60"/>
      <c r="AB32" s="77"/>
      <c r="AC32" s="61"/>
    </row>
    <row r="33" s="1" customFormat="1" ht="17.5" spans="2:29">
      <c r="B33" s="67" t="s">
        <v>97</v>
      </c>
      <c r="C33" s="67">
        <f>SUM(C27:C32)</f>
        <v>1907270.22586885</v>
      </c>
      <c r="D33" s="67">
        <f>C33/E27</f>
        <v>76290.8090347541</v>
      </c>
      <c r="E33" s="6"/>
      <c r="F33" s="71" t="s">
        <v>141</v>
      </c>
      <c r="G33" s="76">
        <v>76294</v>
      </c>
      <c r="H33" s="72">
        <f>G33/G32-1</f>
        <v>0.0909584888393176</v>
      </c>
      <c r="I33" s="6"/>
      <c r="J33" s="6"/>
      <c r="K33" s="6"/>
      <c r="L33" s="6"/>
      <c r="M33" s="6"/>
      <c r="N33" s="6"/>
      <c r="P33" s="55"/>
      <c r="Q33" s="56"/>
      <c r="R33" s="57"/>
      <c r="S33" s="57"/>
      <c r="T33" s="57"/>
      <c r="U33" s="56"/>
      <c r="V33" s="58"/>
      <c r="W33" s="60"/>
      <c r="X33" s="57"/>
      <c r="Y33" s="57"/>
      <c r="Z33" s="60"/>
      <c r="AA33" s="60"/>
      <c r="AB33" s="77"/>
      <c r="AC33" s="61"/>
    </row>
    <row r="34" s="1" customFormat="1" spans="2:29">
      <c r="B34" s="67"/>
      <c r="C34" s="67"/>
      <c r="D34" s="67"/>
      <c r="E34" s="6"/>
      <c r="G34" s="45"/>
      <c r="H34" s="6"/>
      <c r="I34" s="6"/>
      <c r="J34" s="6"/>
      <c r="K34" s="6"/>
      <c r="L34" s="6"/>
      <c r="M34" s="6"/>
      <c r="N34" s="6"/>
      <c r="P34" s="6"/>
      <c r="Q34" s="6"/>
      <c r="R34" s="6"/>
      <c r="S34" s="6"/>
      <c r="T34" s="6"/>
      <c r="U34" s="45"/>
      <c r="V34" s="78"/>
      <c r="W34" s="6"/>
      <c r="X34" s="6"/>
      <c r="Y34" s="6"/>
      <c r="Z34" s="6"/>
      <c r="AA34" s="6"/>
      <c r="AB34" s="67"/>
      <c r="AC34" s="67"/>
    </row>
    <row r="35" s="1" customFormat="1" spans="2:29">
      <c r="B35" s="67"/>
      <c r="C35" s="67"/>
      <c r="D35" s="67"/>
      <c r="E35" s="6"/>
      <c r="F35" s="67"/>
      <c r="G35" s="2"/>
      <c r="N35" s="6"/>
      <c r="P35" s="79"/>
      <c r="Q35" s="79"/>
      <c r="R35" s="79"/>
      <c r="S35" s="79"/>
      <c r="T35" s="79"/>
      <c r="U35" s="80"/>
      <c r="V35" s="81"/>
      <c r="W35" s="79"/>
      <c r="X35" s="79"/>
      <c r="Y35" s="79"/>
      <c r="Z35" s="79"/>
      <c r="AA35" s="79"/>
      <c r="AB35" s="67"/>
      <c r="AC35" s="67"/>
    </row>
    <row r="36" s="1" customFormat="1" spans="2:29">
      <c r="B36" s="6"/>
      <c r="C36" s="6"/>
      <c r="D36" s="6"/>
      <c r="E36" s="6"/>
      <c r="F36" s="67"/>
      <c r="N36" s="6"/>
      <c r="U36" s="2"/>
      <c r="V36" s="3"/>
      <c r="AB36" s="4"/>
      <c r="AC36" s="4"/>
    </row>
    <row r="37" s="1" customFormat="1" ht="20" customHeight="1" spans="2:29">
      <c r="B37" s="6"/>
      <c r="C37" s="6"/>
      <c r="D37" s="6"/>
      <c r="E37" s="6"/>
      <c r="F37" s="6"/>
      <c r="G37" s="2"/>
      <c r="N37" s="6"/>
      <c r="Q37" s="2"/>
      <c r="U37" s="2"/>
      <c r="V37" s="3"/>
      <c r="AB37" s="4"/>
      <c r="AC37" s="4"/>
    </row>
    <row r="38" s="1" customFormat="1" ht="20" customHeight="1" spans="2:29">
      <c r="B38" s="67"/>
      <c r="C38" s="67"/>
      <c r="D38" s="67"/>
      <c r="E38" s="6"/>
      <c r="F38" s="67"/>
      <c r="G38" s="2"/>
      <c r="N38" s="6"/>
      <c r="Q38" s="2"/>
      <c r="U38" s="2"/>
      <c r="V38" s="3"/>
      <c r="AB38" s="4"/>
      <c r="AC38" s="4"/>
    </row>
    <row r="39" s="1" customFormat="1" ht="20" customHeight="1" spans="2:29">
      <c r="B39" s="67"/>
      <c r="C39" s="67"/>
      <c r="D39" s="67"/>
      <c r="E39" s="6"/>
      <c r="F39" s="67"/>
      <c r="G39" s="2"/>
      <c r="N39" s="6"/>
      <c r="Q39" s="82"/>
      <c r="U39" s="2"/>
      <c r="V39" s="82"/>
      <c r="AB39" s="4"/>
      <c r="AC39" s="4"/>
    </row>
    <row r="40" s="1" customFormat="1" ht="20" customHeight="1" spans="2:29">
      <c r="B40" s="6"/>
      <c r="C40" s="6"/>
      <c r="D40" s="6"/>
      <c r="E40" s="6"/>
      <c r="F40" s="6"/>
      <c r="G40" s="2"/>
      <c r="N40" s="6"/>
      <c r="Q40" s="82"/>
      <c r="U40" s="2"/>
      <c r="V40" s="82"/>
      <c r="AB40" s="4"/>
      <c r="AC40" s="4"/>
    </row>
    <row r="41" s="1" customFormat="1" ht="20" customHeight="1" spans="2:29">
      <c r="B41" s="67"/>
      <c r="C41" s="67"/>
      <c r="D41" s="67"/>
      <c r="E41" s="6"/>
      <c r="F41" s="67"/>
      <c r="G41" s="2"/>
      <c r="N41" s="6"/>
      <c r="Q41" s="82"/>
      <c r="V41" s="82"/>
      <c r="AB41" s="4"/>
      <c r="AC41" s="4"/>
    </row>
    <row r="42" s="1" customFormat="1" ht="20" customHeight="1" spans="2:29">
      <c r="B42" s="67"/>
      <c r="C42" s="67"/>
      <c r="D42" s="67"/>
      <c r="E42" s="6"/>
      <c r="F42" s="67"/>
      <c r="G42" s="2"/>
      <c r="N42" s="6"/>
      <c r="Q42" s="83"/>
      <c r="U42" s="2"/>
      <c r="V42" s="2"/>
      <c r="AB42" s="4"/>
      <c r="AC42" s="4"/>
    </row>
    <row r="43" s="1" customFormat="1" ht="20" customHeight="1" spans="2:29">
      <c r="B43" s="6"/>
      <c r="C43" s="6"/>
      <c r="D43" s="6"/>
      <c r="E43" s="6"/>
      <c r="F43" s="6"/>
      <c r="G43" s="2"/>
      <c r="N43" s="6"/>
      <c r="Q43" s="2"/>
      <c r="U43" s="2"/>
      <c r="V43" s="3"/>
      <c r="AB43" s="4"/>
      <c r="AC43" s="4"/>
    </row>
    <row r="44" s="1" customFormat="1" spans="2:29">
      <c r="B44" s="67"/>
      <c r="C44" s="67"/>
      <c r="D44" s="67"/>
      <c r="E44" s="6"/>
      <c r="F44" s="67"/>
      <c r="G44" s="2"/>
      <c r="N44" s="6"/>
      <c r="Q44" s="2"/>
      <c r="U44" s="2"/>
      <c r="V44" s="3"/>
      <c r="AB44" s="4"/>
      <c r="AC44" s="4"/>
    </row>
    <row r="45" s="1" customFormat="1" spans="2:29">
      <c r="B45" s="67"/>
      <c r="C45" s="67"/>
      <c r="D45" s="67"/>
      <c r="E45" s="6"/>
      <c r="G45" s="2"/>
      <c r="N45" s="6"/>
      <c r="Q45" s="2"/>
      <c r="U45" s="2"/>
      <c r="V45" s="3"/>
      <c r="AB45" s="4"/>
      <c r="AC45" s="4"/>
    </row>
    <row r="46" s="1" customFormat="1" spans="2:29">
      <c r="B46" s="6"/>
      <c r="C46" s="6"/>
      <c r="D46" s="6"/>
      <c r="E46" s="6"/>
      <c r="G46" s="2"/>
      <c r="N46" s="6"/>
      <c r="Q46" s="2"/>
      <c r="U46" s="2"/>
      <c r="V46" s="3"/>
      <c r="AB46" s="4"/>
      <c r="AC46" s="4"/>
    </row>
    <row r="47" s="1" customFormat="1" spans="2:29">
      <c r="B47" s="67"/>
      <c r="C47" s="67"/>
      <c r="D47" s="67"/>
      <c r="E47" s="6"/>
      <c r="G47" s="2"/>
      <c r="N47" s="6"/>
      <c r="Q47" s="2"/>
      <c r="U47" s="2"/>
      <c r="V47" s="3"/>
      <c r="AB47" s="4"/>
      <c r="AC47" s="4"/>
    </row>
    <row r="48" s="1" customFormat="1" spans="2:29">
      <c r="G48" s="2"/>
      <c r="N48" s="6"/>
      <c r="Q48" s="2"/>
      <c r="U48" s="2"/>
      <c r="V48" s="3"/>
      <c r="AB48" s="4"/>
      <c r="AC48" s="4"/>
    </row>
    <row r="49" s="1" customFormat="1" spans="7:29">
      <c r="G49" s="2"/>
      <c r="N49" s="6"/>
      <c r="Q49" s="2"/>
      <c r="U49" s="2"/>
      <c r="V49" s="3"/>
      <c r="AB49" s="4"/>
      <c r="AC49" s="4"/>
    </row>
    <row r="50" s="1" customFormat="1" spans="7:29">
      <c r="G50" s="2"/>
      <c r="N50" s="6"/>
      <c r="Q50" s="2"/>
      <c r="U50" s="2"/>
      <c r="V50" s="3"/>
      <c r="AB50" s="4"/>
      <c r="AC50" s="4"/>
    </row>
    <row r="51" s="1" customFormat="1" spans="7:29">
      <c r="G51" s="2"/>
      <c r="N51" s="6"/>
      <c r="Q51" s="2"/>
      <c r="U51" s="2"/>
      <c r="V51" s="3"/>
      <c r="AB51" s="4"/>
      <c r="AC51" s="4"/>
    </row>
    <row r="52" s="1" customFormat="1" spans="7:29">
      <c r="G52" s="2"/>
      <c r="N52" s="6"/>
      <c r="Q52" s="2"/>
      <c r="U52" s="2"/>
      <c r="V52" s="3"/>
      <c r="AB52" s="4"/>
      <c r="AC52" s="4"/>
    </row>
    <row r="53" s="1" customFormat="1" spans="7:29">
      <c r="G53" s="2"/>
      <c r="N53" s="6"/>
      <c r="Q53" s="2"/>
      <c r="U53" s="2"/>
      <c r="V53" s="3"/>
      <c r="AB53" s="4"/>
      <c r="AC53" s="4"/>
    </row>
    <row r="54" s="1" customFormat="1" spans="7:29">
      <c r="G54" s="2"/>
      <c r="N54" s="6"/>
      <c r="Q54" s="2"/>
      <c r="U54" s="2"/>
      <c r="V54" s="3"/>
      <c r="AB54" s="4"/>
      <c r="AC54" s="4"/>
    </row>
    <row r="55" s="1" customFormat="1" spans="7:29">
      <c r="G55" s="2"/>
      <c r="N55" s="6"/>
      <c r="Q55" s="2"/>
      <c r="U55" s="2"/>
      <c r="V55" s="3"/>
      <c r="AB55" s="4"/>
      <c r="AC55" s="4"/>
    </row>
    <row r="56" s="1" customFormat="1" spans="7:29">
      <c r="G56" s="2"/>
      <c r="N56" s="6"/>
      <c r="Q56" s="2"/>
      <c r="U56" s="2"/>
      <c r="V56" s="3"/>
      <c r="AB56" s="4"/>
      <c r="AC56" s="4"/>
    </row>
    <row r="57" s="1" customFormat="1" spans="7:29">
      <c r="G57" s="2"/>
      <c r="N57" s="6"/>
      <c r="Q57" s="2"/>
      <c r="U57" s="2"/>
      <c r="V57" s="3"/>
      <c r="AB57" s="4"/>
      <c r="AC57" s="4"/>
    </row>
    <row r="58" s="1" customFormat="1" spans="7:29">
      <c r="G58" s="2"/>
      <c r="N58" s="6"/>
      <c r="Q58" s="2"/>
      <c r="U58" s="2"/>
      <c r="V58" s="3"/>
      <c r="AB58" s="4"/>
      <c r="AC58" s="4"/>
    </row>
  </sheetData>
  <mergeCells count="14">
    <mergeCell ref="B2:M2"/>
    <mergeCell ref="B3:C3"/>
    <mergeCell ref="D3:E3"/>
    <mergeCell ref="F3:G3"/>
    <mergeCell ref="H3:I3"/>
    <mergeCell ref="J3:K3"/>
    <mergeCell ref="L3:M3"/>
    <mergeCell ref="B15:M15"/>
    <mergeCell ref="B16:C16"/>
    <mergeCell ref="D16:E16"/>
    <mergeCell ref="F16:G16"/>
    <mergeCell ref="H16:I16"/>
    <mergeCell ref="J16:K16"/>
    <mergeCell ref="L16:M1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01莫宁</vt:lpstr>
      <vt:lpstr>爱莫琳</vt:lpstr>
      <vt:lpstr>11</vt:lpstr>
      <vt:lpstr>21</vt:lpstr>
      <vt:lpstr>31</vt:lpstr>
      <vt:lpstr>61</vt:lpstr>
      <vt:lpstr>65</vt:lpstr>
      <vt:lpstr>05爱</vt:lpstr>
      <vt:lpstr>爱千</vt:lpstr>
      <vt:lpstr>爱千链</vt:lpstr>
      <vt:lpstr>爱千守</vt:lpstr>
      <vt:lpstr>爱琳守</vt:lpstr>
      <vt:lpstr>爱鉴守</vt:lpstr>
      <vt:lpstr>爱鉴莫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2026-01-18T13:23:00Z</dcterms:created>
  <dcterms:modified xsi:type="dcterms:W3CDTF">2026-01-24T05:58:22Z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52EEC2455E0E425A84F53AF36292EEE4_11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