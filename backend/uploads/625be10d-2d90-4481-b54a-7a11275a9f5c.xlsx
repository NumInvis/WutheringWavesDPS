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900" windowHeight="10990" firstSheet="3" activeTab="13"/>
  </bookViews>
  <sheets>
    <sheet name="统计" sheetId="3" r:id="rId1"/>
    <sheet name="00莫" sheetId="1" r:id="rId2"/>
    <sheet name="00琳" sheetId="4" r:id="rId3"/>
    <sheet name="10莫" sheetId="2" r:id="rId4"/>
    <sheet name="全00" sheetId="5" r:id="rId5"/>
    <sheet name="31" sheetId="6" r:id="rId6"/>
    <sheet name="65" sheetId="7" r:id="rId7"/>
    <sheet name="满配" sheetId="8" r:id="rId8"/>
    <sheet name="聚爆" sheetId="9" r:id="rId9"/>
    <sheet name="无千专" sheetId="10" r:id="rId10"/>
    <sheet name="2千" sheetId="11" r:id="rId11"/>
    <sheet name="6链聚爆" sheetId="12" r:id="rId12"/>
    <sheet name="聚爆莫宁" sheetId="13" r:id="rId13"/>
    <sheet name="爱弗莫" sheetId="14" r:id="rId14"/>
    <sheet name="爱弗莫 链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<sst xmlns="http://schemas.openxmlformats.org/spreadsheetml/2006/main" count="2766" uniqueCount="217">
  <si>
    <t>一轮一破</t>
  </si>
  <si>
    <t>队dps</t>
  </si>
  <si>
    <t>相对</t>
  </si>
  <si>
    <t>00爱00琳00莫（精5千古）</t>
  </si>
  <si>
    <t>00爱00琳00莫</t>
  </si>
  <si>
    <t>配置变化</t>
  </si>
  <si>
    <t>队dps变化</t>
  </si>
  <si>
    <t>01爱00琳00莫（精5停驻）</t>
  </si>
  <si>
    <t>爱弥斯精1千古</t>
  </si>
  <si>
    <t>01爱00琳00莫</t>
  </si>
  <si>
    <t>爱弥斯精5千古</t>
  </si>
  <si>
    <t>01爱01琳00莫</t>
  </si>
  <si>
    <t>琳奈精1停驻</t>
  </si>
  <si>
    <t>01爱01琳10莫</t>
  </si>
  <si>
    <t>琳奈精5停驻</t>
  </si>
  <si>
    <t>莫宁1链</t>
  </si>
  <si>
    <t>+4.92%</t>
  </si>
  <si>
    <t>莫宁专武</t>
  </si>
  <si>
    <t>+4.58%</t>
  </si>
  <si>
    <t>莫宁换守岸人</t>
  </si>
  <si>
    <t>琳奈换鉴心</t>
  </si>
  <si>
    <t>两轮三破</t>
  </si>
  <si>
    <t>一轮两破</t>
  </si>
  <si>
    <t>100级20抗</t>
  </si>
  <si>
    <t>队提升</t>
  </si>
  <si>
    <t>1爱</t>
  </si>
  <si>
    <t>2爱</t>
  </si>
  <si>
    <t>3爱</t>
  </si>
  <si>
    <t>4爱</t>
  </si>
  <si>
    <t>6爱</t>
  </si>
  <si>
    <t>65爱</t>
  </si>
  <si>
    <t>2莫</t>
  </si>
  <si>
    <t>2琳</t>
  </si>
  <si>
    <t>角色主类型</t>
  </si>
  <si>
    <t>r</t>
  </si>
  <si>
    <t>3C属伤数</t>
  </si>
  <si>
    <t>爱弥斯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</si>
  <si>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</si>
  <si>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</si>
  <si>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</si>
  <si>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</si>
  <si>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</si>
  <si>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</si>
  <si>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</si>
  <si>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</si>
  <si>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</si>
  <si>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</si>
  <si>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</si>
  <si>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</si>
  <si>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</si>
  <si>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</si>
  <si>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</si>
  <si>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无视防御</t>
  </si>
  <si>
    <t>减防</t>
  </si>
  <si>
    <t>怪物等级</t>
  </si>
  <si>
    <t>攻击</t>
  </si>
  <si>
    <t>暴击</t>
  </si>
  <si>
    <t>暴击伤害</t>
  </si>
  <si>
    <t>副词条</t>
  </si>
  <si>
    <t>q</t>
  </si>
  <si>
    <t>白值</t>
  </si>
  <si>
    <t>3C声骸</t>
  </si>
  <si>
    <t>基础与固有</t>
  </si>
  <si>
    <t>全加深</t>
  </si>
  <si>
    <t>大攻击</t>
  </si>
  <si>
    <t>以旋律穿越长空</t>
  </si>
  <si>
    <t>bz</t>
  </si>
  <si>
    <t>固有武器</t>
  </si>
  <si>
    <t>套装首位</t>
  </si>
  <si>
    <t>武器</t>
  </si>
  <si>
    <t>r加深</t>
  </si>
  <si>
    <t>r伤害</t>
  </si>
  <si>
    <t>星辉破界而来·过载</t>
  </si>
  <si>
    <t>主副词条</t>
  </si>
  <si>
    <t>自拐属伤</t>
  </si>
  <si>
    <t>套装</t>
  </si>
  <si>
    <t>机兵a234</t>
  </si>
  <si>
    <t>a</t>
  </si>
  <si>
    <t xml:space="preserve">自拐攻击 </t>
  </si>
  <si>
    <t>被拐属伤</t>
  </si>
  <si>
    <t>爆伤</t>
  </si>
  <si>
    <t>光翼共奏·登台</t>
  </si>
  <si>
    <t>被拐攻击</t>
  </si>
  <si>
    <t>其他属伤</t>
  </si>
  <si>
    <t>共鸣链</t>
  </si>
  <si>
    <t>固有</t>
  </si>
  <si>
    <t>爱弥斯a234</t>
  </si>
  <si>
    <t>声骸固定攻击</t>
  </si>
  <si>
    <t>r加成</t>
  </si>
  <si>
    <t>队友</t>
  </si>
  <si>
    <t>光翼共奏·降临</t>
  </si>
  <si>
    <t>额外固定攻击</t>
  </si>
  <si>
    <t>面板暴击率</t>
  </si>
  <si>
    <t>面板暴击伤害</t>
  </si>
  <si>
    <t>重击机兵</t>
  </si>
  <si>
    <t>溢出暴击</t>
  </si>
  <si>
    <t>星辉破界而来·终结</t>
  </si>
  <si>
    <t>变奏</t>
  </si>
  <si>
    <t>爆炸喷涂</t>
  </si>
  <si>
    <t>物理</t>
  </si>
  <si>
    <t>琳奈</t>
  </si>
  <si>
    <t>琳奈式创想</t>
  </si>
  <si>
    <t>e</t>
  </si>
  <si>
    <t>热熔</t>
  </si>
  <si>
    <t>灵感碰撞</t>
  </si>
  <si>
    <t>衍射</t>
  </si>
  <si>
    <t>幻光折跃*3</t>
  </si>
  <si>
    <t>主类型加深</t>
  </si>
  <si>
    <t>普攻伤害</t>
  </si>
  <si>
    <t>视觉冲击</t>
  </si>
  <si>
    <t>加色混合</t>
  </si>
  <si>
    <t>有空一起兜风！</t>
  </si>
  <si>
    <t>yz</t>
  </si>
  <si>
    <t>海维夏</t>
  </si>
  <si>
    <t>a加成</t>
  </si>
  <si>
    <t>光翼共奏</t>
  </si>
  <si>
    <t>震谐</t>
  </si>
  <si>
    <t>爱弥斯震谐</t>
  </si>
  <si>
    <t>琳奈震谐</t>
  </si>
  <si>
    <t>00莫宁</t>
  </si>
  <si>
    <t>莫宁震谐</t>
  </si>
  <si>
    <t>防御</t>
  </si>
  <si>
    <t>3防2暴3爆伤2共解</t>
  </si>
  <si>
    <t>谐度破坏</t>
  </si>
  <si>
    <t>谐破</t>
  </si>
  <si>
    <t>基础</t>
  </si>
  <si>
    <t>固有和武器</t>
  </si>
  <si>
    <t>首位加成</t>
  </si>
  <si>
    <t>声骸</t>
  </si>
  <si>
    <t>声骸加深</t>
  </si>
  <si>
    <t>归敛</t>
  </si>
  <si>
    <t>声骸和词条</t>
  </si>
  <si>
    <t>套装效果</t>
  </si>
  <si>
    <t>仇远</t>
  </si>
  <si>
    <t>共技加深</t>
  </si>
  <si>
    <t>aaa</t>
  </si>
  <si>
    <t>其他buff</t>
  </si>
  <si>
    <t>共解</t>
  </si>
  <si>
    <t>分布式阵列</t>
  </si>
  <si>
    <t>队友buff</t>
  </si>
  <si>
    <t>武器效果</t>
  </si>
  <si>
    <t>守岸人</t>
  </si>
  <si>
    <t>声骸技</t>
  </si>
  <si>
    <t>e加成</t>
  </si>
  <si>
    <t>临界协议</t>
  </si>
  <si>
    <t>q加成</t>
  </si>
  <si>
    <t>回路1</t>
  </si>
  <si>
    <t xml:space="preserve">                                                                             </t>
  </si>
  <si>
    <t>20抗100级怪</t>
  </si>
  <si>
    <t>总伤</t>
  </si>
  <si>
    <t>dps</t>
  </si>
  <si>
    <t>秒数</t>
  </si>
  <si>
    <t>占比</t>
  </si>
  <si>
    <t>合计</t>
  </si>
  <si>
    <t>掉buff统计</t>
  </si>
  <si>
    <t>莫宁40%加成</t>
  </si>
  <si>
    <t>（r1，r2】</t>
  </si>
  <si>
    <t>词条奖惩</t>
  </si>
  <si>
    <t>14词</t>
  </si>
  <si>
    <t>13词</t>
  </si>
  <si>
    <t>莫宁</t>
  </si>
  <si>
    <t>10词</t>
  </si>
  <si>
    <t>20、%</t>
  </si>
  <si>
    <t>10莫宁</t>
  </si>
  <si>
    <t>聚爆 爱弥斯</t>
  </si>
  <si>
    <t>聚爆夏空</t>
  </si>
  <si>
    <t>奶套</t>
  </si>
  <si>
    <t>千咲</t>
  </si>
  <si>
    <t>聚爆</t>
  </si>
  <si>
    <t>‘</t>
  </si>
  <si>
    <t>配置</t>
  </si>
  <si>
    <t>千无专</t>
  </si>
  <si>
    <t>01爱千“夏”</t>
  </si>
  <si>
    <t>01爱01"夏”21千</t>
  </si>
  <si>
    <t>01爱01“夏”10莫</t>
  </si>
  <si>
    <t>爱"夏”千</t>
  </si>
  <si>
    <t>01</t>
  </si>
  <si>
    <t>0链</t>
  </si>
  <si>
    <t>1链</t>
  </si>
  <si>
    <t>2链</t>
  </si>
  <si>
    <t>3链</t>
  </si>
  <si>
    <t>4链</t>
  </si>
  <si>
    <t>5链</t>
  </si>
  <si>
    <t>6链</t>
  </si>
  <si>
    <t>奥古斯塔</t>
  </si>
  <si>
    <t>椿</t>
  </si>
  <si>
    <t>卡提</t>
  </si>
  <si>
    <t>震谐爱</t>
  </si>
  <si>
    <t>聚爆爱</t>
  </si>
  <si>
    <t>携星辉降临于此</t>
  </si>
  <si>
    <t>机兵a234（a4不出伤）</t>
  </si>
  <si>
    <t>eaaa</t>
  </si>
  <si>
    <t>合弗aaaa</t>
  </si>
  <si>
    <t>弗洛洛</t>
  </si>
  <si>
    <t>湮灭</t>
  </si>
  <si>
    <t>弗变奏</t>
  </si>
  <si>
    <t>e加深</t>
  </si>
  <si>
    <t>共技伤害</t>
  </si>
  <si>
    <t>a3闪</t>
  </si>
  <si>
    <t>q加深</t>
  </si>
  <si>
    <t>A 闪</t>
  </si>
  <si>
    <t>a123闪</t>
  </si>
  <si>
    <t>谱曲终末基础</t>
  </si>
  <si>
    <t>谱曲终末附加</t>
  </si>
  <si>
    <t>赫卡忒（A）</t>
  </si>
  <si>
    <t>赫卡忒（延）</t>
  </si>
  <si>
    <t>赫卡忒（莫）</t>
  </si>
  <si>
    <t>赫卡忒（坎）</t>
  </si>
  <si>
    <t>赫卡忒普攻</t>
  </si>
  <si>
    <t>第二个完整轮</t>
  </si>
  <si>
    <t>一轮1.5破</t>
  </si>
  <si>
    <t>10莫01爱01弗</t>
  </si>
  <si>
    <t>弗启动</t>
  </si>
  <si>
    <t>第一轮</t>
  </si>
  <si>
    <t>第二轮</t>
  </si>
  <si>
    <t>第三轮</t>
  </si>
  <si>
    <t>机兵a234（4不出伤）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</si>
</sst>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31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CE4D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6" borderId="19" applyNumberFormat="0" applyAlignment="0" applyProtection="0">
      <alignment vertical="center"/>
    </xf>
    <xf numFmtId="0" fontId="21" fillId="17" borderId="20" applyNumberFormat="0" applyAlignment="0" applyProtection="0">
      <alignment vertical="center"/>
    </xf>
    <xf numFmtId="0" fontId="22" fillId="17" borderId="19" applyNumberFormat="0" applyAlignment="0" applyProtection="0">
      <alignment vertical="center"/>
    </xf>
    <xf numFmtId="0" fontId="23" fillId="18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</cellStyleXfs>
  <cellXfs count="22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0" fontId="2" fillId="0" borderId="4" xfId="0" applyNumberFormat="1" applyFont="1" applyFill="1" applyBorder="1" applyAlignment="1">
      <alignment horizontal="center" vertical="center"/>
    </xf>
    <xf numFmtId="178" fontId="2" fillId="0" borderId="4" xfId="0" applyNumberFormat="1" applyFont="1" applyFill="1" applyBorder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/>
    </xf>
    <xf numFmtId="177" fontId="2" fillId="0" borderId="4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5" borderId="0" xfId="0" applyNumberFormat="1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4" fillId="5" borderId="0" xfId="0" applyNumberFormat="1" applyFont="1" applyFill="1" applyBorder="1" applyAlignment="1">
      <alignment horizontal="center" vertical="center"/>
    </xf>
    <xf numFmtId="10" fontId="0" fillId="6" borderId="0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177" fontId="4" fillId="5" borderId="4" xfId="0" applyNumberFormat="1" applyFon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79" fontId="0" fillId="0" borderId="8" xfId="0" applyNumberFormat="1" applyFill="1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0" fontId="0" fillId="7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5" xfId="0" applyNumberFormat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0" fontId="0" fillId="0" borderId="8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7" fontId="4" fillId="9" borderId="0" xfId="0" applyNumberFormat="1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0" fontId="0" fillId="0" borderId="7" xfId="0" applyNumberFormat="1" applyFill="1" applyBorder="1" applyAlignment="1">
      <alignment horizontal="center" vertical="center"/>
    </xf>
    <xf numFmtId="10" fontId="0" fillId="6" borderId="7" xfId="0" applyNumberForma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9" fontId="3" fillId="0" borderId="8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 applyProtection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9" fontId="0" fillId="0" borderId="10" xfId="0" applyNumberForma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0" fontId="5" fillId="0" borderId="0" xfId="0" applyFont="1" applyFill="1" applyAlignment="1"/>
    <xf numFmtId="0" fontId="6" fillId="11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0" fontId="5" fillId="0" borderId="8" xfId="0" applyNumberFormat="1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0" fontId="5" fillId="0" borderId="0" xfId="0" applyNumberFormat="1" applyFont="1" applyFill="1" applyAlignment="1"/>
    <xf numFmtId="10" fontId="5" fillId="0" borderId="7" xfId="0" applyNumberFormat="1" applyFont="1" applyFill="1" applyBorder="1" applyAlignment="1">
      <alignment horizontal="center" vertical="center"/>
    </xf>
    <xf numFmtId="179" fontId="5" fillId="0" borderId="8" xfId="0" applyNumberFormat="1" applyFont="1" applyFill="1" applyBorder="1" applyAlignment="1">
      <alignment horizontal="center" vertical="center"/>
    </xf>
    <xf numFmtId="9" fontId="5" fillId="0" borderId="0" xfId="0" applyNumberFormat="1" applyFont="1" applyFill="1" applyAlignment="1"/>
    <xf numFmtId="0" fontId="5" fillId="0" borderId="8" xfId="0" applyNumberFormat="1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0" fontId="0" fillId="6" borderId="9" xfId="0" applyNumberForma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77" fontId="3" fillId="0" borderId="11" xfId="0" applyNumberFormat="1" applyFont="1" applyFill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 vertical="center"/>
    </xf>
    <xf numFmtId="178" fontId="3" fillId="0" borderId="11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9" fontId="3" fillId="0" borderId="10" xfId="0" applyNumberFormat="1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10" fontId="5" fillId="7" borderId="8" xfId="0" applyNumberFormat="1" applyFont="1" applyFill="1" applyBorder="1" applyAlignment="1">
      <alignment horizontal="center" vertical="center"/>
    </xf>
    <xf numFmtId="9" fontId="5" fillId="7" borderId="8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9" fontId="5" fillId="0" borderId="10" xfId="0" applyNumberFormat="1" applyFont="1" applyFill="1" applyBorder="1" applyAlignment="1">
      <alignment horizontal="center" vertical="center"/>
    </xf>
    <xf numFmtId="10" fontId="5" fillId="0" borderId="10" xfId="0" applyNumberFormat="1" applyFont="1" applyFill="1" applyBorder="1" applyAlignment="1">
      <alignment horizontal="center" vertical="center"/>
    </xf>
    <xf numFmtId="10" fontId="5" fillId="0" borderId="9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77" fontId="4" fillId="5" borderId="3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10" fontId="5" fillId="0" borderId="0" xfId="0" applyNumberFormat="1" applyFont="1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77" fontId="4" fillId="5" borderId="8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7" fillId="0" borderId="0" xfId="0" applyFont="1" applyFill="1" applyAlignment="1">
      <alignment vertical="center"/>
    </xf>
    <xf numFmtId="10" fontId="0" fillId="0" borderId="0" xfId="0" applyNumberForma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78" fontId="0" fillId="0" borderId="11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77" fontId="4" fillId="5" borderId="10" xfId="0" applyNumberFormat="1" applyFont="1" applyFill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177" fontId="2" fillId="6" borderId="4" xfId="0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177" fontId="0" fillId="0" borderId="11" xfId="0" applyNumberForma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vertical="center" wrapText="1"/>
    </xf>
    <xf numFmtId="0" fontId="7" fillId="1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7" fontId="3" fillId="0" borderId="2" xfId="0" applyNumberFormat="1" applyFont="1" applyFill="1" applyBorder="1" applyAlignment="1">
      <alignment horizontal="center" vertical="center"/>
    </xf>
    <xf numFmtId="10" fontId="3" fillId="0" borderId="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9" fontId="3" fillId="0" borderId="2" xfId="0" applyNumberFormat="1" applyFont="1" applyFill="1" applyBorder="1" applyAlignment="1">
      <alignment horizontal="center" vertical="center"/>
    </xf>
    <xf numFmtId="9" fontId="3" fillId="0" borderId="3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9" fontId="3" fillId="0" borderId="8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Border="1" applyAlignment="1">
      <alignment horizontal="center" vertical="center"/>
    </xf>
    <xf numFmtId="9" fontId="0" fillId="0" borderId="8" xfId="0" applyNumberFormat="1" applyFont="1" applyFill="1" applyBorder="1" applyAlignment="1" applyProtection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177" fontId="3" fillId="0" borderId="11" xfId="0" applyNumberFormat="1" applyFont="1" applyFill="1" applyBorder="1" applyAlignment="1">
      <alignment horizontal="center" vertical="center"/>
    </xf>
    <xf numFmtId="10" fontId="3" fillId="0" borderId="11" xfId="0" applyNumberFormat="1" applyFont="1" applyFill="1" applyBorder="1" applyAlignment="1">
      <alignment horizontal="center" vertical="center"/>
    </xf>
    <xf numFmtId="10" fontId="3" fillId="2" borderId="11" xfId="0" applyNumberFormat="1" applyFont="1" applyFill="1" applyBorder="1" applyAlignment="1">
      <alignment horizontal="center" vertical="center"/>
    </xf>
    <xf numFmtId="178" fontId="3" fillId="0" borderId="15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/>
    </xf>
    <xf numFmtId="178" fontId="3" fillId="0" borderId="11" xfId="0" applyNumberFormat="1" applyFont="1" applyFill="1" applyBorder="1" applyAlignment="1">
      <alignment horizontal="center" vertical="center"/>
    </xf>
    <xf numFmtId="9" fontId="3" fillId="0" borderId="11" xfId="0" applyNumberFormat="1" applyFont="1" applyFill="1" applyBorder="1" applyAlignment="1">
      <alignment horizontal="center" vertical="center"/>
    </xf>
    <xf numFmtId="9" fontId="3" fillId="0" borderId="10" xfId="0" applyNumberFormat="1" applyFont="1" applyFill="1" applyBorder="1" applyAlignment="1">
      <alignment horizontal="center" vertical="center"/>
    </xf>
    <xf numFmtId="177" fontId="7" fillId="10" borderId="1" xfId="0" applyNumberFormat="1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177" fontId="7" fillId="10" borderId="9" xfId="0" applyNumberFormat="1" applyFont="1" applyFill="1" applyBorder="1" applyAlignment="1">
      <alignment horizontal="center" vertical="center"/>
    </xf>
    <xf numFmtId="177" fontId="7" fillId="0" borderId="11" xfId="0" applyNumberFormat="1" applyFont="1" applyFill="1" applyBorder="1" applyAlignment="1">
      <alignment horizontal="center" vertical="center" wrapText="1"/>
    </xf>
    <xf numFmtId="177" fontId="7" fillId="0" borderId="10" xfId="0" applyNumberFormat="1" applyFont="1" applyFill="1" applyBorder="1" applyAlignment="1">
      <alignment horizontal="center" vertical="center" wrapText="1"/>
    </xf>
    <xf numFmtId="0" fontId="0" fillId="0" borderId="0" xfId="0" applyFill="1" applyAlignment="1"/>
    <xf numFmtId="0" fontId="7" fillId="8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177" fontId="0" fillId="0" borderId="8" xfId="0" applyNumberForma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10" fontId="0" fillId="0" borderId="4" xfId="0" applyNumberFormat="1" applyFill="1" applyBorder="1" applyAlignment="1">
      <alignment horizontal="center" vertical="center"/>
    </xf>
    <xf numFmtId="10" fontId="0" fillId="0" borderId="4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10" fontId="10" fillId="0" borderId="0" xfId="0" applyNumberFormat="1" applyFont="1" applyFill="1" applyAlignment="1">
      <alignment horizontal="center" vertical="center"/>
    </xf>
    <xf numFmtId="9" fontId="10" fillId="0" borderId="0" xfId="0" applyNumberFormat="1" applyFont="1" applyFill="1" applyAlignment="1">
      <alignment horizontal="center" vertical="center"/>
    </xf>
    <xf numFmtId="177" fontId="2" fillId="10" borderId="5" xfId="0" applyNumberFormat="1" applyFont="1" applyFill="1" applyBorder="1" applyAlignment="1">
      <alignment horizontal="center" vertical="center"/>
    </xf>
    <xf numFmtId="177" fontId="4" fillId="10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49" fontId="10" fillId="0" borderId="0" xfId="0" applyNumberFormat="1" applyFont="1" applyFill="1" applyBorder="1" applyAlignment="1" applyProtection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Fill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9"/>
  <sheetViews>
    <sheetView workbookViewId="0">
      <selection activeCell="F2" sqref="F2"/>
    </sheetView>
  </sheetViews>
  <sheetFormatPr defaultColWidth="8.72727272727273" defaultRowHeight="14"/>
  <cols>
    <col min="1" max="1" width="8.72727272727273" style="220"/>
    <col min="2" max="2" width="15.2727272727273" style="220" customWidth="1"/>
    <col min="3" max="3" width="26.3636363636364" style="220" customWidth="1"/>
    <col min="4" max="4" width="9.36363636363636" style="220" customWidth="1"/>
    <col min="5" max="5" width="9.18181818181818" style="220" customWidth="1"/>
    <col min="6" max="6" width="12.8181818181818" style="220"/>
    <col min="7" max="7" width="8.72727272727273" style="220"/>
    <col min="8" max="8" width="16.4545454545455" style="220" customWidth="1"/>
    <col min="9" max="9" width="11.5454545454545" style="220" customWidth="1"/>
    <col min="10" max="16384" width="8.72727272727273" style="220"/>
  </cols>
  <sheetData>
    <row r="3" spans="3:10">
      <c r="C3" s="221" t="s">
        <v>0</v>
      </c>
      <c r="D3" s="221" t="s">
        <v>1</v>
      </c>
      <c r="E3" s="221" t="s">
        <v>2</v>
      </c>
    </row>
    <row r="4" ht="15" spans="3:10">
      <c r="C4" s="220" t="s">
        <v>3</v>
      </c>
      <c r="D4" s="222">
        <v>72499</v>
      </c>
      <c r="E4" s="223">
        <f>D4/$D$9</f>
        <v>0.81214993054622</v>
      </c>
    </row>
    <row r="5" ht="15" spans="3:10">
      <c r="C5" s="220" t="s">
        <v>4</v>
      </c>
      <c r="D5" s="222">
        <v>71383</v>
      </c>
      <c r="E5" s="223">
        <f>D5/$D$9</f>
        <v>0.799648250212842</v>
      </c>
      <c r="H5" s="224" t="s">
        <v>5</v>
      </c>
      <c r="I5" s="224" t="s">
        <v>6</v>
      </c>
    </row>
    <row r="6" ht="17.5" spans="3:10">
      <c r="C6" s="220" t="s">
        <v>7</v>
      </c>
      <c r="D6" s="222">
        <v>81983</v>
      </c>
      <c r="E6" s="223">
        <f>D6/$D$9</f>
        <v>0.918391808934893</v>
      </c>
      <c r="H6" s="222" t="s">
        <v>8</v>
      </c>
      <c r="I6" s="225">
        <v>-0.1293</v>
      </c>
    </row>
    <row r="7" ht="17.5" spans="3:10">
      <c r="C7" s="220" t="s">
        <v>9</v>
      </c>
      <c r="D7" s="222">
        <v>80411</v>
      </c>
      <c r="E7" s="223">
        <f>D7/$D$9</f>
        <v>0.900781915131962</v>
      </c>
      <c r="H7" s="222" t="s">
        <v>10</v>
      </c>
      <c r="I7" s="225">
        <v>-0.1157</v>
      </c>
      <c r="J7" s="223"/>
    </row>
    <row r="8" ht="17.5" spans="3:10">
      <c r="C8" s="220" t="s">
        <v>11</v>
      </c>
      <c r="D8" s="222">
        <v>85085</v>
      </c>
      <c r="E8" s="223">
        <f>D8/$D$9</f>
        <v>0.953141103194874</v>
      </c>
      <c r="H8" s="222" t="s">
        <v>12</v>
      </c>
      <c r="I8" s="225">
        <v>-0.0549</v>
      </c>
    </row>
    <row r="9" ht="17.5" spans="3:10">
      <c r="C9" s="220" t="s">
        <v>13</v>
      </c>
      <c r="D9" s="222">
        <v>89268</v>
      </c>
      <c r="E9" s="223">
        <v>1</v>
      </c>
      <c r="H9" s="222" t="s">
        <v>14</v>
      </c>
      <c r="I9" s="225">
        <v>-0.0365</v>
      </c>
    </row>
    <row r="10" ht="17.5" spans="3:10">
      <c r="H10" s="222" t="s">
        <v>15</v>
      </c>
      <c r="I10" s="226" t="s">
        <v>16</v>
      </c>
    </row>
    <row r="11" ht="17.5" spans="3:10">
      <c r="H11" s="222" t="s">
        <v>17</v>
      </c>
      <c r="I11" s="226" t="s">
        <v>18</v>
      </c>
    </row>
    <row r="12" ht="17.5" spans="3:10">
      <c r="H12" s="222" t="s">
        <v>19</v>
      </c>
      <c r="I12" s="225">
        <f>76000/D9-1</f>
        <v>-0.14863108840794</v>
      </c>
    </row>
    <row r="13" ht="17.5" spans="3:10">
      <c r="H13" s="222" t="s">
        <v>20</v>
      </c>
      <c r="I13" s="225">
        <f>57200/D9-1</f>
        <v>-0.359232871801765</v>
      </c>
    </row>
    <row r="14" ht="15" spans="3:10">
      <c r="C14" s="224" t="s">
        <v>13</v>
      </c>
      <c r="D14" s="224" t="s">
        <v>1</v>
      </c>
      <c r="E14" s="224" t="s">
        <v>2</v>
      </c>
    </row>
    <row r="15" ht="15" spans="3:10">
      <c r="C15" s="222" t="s">
        <v>0</v>
      </c>
      <c r="D15" s="222">
        <v>89268</v>
      </c>
      <c r="E15" s="223">
        <v>1</v>
      </c>
    </row>
    <row r="16" ht="15" spans="3:10">
      <c r="C16" s="222" t="s">
        <v>21</v>
      </c>
      <c r="D16" s="222">
        <v>94761</v>
      </c>
      <c r="E16" s="223">
        <f>D16/D15</f>
        <v>1.06153380830757</v>
      </c>
    </row>
    <row r="17" ht="15" spans="2:5">
      <c r="C17" s="222" t="s">
        <v>22</v>
      </c>
      <c r="D17" s="222">
        <v>100255</v>
      </c>
      <c r="E17" s="223">
        <f>D17/D15</f>
        <v>1.12307881883766</v>
      </c>
    </row>
    <row r="19" ht="15" spans="2:5">
      <c r="B19" s="227" t="s">
        <v>23</v>
      </c>
      <c r="C19" s="227" t="s">
        <v>1</v>
      </c>
      <c r="D19" s="227" t="s">
        <v>24</v>
      </c>
    </row>
    <row r="20" ht="17.5" spans="2:5">
      <c r="B20" s="222" t="s">
        <v>13</v>
      </c>
      <c r="C20" s="228">
        <v>89268</v>
      </c>
      <c r="D20" s="225"/>
    </row>
    <row r="21" ht="17.5" spans="2:5">
      <c r="B21" s="222" t="s">
        <v>25</v>
      </c>
      <c r="C21" s="228">
        <v>93968</v>
      </c>
      <c r="D21" s="225">
        <f>C21/C20-1</f>
        <v>0.0526504458484562</v>
      </c>
    </row>
    <row r="22" ht="17.5" spans="2:5">
      <c r="B22" s="222" t="s">
        <v>26</v>
      </c>
      <c r="C22" s="228">
        <v>110386</v>
      </c>
      <c r="D22" s="225">
        <f t="shared" ref="D22:D29" si="0">C22/C21-1</f>
        <v>0.174719053294739</v>
      </c>
    </row>
    <row r="23" ht="17.5" spans="2:5">
      <c r="B23" s="222" t="s">
        <v>27</v>
      </c>
      <c r="C23" s="228">
        <v>135734</v>
      </c>
      <c r="D23" s="225">
        <f t="shared" si="0"/>
        <v>0.229630569093907</v>
      </c>
    </row>
    <row r="24" ht="17.5" spans="2:5">
      <c r="B24" s="222" t="s">
        <v>28</v>
      </c>
      <c r="C24" s="228">
        <v>142678</v>
      </c>
      <c r="D24" s="225">
        <f t="shared" si="0"/>
        <v>0.0511588842883877</v>
      </c>
    </row>
    <row r="25" ht="17.5" spans="2:5">
      <c r="B25" s="222" t="s">
        <v>29</v>
      </c>
      <c r="C25" s="228">
        <v>234536</v>
      </c>
      <c r="D25" s="225">
        <f t="shared" si="0"/>
        <v>0.643813341930781</v>
      </c>
    </row>
    <row r="26" ht="17.5" spans="2:5">
      <c r="B26" s="222" t="s">
        <v>30</v>
      </c>
      <c r="C26" s="228">
        <v>295971</v>
      </c>
      <c r="D26" s="225">
        <f t="shared" si="0"/>
        <v>0.261942729474366</v>
      </c>
    </row>
    <row r="27" ht="17.5" spans="2:5">
      <c r="B27" s="222" t="s">
        <v>31</v>
      </c>
      <c r="C27" s="228">
        <v>321338</v>
      </c>
      <c r="D27" s="225">
        <f t="shared" si="0"/>
        <v>0.0857077213645931</v>
      </c>
    </row>
    <row r="28" ht="17.5" spans="2:5">
      <c r="B28" s="222" t="s">
        <v>32</v>
      </c>
      <c r="C28" s="228">
        <v>348828</v>
      </c>
      <c r="D28" s="225">
        <f t="shared" si="0"/>
        <v>0.0855485501247908</v>
      </c>
    </row>
    <row r="29" ht="17.5" spans="2:5">
      <c r="B29" s="222">
        <v>652525</v>
      </c>
      <c r="C29" s="228">
        <v>396832</v>
      </c>
      <c r="D29" s="225">
        <f t="shared" si="0"/>
        <v>0.137615099705299</v>
      </c>
    </row>
  </sheetData>
  <conditionalFormatting sqref="D20:D29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{4e43da1a-4406-4f2f-b6d1-8b7f0ba56c06}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43da1a-4406-4f2f-b6d1-8b7f0ba56c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D20:D29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25" workbookViewId="0">
      <selection activeCell="F51" sqref="F51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1"/>
      <c r="S1" s="1"/>
      <c r="T1" s="1"/>
      <c r="U1" s="2"/>
      <c r="V1" s="3"/>
      <c r="W1" s="1"/>
      <c r="X1" s="1"/>
      <c r="Y1" s="1"/>
      <c r="Z1" s="1"/>
      <c r="AA1" s="1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1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N3" s="1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4" si="0">$C$4*(1+C$5+C$6+C$7+C$8)+C$9</f>
        <v>2882.024</v>
      </c>
      <c r="T3" s="176">
        <f t="shared" ref="T3:T23" si="1">S3/$C$4-1</f>
        <v>1.84784980237154</v>
      </c>
      <c r="U3" s="176">
        <f>IF(R3=$C$1,SUM($E$4:$E$9),SUM($E$4:$E$8))-40%</f>
        <v>1.3</v>
      </c>
      <c r="V3" s="177">
        <f>1+$G$10*($I$10-1)</f>
        <v>3.2983</v>
      </c>
      <c r="W3" s="178">
        <f>IF(R3=$C$1,$K$4+$K$5,$K$4)</f>
        <v>0.4</v>
      </c>
      <c r="X3" s="177">
        <f t="shared" ref="X3:X8" si="2">$AF$3</f>
        <v>0.488431876606684</v>
      </c>
      <c r="Y3" s="174">
        <f>$AF$14</f>
        <v>0.8</v>
      </c>
      <c r="Z3" s="179">
        <v>0</v>
      </c>
      <c r="AA3" s="179">
        <v>0</v>
      </c>
      <c r="AB3" s="180">
        <v>0</v>
      </c>
      <c r="AC3" s="29">
        <f t="shared" ref="AC3:AC11" si="3">Q3*$C$4*(1+T3)*(1+U3)*V3*(1+W3)*X3*Y3*(1+Z3)*(1+AA3)*(1+AB3)*O3</f>
        <v>32723.044218144</v>
      </c>
      <c r="AD3" s="16">
        <v>0</v>
      </c>
      <c r="AE3" s="16">
        <v>0</v>
      </c>
      <c r="AF3" s="17">
        <f t="shared" ref="AF3:AF8" si="4"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15%+25%</f>
        <v>0.4</v>
      </c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>IF(R4=$C$1,SUM($E$4:$E$9),SUM($E$4:$E$8))-40%</f>
        <v>1.3</v>
      </c>
      <c r="V4" s="177">
        <f t="shared" ref="V4:V11" si="5">1+$G$10*($I$10-1)</f>
        <v>3.2983</v>
      </c>
      <c r="W4" s="27">
        <f t="shared" ref="W3:W10" si="6">IF(R4=$C$1,$K$4+$K$5,$K$4)</f>
        <v>0.4</v>
      </c>
      <c r="X4" s="177">
        <f t="shared" si="2"/>
        <v>0.488431876606684</v>
      </c>
      <c r="Y4" s="23">
        <f>$AF$14</f>
        <v>0.8</v>
      </c>
      <c r="Z4" s="28">
        <v>0</v>
      </c>
      <c r="AA4" s="28">
        <v>0</v>
      </c>
      <c r="AB4" s="182">
        <v>0</v>
      </c>
      <c r="AC4" s="29">
        <f t="shared" si="3"/>
        <v>16096.006180109</v>
      </c>
      <c r="AD4" s="16">
        <v>32</v>
      </c>
      <c r="AE4" s="16">
        <v>0</v>
      </c>
      <c r="AF4" s="17">
        <f>1520/(1520+(792+8*AG4)*(1-AE4/100)*(1-AD4/100))</f>
        <v>0.584040329521702</v>
      </c>
      <c r="AG4" s="30">
        <v>100</v>
      </c>
    </row>
    <row r="5" s="1" customFormat="1" ht="15" spans="2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>IF(R5=$C$1,SUM($E$4:$E$9),SUM($E$4:$E$8))-40%</f>
        <v>1.722</v>
      </c>
      <c r="V5" s="177">
        <f t="shared" si="5"/>
        <v>3.2983</v>
      </c>
      <c r="W5" s="27">
        <f t="shared" si="6"/>
        <v>0.65</v>
      </c>
      <c r="X5" s="26">
        <f t="shared" ref="X4:X11" si="7">$AF$4</f>
        <v>0.584040329521702</v>
      </c>
      <c r="Y5" s="23">
        <f t="shared" ref="Y5:Y11" si="8">$AF$12</f>
        <v>0.9</v>
      </c>
      <c r="Z5" s="28">
        <v>0</v>
      </c>
      <c r="AA5" s="28">
        <v>0</v>
      </c>
      <c r="AB5" s="182">
        <v>0</v>
      </c>
      <c r="AC5" s="29">
        <f t="shared" si="3"/>
        <v>225313.66071489</v>
      </c>
      <c r="AD5" s="16">
        <v>0</v>
      </c>
      <c r="AE5" s="16">
        <v>30</v>
      </c>
      <c r="AF5" s="17">
        <f t="shared" si="4"/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ref="U3:U10" si="9">IF(R6=$C$1,SUM($E$4:$E$9),SUM($E$4:$E$8))</f>
        <v>1.7</v>
      </c>
      <c r="V6" s="177">
        <f t="shared" si="5"/>
        <v>3.2983</v>
      </c>
      <c r="W6" s="27">
        <f t="shared" si="6"/>
        <v>0.4</v>
      </c>
      <c r="X6" s="177">
        <f>$AF$3</f>
        <v>0.488431876606684</v>
      </c>
      <c r="Y6" s="23">
        <f>$AF$14</f>
        <v>0.8</v>
      </c>
      <c r="Z6" s="28">
        <v>0</v>
      </c>
      <c r="AA6" s="28">
        <v>0</v>
      </c>
      <c r="AB6" s="182">
        <v>0</v>
      </c>
      <c r="AC6" s="29">
        <f t="shared" si="3"/>
        <v>48291.2945888043</v>
      </c>
      <c r="AD6" s="16">
        <v>0</v>
      </c>
      <c r="AE6" s="16">
        <v>21.6</v>
      </c>
      <c r="AF6" s="17">
        <f t="shared" si="4"/>
        <v>0.549107555719967</v>
      </c>
      <c r="AG6" s="30">
        <v>100</v>
      </c>
    </row>
    <row r="7" s="1" customFormat="1" ht="15" spans="2:33">
      <c r="B7" s="31" t="s">
        <v>78</v>
      </c>
      <c r="C7" s="34"/>
      <c r="D7" s="31" t="s">
        <v>79</v>
      </c>
      <c r="E7" s="33">
        <f>58%+40%</f>
        <v>0.98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9"/>
        <v>2.122</v>
      </c>
      <c r="V7" s="177">
        <f t="shared" si="5"/>
        <v>3.2983</v>
      </c>
      <c r="W7" s="27">
        <f t="shared" si="6"/>
        <v>0.65</v>
      </c>
      <c r="X7" s="26">
        <f t="shared" si="7"/>
        <v>0.584040329521702</v>
      </c>
      <c r="Y7" s="23">
        <f t="shared" si="8"/>
        <v>0.9</v>
      </c>
      <c r="Z7" s="28">
        <v>0</v>
      </c>
      <c r="AA7" s="28">
        <v>0</v>
      </c>
      <c r="AB7" s="182">
        <v>0</v>
      </c>
      <c r="AC7" s="29">
        <f t="shared" si="3"/>
        <v>92119.5135482984</v>
      </c>
      <c r="AD7" s="16">
        <v>0</v>
      </c>
      <c r="AE7" s="16">
        <v>28.8</v>
      </c>
      <c r="AF7" s="17">
        <f t="shared" si="4"/>
        <v>0.572827476423627</v>
      </c>
      <c r="AG7" s="30">
        <v>100</v>
      </c>
    </row>
    <row r="8" s="1" customFormat="1" ht="15" spans="2:33">
      <c r="B8" s="31" t="s">
        <v>82</v>
      </c>
      <c r="C8" s="39">
        <f>25%+30%</f>
        <v>0.55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N8" s="1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9"/>
        <v>1.7</v>
      </c>
      <c r="V8" s="177">
        <f t="shared" si="5"/>
        <v>3.2983</v>
      </c>
      <c r="W8" s="27">
        <f t="shared" si="6"/>
        <v>0.4</v>
      </c>
      <c r="X8" s="177">
        <f t="shared" si="2"/>
        <v>0.488431876606684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3"/>
        <v>48291.2945888043</v>
      </c>
      <c r="AD8" s="16">
        <v>0</v>
      </c>
      <c r="AE8" s="16">
        <v>36</v>
      </c>
      <c r="AF8" s="17">
        <f t="shared" si="4"/>
        <v>0.598689185782707</v>
      </c>
      <c r="AG8" s="30">
        <v>100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N9" s="1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9"/>
        <v>2.122</v>
      </c>
      <c r="V9" s="177">
        <f t="shared" si="5"/>
        <v>3.2983</v>
      </c>
      <c r="W9" s="27">
        <f t="shared" si="6"/>
        <v>0.65</v>
      </c>
      <c r="X9" s="26">
        <f t="shared" si="7"/>
        <v>0.584040329521702</v>
      </c>
      <c r="Y9" s="23">
        <f t="shared" si="8"/>
        <v>0.9</v>
      </c>
      <c r="Z9" s="28">
        <v>0</v>
      </c>
      <c r="AA9" s="28">
        <v>0</v>
      </c>
      <c r="AB9" s="182">
        <v>0</v>
      </c>
      <c r="AC9" s="29">
        <f t="shared" si="3"/>
        <v>92119.5135482984</v>
      </c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N10" s="1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9"/>
        <v>2.122</v>
      </c>
      <c r="V10" s="177">
        <f t="shared" si="5"/>
        <v>3.2983</v>
      </c>
      <c r="W10" s="27">
        <f>IF(R10=$C$1,$K$4+$K$5,$K$4)+2</f>
        <v>2.65</v>
      </c>
      <c r="X10" s="26">
        <f t="shared" si="7"/>
        <v>0.584040329521702</v>
      </c>
      <c r="Y10" s="23">
        <f t="shared" si="8"/>
        <v>0.9</v>
      </c>
      <c r="Z10" s="28">
        <v>0</v>
      </c>
      <c r="AA10" s="28">
        <v>0</v>
      </c>
      <c r="AB10" s="182">
        <v>0</v>
      </c>
      <c r="AC10" s="29">
        <f t="shared" si="3"/>
        <v>132095.140969966</v>
      </c>
    </row>
    <row r="11" s="1" customFormat="1" ht="15" spans="2:33">
      <c r="B11" s="49"/>
      <c r="C11" s="49"/>
      <c r="D11" s="1"/>
      <c r="E11" s="50"/>
      <c r="F11" s="18" t="s">
        <v>95</v>
      </c>
      <c r="G11" s="51">
        <f>MAX(0,SUM(G4:G9)-1)</f>
        <v>0</v>
      </c>
      <c r="J11" s="2"/>
      <c r="K11" s="2"/>
      <c r="L11" s="1"/>
      <c r="M11" s="1"/>
      <c r="N11" s="1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2.122</v>
      </c>
      <c r="V11" s="190">
        <f t="shared" si="5"/>
        <v>3.2983</v>
      </c>
      <c r="W11" s="191">
        <f>IF(R11=$C$1,$K$4+$K$5,$K$4)+$K$6+0.25</f>
        <v>0.9</v>
      </c>
      <c r="X11" s="192">
        <f t="shared" si="7"/>
        <v>0.584040329521702</v>
      </c>
      <c r="Y11" s="186">
        <f t="shared" si="8"/>
        <v>0.9</v>
      </c>
      <c r="Z11" s="193">
        <v>0</v>
      </c>
      <c r="AA11" s="193">
        <v>0</v>
      </c>
      <c r="AB11" s="194">
        <v>0</v>
      </c>
      <c r="AC11" s="29">
        <f t="shared" si="3"/>
        <v>530322.836671808</v>
      </c>
      <c r="AE11"/>
      <c r="AF11"/>
    </row>
    <row r="12" s="1" customFormat="1" ht="15" spans="2:33">
      <c r="B12" s="49"/>
      <c r="C12" s="49"/>
      <c r="D12" s="1"/>
      <c r="E12" s="50"/>
      <c r="F12" s="1"/>
      <c r="G12" s="53"/>
      <c r="H12" s="1"/>
      <c r="I12" s="1"/>
      <c r="J12" s="2"/>
      <c r="K12" s="2"/>
      <c r="L12" s="1"/>
      <c r="M12" s="1"/>
      <c r="N12" s="1"/>
      <c r="O12" s="173">
        <v>1</v>
      </c>
      <c r="P12" s="215" t="s">
        <v>97</v>
      </c>
      <c r="Q12" s="159">
        <v>2.248</v>
      </c>
      <c r="R12" s="128" t="s">
        <v>66</v>
      </c>
      <c r="S12" s="160">
        <f t="shared" ref="S12:S23" si="10">$C$16*(1+$C$17+$C$18+$C$19+$C$20)+($C$21+$C$22)</f>
        <v>2586.086</v>
      </c>
      <c r="T12" s="127">
        <f t="shared" ref="T12:T23" si="11">($C$17+$C$18+$C$19+$C$20)+($C$21+$C$22)/$C$16</f>
        <v>1.68544755970924</v>
      </c>
      <c r="U12" s="127">
        <f>IF(R12=$C$13,SUM($E$16:$E$21),SUM($E$16:$E$20))-12%</f>
        <v>1.01</v>
      </c>
      <c r="V12" s="129">
        <f t="shared" ref="V12:V22" si="12">1+$G$22*($I$22-1)</f>
        <v>2.3615</v>
      </c>
      <c r="W12" s="130">
        <f t="shared" ref="W12:W23" si="13">IF(R12=$C$1,$K$16+$K$17,$K$16)</f>
        <v>0.45</v>
      </c>
      <c r="X12" s="129">
        <f t="shared" ref="X12:X23" si="14">$AF$3</f>
        <v>0.488431876606684</v>
      </c>
      <c r="Y12" s="128">
        <f>$AF$15</f>
        <v>0.8</v>
      </c>
      <c r="Z12" s="131">
        <v>0</v>
      </c>
      <c r="AA12" s="131">
        <v>0</v>
      </c>
      <c r="AB12" s="36">
        <v>0</v>
      </c>
      <c r="AC12" s="216">
        <f>Q12*$C$16*(1+T12)*(1+U12)*V12*(1+W12)*X12*Y12*(1+Z12)*(1+AA12)*(1+AB12)*O12</f>
        <v>15634.545700366</v>
      </c>
      <c r="AE12" s="48" t="s">
        <v>34</v>
      </c>
      <c r="AF12" s="48">
        <v>0.9</v>
      </c>
    </row>
    <row r="13" s="1" customFormat="1" ht="15" spans="2:33">
      <c r="B13" s="5" t="s">
        <v>33</v>
      </c>
      <c r="C13" s="5" t="s">
        <v>77</v>
      </c>
      <c r="D13" s="6" t="s">
        <v>35</v>
      </c>
      <c r="E13" s="6">
        <v>1</v>
      </c>
      <c r="F13" s="1"/>
      <c r="G13" s="1"/>
      <c r="H13" s="1"/>
      <c r="I13" s="1"/>
      <c r="J13" s="1"/>
      <c r="K13" s="1"/>
      <c r="L13" s="1"/>
      <c r="M13" s="1"/>
      <c r="N13" s="1"/>
      <c r="O13" s="181">
        <v>1</v>
      </c>
      <c r="P13" s="215" t="s">
        <v>98</v>
      </c>
      <c r="Q13" s="37">
        <v>8.748</v>
      </c>
      <c r="R13" s="49" t="s">
        <v>34</v>
      </c>
      <c r="S13" s="163">
        <f t="shared" si="10"/>
        <v>2586.086</v>
      </c>
      <c r="T13" s="136">
        <f t="shared" si="11"/>
        <v>1.68544755970924</v>
      </c>
      <c r="U13" s="136">
        <f>IF(R13=$C$13,SUM($E$16:$E$21),SUM($E$16:$E$20))-12%</f>
        <v>1.01</v>
      </c>
      <c r="V13" s="137">
        <f t="shared" si="12"/>
        <v>2.3615</v>
      </c>
      <c r="W13" s="138">
        <f t="shared" si="13"/>
        <v>0.45</v>
      </c>
      <c r="X13" s="137">
        <f t="shared" si="14"/>
        <v>0.488431876606684</v>
      </c>
      <c r="Y13" s="128">
        <f t="shared" ref="Y13:Y20" si="15">$AF$15</f>
        <v>0.8</v>
      </c>
      <c r="Z13" s="139">
        <v>0</v>
      </c>
      <c r="AA13" s="139">
        <v>0</v>
      </c>
      <c r="AB13" s="33">
        <v>0</v>
      </c>
      <c r="AC13" s="216">
        <f>Q13*$C$16*(1+T13)*(1+U13)*V13*(1+W13)*X13*Y13*(1+Z13)*(1+AA13)*(1+AB13)*O13</f>
        <v>60841.1947450184</v>
      </c>
      <c r="AE13" s="52" t="s">
        <v>99</v>
      </c>
      <c r="AF13" s="52">
        <v>0.8</v>
      </c>
    </row>
    <row r="14" s="1" customFormat="1" ht="15" spans="2:33">
      <c r="B14" s="217" t="s">
        <v>100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N14" s="1"/>
      <c r="O14" s="181">
        <v>1</v>
      </c>
      <c r="P14" s="215" t="s">
        <v>101</v>
      </c>
      <c r="Q14" s="37">
        <v>2.7863</v>
      </c>
      <c r="R14" s="49" t="s">
        <v>102</v>
      </c>
      <c r="S14" s="163">
        <f t="shared" si="10"/>
        <v>2586.086</v>
      </c>
      <c r="T14" s="136">
        <f t="shared" si="11"/>
        <v>1.68544755970924</v>
      </c>
      <c r="U14" s="136">
        <f>IF(R14=$C$13,SUM($E$16:$E$21),SUM($E$16:$E$20))-6%</f>
        <v>1.07</v>
      </c>
      <c r="V14" s="137">
        <f t="shared" si="12"/>
        <v>2.3615</v>
      </c>
      <c r="W14" s="138">
        <f t="shared" si="13"/>
        <v>0.45</v>
      </c>
      <c r="X14" s="137">
        <f t="shared" si="14"/>
        <v>0.488431876606684</v>
      </c>
      <c r="Y14" s="128">
        <f t="shared" si="15"/>
        <v>0.8</v>
      </c>
      <c r="Z14" s="139">
        <v>0</v>
      </c>
      <c r="AA14" s="139">
        <v>0</v>
      </c>
      <c r="AB14" s="33">
        <v>0</v>
      </c>
      <c r="AC14" s="216">
        <f t="shared" ref="AC14:AC20" si="16">Q14*$C$16*(1+T14)*(1+U14)*V14*(1+W14)*X14*Y14*(1+Z14)*(1+AA14)*(1+AB14)*O14</f>
        <v>19956.809988714</v>
      </c>
      <c r="AE14" s="54" t="s">
        <v>103</v>
      </c>
      <c r="AF14" s="54">
        <v>0.8</v>
      </c>
    </row>
    <row r="15" s="1" customFormat="1" ht="15" spans="2:33">
      <c r="B15" s="157" t="s">
        <v>55</v>
      </c>
      <c r="C15" s="157"/>
      <c r="D15" s="157" t="s">
        <v>43</v>
      </c>
      <c r="E15" s="157"/>
      <c r="F15" s="157" t="s">
        <v>56</v>
      </c>
      <c r="G15" s="157"/>
      <c r="H15" s="157" t="s">
        <v>57</v>
      </c>
      <c r="I15" s="157"/>
      <c r="J15" s="157" t="s">
        <v>45</v>
      </c>
      <c r="K15" s="157"/>
      <c r="L15" s="157" t="s">
        <v>58</v>
      </c>
      <c r="M15" s="157"/>
      <c r="N15" s="1"/>
      <c r="O15" s="181">
        <v>1</v>
      </c>
      <c r="P15" s="215" t="s">
        <v>104</v>
      </c>
      <c r="Q15" s="37">
        <v>5.5556</v>
      </c>
      <c r="R15" s="49" t="s">
        <v>77</v>
      </c>
      <c r="S15" s="163">
        <f t="shared" si="10"/>
        <v>2586.086</v>
      </c>
      <c r="T15" s="136">
        <f t="shared" si="11"/>
        <v>1.68544755970924</v>
      </c>
      <c r="U15" s="136">
        <f t="shared" ref="U15:U23" si="17">IF(R15=$C$13,SUM($E$16:$E$21),SUM($E$16:$E$20))</f>
        <v>1.576</v>
      </c>
      <c r="V15" s="137">
        <f t="shared" si="12"/>
        <v>2.3615</v>
      </c>
      <c r="W15" s="138">
        <f t="shared" si="13"/>
        <v>0.45</v>
      </c>
      <c r="X15" s="137">
        <f t="shared" si="14"/>
        <v>0.488431876606684</v>
      </c>
      <c r="Y15" s="128">
        <f t="shared" si="15"/>
        <v>0.8</v>
      </c>
      <c r="Z15" s="139">
        <v>0</v>
      </c>
      <c r="AA15" s="139">
        <v>0</v>
      </c>
      <c r="AB15" s="33">
        <v>0</v>
      </c>
      <c r="AC15" s="216">
        <f t="shared" si="16"/>
        <v>49518.7564560311</v>
      </c>
      <c r="AE15" s="55" t="s">
        <v>105</v>
      </c>
      <c r="AF15" s="55">
        <v>0.8</v>
      </c>
    </row>
    <row r="16" s="1" customFormat="1" ht="15" spans="2:33">
      <c r="B16" s="125" t="s">
        <v>60</v>
      </c>
      <c r="C16" s="32">
        <f>375+588</f>
        <v>963</v>
      </c>
      <c r="D16" s="125" t="s">
        <v>61</v>
      </c>
      <c r="E16" s="36">
        <f>E13*30%</f>
        <v>0.3</v>
      </c>
      <c r="F16" s="125" t="s">
        <v>62</v>
      </c>
      <c r="G16" s="218">
        <v>0.13</v>
      </c>
      <c r="H16" s="125" t="s">
        <v>62</v>
      </c>
      <c r="I16" s="218">
        <v>1.5</v>
      </c>
      <c r="J16" s="35" t="s">
        <v>63</v>
      </c>
      <c r="K16" s="36">
        <f>25%+20%</f>
        <v>0.45</v>
      </c>
      <c r="L16" s="125" t="s">
        <v>64</v>
      </c>
      <c r="M16" s="218">
        <f>8.6%*2</f>
        <v>0.172</v>
      </c>
      <c r="O16" s="181">
        <v>1</v>
      </c>
      <c r="P16" s="215" t="s">
        <v>106</v>
      </c>
      <c r="Q16" s="37">
        <v>3.076</v>
      </c>
      <c r="R16" s="49" t="s">
        <v>77</v>
      </c>
      <c r="S16" s="163">
        <f t="shared" si="10"/>
        <v>2586.086</v>
      </c>
      <c r="T16" s="136">
        <f t="shared" si="11"/>
        <v>1.68544755970924</v>
      </c>
      <c r="U16" s="136">
        <f t="shared" si="17"/>
        <v>1.576</v>
      </c>
      <c r="V16" s="137">
        <f t="shared" si="12"/>
        <v>2.3615</v>
      </c>
      <c r="W16" s="138">
        <f t="shared" si="13"/>
        <v>0.45</v>
      </c>
      <c r="X16" s="137">
        <f t="shared" si="14"/>
        <v>0.488431876606684</v>
      </c>
      <c r="Y16" s="128">
        <f t="shared" si="15"/>
        <v>0.8</v>
      </c>
      <c r="Z16" s="139">
        <v>0</v>
      </c>
      <c r="AA16" s="139">
        <v>0</v>
      </c>
      <c r="AB16" s="33">
        <v>0</v>
      </c>
      <c r="AC16" s="216">
        <f t="shared" si="16"/>
        <v>27417.3257359694</v>
      </c>
    </row>
    <row r="17" s="1" customFormat="1" ht="15" spans="1:30">
      <c r="B17" s="31" t="s">
        <v>67</v>
      </c>
      <c r="C17" s="33">
        <v>0.24</v>
      </c>
      <c r="D17" s="31" t="s">
        <v>68</v>
      </c>
      <c r="E17" s="33">
        <v>0.1</v>
      </c>
      <c r="F17" s="31" t="s">
        <v>69</v>
      </c>
      <c r="G17" s="34">
        <v>0.243</v>
      </c>
      <c r="H17" s="31" t="s">
        <v>69</v>
      </c>
      <c r="I17" s="34">
        <v>0</v>
      </c>
      <c r="J17" s="37" t="s">
        <v>107</v>
      </c>
      <c r="K17" s="33"/>
      <c r="L17" s="31" t="s">
        <v>108</v>
      </c>
      <c r="M17" s="34">
        <f>1*8.6%</f>
        <v>0.086</v>
      </c>
      <c r="O17" s="181">
        <v>1</v>
      </c>
      <c r="P17" s="215" t="s">
        <v>109</v>
      </c>
      <c r="Q17" s="37">
        <v>12.1672</v>
      </c>
      <c r="R17" s="49" t="s">
        <v>77</v>
      </c>
      <c r="S17" s="163">
        <f t="shared" si="10"/>
        <v>2586.086</v>
      </c>
      <c r="T17" s="136">
        <f t="shared" si="11"/>
        <v>1.68544755970924</v>
      </c>
      <c r="U17" s="136">
        <f t="shared" si="17"/>
        <v>1.576</v>
      </c>
      <c r="V17" s="137">
        <f t="shared" si="12"/>
        <v>2.3615</v>
      </c>
      <c r="W17" s="138">
        <f t="shared" si="13"/>
        <v>0.45</v>
      </c>
      <c r="X17" s="137">
        <f t="shared" si="14"/>
        <v>0.488431876606684</v>
      </c>
      <c r="Y17" s="128">
        <f t="shared" si="15"/>
        <v>0.8</v>
      </c>
      <c r="Z17" s="139">
        <v>0</v>
      </c>
      <c r="AA17" s="139">
        <v>0</v>
      </c>
      <c r="AB17" s="33">
        <v>0</v>
      </c>
      <c r="AC17" s="216">
        <f t="shared" si="16"/>
        <v>108449.962839625</v>
      </c>
    </row>
    <row r="18" s="1" customFormat="1" ht="15" spans="1:30">
      <c r="B18" s="31" t="s">
        <v>73</v>
      </c>
      <c r="C18" s="33">
        <f>18%+18%+M16+(2-E13)*30%</f>
        <v>0.832</v>
      </c>
      <c r="D18" s="31" t="s">
        <v>74</v>
      </c>
      <c r="E18" s="33">
        <v>0.25</v>
      </c>
      <c r="F18" s="31" t="s">
        <v>75</v>
      </c>
      <c r="G18" s="34"/>
      <c r="H18" s="31" t="s">
        <v>75</v>
      </c>
      <c r="I18" s="34">
        <v>0.44</v>
      </c>
      <c r="J18" s="37"/>
      <c r="K18" s="34"/>
      <c r="L18" s="31" t="s">
        <v>56</v>
      </c>
      <c r="M18" s="34">
        <f>8.1*5%</f>
        <v>0.405</v>
      </c>
      <c r="O18" s="181">
        <v>1</v>
      </c>
      <c r="P18" s="215" t="s">
        <v>110</v>
      </c>
      <c r="Q18" s="37">
        <v>2.3262</v>
      </c>
      <c r="R18" s="49" t="s">
        <v>102</v>
      </c>
      <c r="S18" s="163">
        <f t="shared" si="10"/>
        <v>2586.086</v>
      </c>
      <c r="T18" s="136">
        <f t="shared" si="11"/>
        <v>1.68544755970924</v>
      </c>
      <c r="U18" s="136">
        <f t="shared" si="17"/>
        <v>1.13</v>
      </c>
      <c r="V18" s="137">
        <f t="shared" si="12"/>
        <v>2.3615</v>
      </c>
      <c r="W18" s="138">
        <f t="shared" si="13"/>
        <v>0.45</v>
      </c>
      <c r="X18" s="137">
        <f t="shared" si="14"/>
        <v>0.488431876606684</v>
      </c>
      <c r="Y18" s="128">
        <f t="shared" si="15"/>
        <v>0.8</v>
      </c>
      <c r="Z18" s="139">
        <v>0</v>
      </c>
      <c r="AA18" s="139">
        <v>0</v>
      </c>
      <c r="AB18" s="33">
        <v>0</v>
      </c>
      <c r="AC18" s="216">
        <f t="shared" si="16"/>
        <v>17144.2920724331</v>
      </c>
    </row>
    <row r="19" s="1" customFormat="1" ht="15" spans="1:30">
      <c r="B19" s="31" t="s">
        <v>78</v>
      </c>
      <c r="C19" s="39"/>
      <c r="D19" s="31" t="s">
        <v>79</v>
      </c>
      <c r="E19" s="33"/>
      <c r="F19" s="31" t="s">
        <v>73</v>
      </c>
      <c r="G19" s="34">
        <f>M18</f>
        <v>0.405</v>
      </c>
      <c r="H19" s="31" t="s">
        <v>73</v>
      </c>
      <c r="I19" s="34">
        <f>M19</f>
        <v>0.81</v>
      </c>
      <c r="J19" s="37"/>
      <c r="K19" s="34"/>
      <c r="L19" s="31" t="s">
        <v>80</v>
      </c>
      <c r="M19" s="33">
        <f>16.2%*5</f>
        <v>0.81</v>
      </c>
      <c r="O19" s="181">
        <v>1</v>
      </c>
      <c r="P19" s="215" t="s">
        <v>111</v>
      </c>
      <c r="Q19" s="37">
        <v>1</v>
      </c>
      <c r="R19" s="49" t="s">
        <v>112</v>
      </c>
      <c r="S19" s="163">
        <f t="shared" si="10"/>
        <v>2586.086</v>
      </c>
      <c r="T19" s="136">
        <f t="shared" si="11"/>
        <v>1.68544755970924</v>
      </c>
      <c r="U19" s="136">
        <f t="shared" si="17"/>
        <v>1.13</v>
      </c>
      <c r="V19" s="137">
        <f t="shared" si="12"/>
        <v>2.3615</v>
      </c>
      <c r="W19" s="138">
        <f t="shared" si="13"/>
        <v>0.45</v>
      </c>
      <c r="X19" s="137">
        <f t="shared" si="14"/>
        <v>0.488431876606684</v>
      </c>
      <c r="Y19" s="128">
        <f t="shared" si="15"/>
        <v>0.8</v>
      </c>
      <c r="Z19" s="139">
        <v>0</v>
      </c>
      <c r="AA19" s="139">
        <v>0</v>
      </c>
      <c r="AB19" s="33">
        <v>0</v>
      </c>
      <c r="AC19" s="216">
        <f t="shared" si="16"/>
        <v>7370.08514849673</v>
      </c>
    </row>
    <row r="20" s="1" customFormat="1" ht="15" spans="1:30">
      <c r="B20" s="31" t="s">
        <v>82</v>
      </c>
      <c r="C20" s="39">
        <v>0.25</v>
      </c>
      <c r="D20" s="31" t="s">
        <v>83</v>
      </c>
      <c r="E20" s="184">
        <f>24%+24%</f>
        <v>0.48</v>
      </c>
      <c r="F20" s="31" t="s">
        <v>84</v>
      </c>
      <c r="G20" s="34">
        <v>0</v>
      </c>
      <c r="H20" s="31" t="s">
        <v>84</v>
      </c>
      <c r="I20" s="34">
        <v>0</v>
      </c>
      <c r="J20" s="37"/>
      <c r="K20" s="34"/>
      <c r="L20" s="31"/>
      <c r="M20" s="32"/>
      <c r="N20" s="1"/>
      <c r="O20" s="185">
        <v>1</v>
      </c>
      <c r="P20" s="215" t="s">
        <v>113</v>
      </c>
      <c r="Q20" s="47">
        <v>2.736</v>
      </c>
      <c r="R20" s="147" t="s">
        <v>59</v>
      </c>
      <c r="S20" s="166">
        <f t="shared" si="10"/>
        <v>2586.086</v>
      </c>
      <c r="T20" s="146">
        <f t="shared" si="11"/>
        <v>1.68544755970924</v>
      </c>
      <c r="U20" s="146">
        <f t="shared" si="17"/>
        <v>1.13</v>
      </c>
      <c r="V20" s="148">
        <f t="shared" si="12"/>
        <v>2.3615</v>
      </c>
      <c r="W20" s="149">
        <f t="shared" si="13"/>
        <v>0.45</v>
      </c>
      <c r="X20" s="148">
        <f t="shared" si="14"/>
        <v>0.488431876606684</v>
      </c>
      <c r="Y20" s="128">
        <f t="shared" si="15"/>
        <v>0.8</v>
      </c>
      <c r="Z20" s="150">
        <v>0</v>
      </c>
      <c r="AA20" s="150">
        <v>0</v>
      </c>
      <c r="AB20" s="44">
        <v>0</v>
      </c>
      <c r="AC20" s="216">
        <f t="shared" si="16"/>
        <v>20164.5529662871</v>
      </c>
    </row>
    <row r="21" s="1" customFormat="1" spans="1:30">
      <c r="B21" s="31" t="s">
        <v>87</v>
      </c>
      <c r="C21" s="32">
        <v>350</v>
      </c>
      <c r="D21" s="31" t="s">
        <v>114</v>
      </c>
      <c r="E21" s="33">
        <f>36%+M17</f>
        <v>0.446</v>
      </c>
      <c r="F21" s="31" t="s">
        <v>89</v>
      </c>
      <c r="G21" s="34"/>
      <c r="H21" s="31" t="s">
        <v>89</v>
      </c>
      <c r="I21" s="34">
        <v>0</v>
      </c>
      <c r="J21" s="37"/>
      <c r="K21" s="34"/>
      <c r="L21" s="31"/>
      <c r="M21" s="32"/>
      <c r="N21" s="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42" t="s">
        <v>91</v>
      </c>
      <c r="C22" s="43"/>
      <c r="D22" s="42"/>
      <c r="E22" s="44"/>
      <c r="F22" s="45" t="s">
        <v>92</v>
      </c>
      <c r="G22" s="46">
        <f>MIN(100%,SUM(G16:G21))</f>
        <v>0.778</v>
      </c>
      <c r="H22" s="45" t="s">
        <v>93</v>
      </c>
      <c r="I22" s="46">
        <f>SUM(I16:I21)</f>
        <v>2.75</v>
      </c>
      <c r="J22" s="47"/>
      <c r="K22" s="219"/>
      <c r="L22" s="42"/>
      <c r="M22" s="43"/>
      <c r="N22" s="1"/>
      <c r="O22" s="125">
        <v>20</v>
      </c>
      <c r="P22" s="127" t="s">
        <v>115</v>
      </c>
      <c r="Q22" s="127">
        <v>1.0935</v>
      </c>
      <c r="R22" s="128" t="s">
        <v>116</v>
      </c>
      <c r="S22" s="128">
        <v>10027</v>
      </c>
      <c r="T22" s="127">
        <v>0</v>
      </c>
      <c r="U22" s="127">
        <v>0</v>
      </c>
      <c r="V22" s="129">
        <v>1</v>
      </c>
      <c r="W22" s="130">
        <v>0</v>
      </c>
      <c r="X22" s="129">
        <f>$AF$3</f>
        <v>0.488431876606684</v>
      </c>
      <c r="Y22" s="128">
        <f>$AF$13</f>
        <v>0.8</v>
      </c>
      <c r="Z22" s="131">
        <v>1.2</v>
      </c>
      <c r="AA22" s="131">
        <v>0</v>
      </c>
      <c r="AB22" s="131">
        <v>0.5</v>
      </c>
      <c r="AC22" s="132">
        <f>Q22*$S$26*(1+T22)*(1+U22)*V22*(1+W22)*X22*Y22*(1+Z22)*(1+AA22)*(1+AB22)*O22</f>
        <v>282766.349059126</v>
      </c>
    </row>
    <row r="23" s="1" customFormat="1" ht="15" spans="1:30">
      <c r="B23" s="49"/>
      <c r="C23" s="49"/>
      <c r="D23" s="1"/>
      <c r="E23" s="50"/>
      <c r="F23" s="18" t="s">
        <v>95</v>
      </c>
      <c r="G23" s="51">
        <f>MAX(0,SUM(G16:G21)-1)</f>
        <v>0</v>
      </c>
      <c r="J23" s="2"/>
      <c r="K23" s="2"/>
      <c r="L23" s="1"/>
      <c r="M23" s="1"/>
      <c r="N23" s="1"/>
      <c r="O23" s="31">
        <v>1</v>
      </c>
      <c r="P23" s="49" t="s">
        <v>117</v>
      </c>
      <c r="Q23" s="136">
        <v>5.9643</v>
      </c>
      <c r="R23" s="49" t="s">
        <v>116</v>
      </c>
      <c r="S23" s="49">
        <v>10027</v>
      </c>
      <c r="T23" s="136">
        <v>0</v>
      </c>
      <c r="U23" s="136">
        <v>0</v>
      </c>
      <c r="V23" s="137">
        <v>1</v>
      </c>
      <c r="W23" s="138">
        <v>0</v>
      </c>
      <c r="X23" s="137">
        <f>$AF$3</f>
        <v>0.488431876606684</v>
      </c>
      <c r="Y23" s="49">
        <f>$AF$13</f>
        <v>0.8</v>
      </c>
      <c r="Z23" s="139">
        <v>0</v>
      </c>
      <c r="AA23" s="139">
        <v>0</v>
      </c>
      <c r="AB23" s="139">
        <v>0.5</v>
      </c>
      <c r="AC23" s="140">
        <f>Q23*$S$26*(1+T23)*(1+U23)*V23*(1+W23)*X23*Y23*(1+Z23)*(1+AA23)*(1+AB23)*O23</f>
        <v>35052.2370971722</v>
      </c>
    </row>
    <row r="24" s="1" customFormat="1" ht="15" spans="1:30">
      <c r="B24" s="49"/>
      <c r="C24" s="49"/>
      <c r="D24" s="1"/>
      <c r="E24" s="50"/>
      <c r="F24" s="1"/>
      <c r="G24" s="1"/>
      <c r="H24" s="1"/>
      <c r="I24" s="1"/>
      <c r="J24" s="2"/>
      <c r="K24" s="2"/>
      <c r="L24" s="1"/>
      <c r="M24" s="1"/>
      <c r="N24" s="1"/>
      <c r="O24" s="31">
        <v>1</v>
      </c>
      <c r="P24" s="49" t="s">
        <v>118</v>
      </c>
      <c r="Q24" s="136">
        <v>18.8075</v>
      </c>
      <c r="R24" s="49" t="s">
        <v>116</v>
      </c>
      <c r="S24" s="49">
        <v>10027</v>
      </c>
      <c r="T24" s="136">
        <v>0</v>
      </c>
      <c r="U24" s="136">
        <v>0</v>
      </c>
      <c r="V24" s="137">
        <v>1</v>
      </c>
      <c r="W24" s="138">
        <v>0</v>
      </c>
      <c r="X24" s="137">
        <f>$AF$3</f>
        <v>0.488431876606684</v>
      </c>
      <c r="Y24" s="49">
        <f>$AF$13</f>
        <v>0.8</v>
      </c>
      <c r="Z24" s="139">
        <v>0</v>
      </c>
      <c r="AA24" s="139">
        <v>0</v>
      </c>
      <c r="AB24" s="139">
        <v>0.5</v>
      </c>
      <c r="AC24" s="140">
        <f>Q24*$S$26*(1+T24)*(1+U24)*V24*(1+W24)*X24*Y24*(1+Z24)*(1+AA24)*(1+AB24)*O24</f>
        <v>110531.822544987</v>
      </c>
      <c r="AD24"/>
    </row>
    <row r="25" s="1" customFormat="1" ht="15" spans="1:30">
      <c r="A25" s="94"/>
      <c r="B25" s="95" t="s">
        <v>119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1"/>
      <c r="O25" s="31">
        <v>1</v>
      </c>
      <c r="P25" s="49" t="s">
        <v>120</v>
      </c>
      <c r="Q25" s="136">
        <v>2.9822</v>
      </c>
      <c r="R25" s="49" t="s">
        <v>116</v>
      </c>
      <c r="S25" s="49">
        <v>10027</v>
      </c>
      <c r="T25" s="136">
        <v>0</v>
      </c>
      <c r="U25" s="136">
        <v>0</v>
      </c>
      <c r="V25" s="137">
        <v>1</v>
      </c>
      <c r="W25" s="138">
        <v>0</v>
      </c>
      <c r="X25" s="137">
        <f t="shared" ref="X25:X33" si="18">$AF$3</f>
        <v>0.488431876606684</v>
      </c>
      <c r="Y25" s="49">
        <f>$AF$13</f>
        <v>0.8</v>
      </c>
      <c r="Z25" s="139">
        <v>0</v>
      </c>
      <c r="AA25" s="139">
        <v>0</v>
      </c>
      <c r="AB25" s="139">
        <v>0.5</v>
      </c>
      <c r="AC25" s="140">
        <f>Q25*$S$26*(1+T25)*(1+U25)*V25*(1+W25)*X25*Y25*(1+Z25)*(1+AA25)*(1+AB25)*O25</f>
        <v>17526.4123989717</v>
      </c>
      <c r="AD25"/>
    </row>
    <row r="26" s="1" customFormat="1" ht="15" spans="1:30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N26" s="1"/>
      <c r="O26" s="42">
        <v>1</v>
      </c>
      <c r="P26" s="147" t="s">
        <v>123</v>
      </c>
      <c r="Q26" s="146">
        <v>16</v>
      </c>
      <c r="R26" s="147" t="s">
        <v>124</v>
      </c>
      <c r="S26" s="147">
        <v>10027</v>
      </c>
      <c r="T26" s="146">
        <v>0</v>
      </c>
      <c r="U26" s="146">
        <v>0</v>
      </c>
      <c r="V26" s="148">
        <v>1</v>
      </c>
      <c r="W26" s="149">
        <v>0</v>
      </c>
      <c r="X26" s="148">
        <f t="shared" si="18"/>
        <v>0.488431876606684</v>
      </c>
      <c r="Y26" s="147">
        <f>$AF$13</f>
        <v>0.8</v>
      </c>
      <c r="Z26" s="150">
        <v>0</v>
      </c>
      <c r="AA26" s="150">
        <v>0</v>
      </c>
      <c r="AB26" s="150">
        <v>0.5</v>
      </c>
      <c r="AC26" s="151">
        <f>Q26*$S$26*(1+T26)*(1+U26)*V26*(1+W26)*X26*Y26*(1+Z26)*(1+AA26)*(1+AB26)*O26</f>
        <v>94032.1233933162</v>
      </c>
    </row>
    <row r="27" s="1" customFormat="1" spans="1:30">
      <c r="A27" s="94">
        <v>1357</v>
      </c>
      <c r="B27" s="98" t="s">
        <v>60</v>
      </c>
      <c r="C27" s="99">
        <f>288+337</f>
        <v>625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157">
        <v>1</v>
      </c>
      <c r="P28" s="158" t="s">
        <v>130</v>
      </c>
      <c r="Q28" s="159">
        <v>2.0279</v>
      </c>
      <c r="R28" s="128" t="s">
        <v>66</v>
      </c>
      <c r="S28" s="160">
        <f t="shared" ref="S28:S31" si="19">C$34</f>
        <v>1225</v>
      </c>
      <c r="T28" s="127">
        <f t="shared" ref="T28:T31" si="20">S28/$C$27-1</f>
        <v>0.96</v>
      </c>
      <c r="U28" s="127">
        <f t="shared" ref="U28:U31" si="21">E$30</f>
        <v>0.48</v>
      </c>
      <c r="V28" s="129">
        <f t="shared" ref="V28:V31" si="22">1+$G$32*($I$32-1)</f>
        <v>1.3752</v>
      </c>
      <c r="W28" s="130">
        <f t="shared" ref="W28:W33" si="23">K$27</f>
        <v>0.35</v>
      </c>
      <c r="X28" s="129">
        <f t="shared" si="18"/>
        <v>0.488431876606684</v>
      </c>
      <c r="Y28" s="128">
        <f t="shared" ref="Y28:Y33" si="24">$AF$14</f>
        <v>0.8</v>
      </c>
      <c r="Z28" s="131">
        <v>0</v>
      </c>
      <c r="AA28" s="131">
        <v>0</v>
      </c>
      <c r="AB28" s="36">
        <v>0</v>
      </c>
      <c r="AC28" s="29">
        <f t="shared" ref="AC28:AC33" si="25">Q28*$C$27*(1+T28)*(1+U28)*V28*(1+W28)*X28*Y28*(1+Z28)*(1+AA28)*(1+AB28)*O28</f>
        <v>2667.09176287663</v>
      </c>
    </row>
    <row r="29" s="1" customFormat="1" ht="15" spans="1:30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162">
        <v>1</v>
      </c>
      <c r="P29" s="158" t="s">
        <v>135</v>
      </c>
      <c r="Q29" s="37">
        <f>22.27%+16.71%*2+23.86%+23.86%+17.9%*4+41.36%+10.34%*6</f>
        <v>2.7841</v>
      </c>
      <c r="R29" s="49" t="s">
        <v>77</v>
      </c>
      <c r="S29" s="163">
        <f t="shared" si="19"/>
        <v>1225</v>
      </c>
      <c r="T29" s="136">
        <f t="shared" si="20"/>
        <v>0.96</v>
      </c>
      <c r="U29" s="136">
        <f t="shared" si="21"/>
        <v>0.48</v>
      </c>
      <c r="V29" s="137">
        <f t="shared" si="22"/>
        <v>1.3752</v>
      </c>
      <c r="W29" s="138">
        <f t="shared" si="23"/>
        <v>0.35</v>
      </c>
      <c r="X29" s="137">
        <f t="shared" si="18"/>
        <v>0.488431876606684</v>
      </c>
      <c r="Y29" s="49">
        <f t="shared" si="24"/>
        <v>0.8</v>
      </c>
      <c r="Z29" s="139">
        <v>0</v>
      </c>
      <c r="AA29" s="139">
        <v>0</v>
      </c>
      <c r="AB29" s="33">
        <v>0</v>
      </c>
      <c r="AC29" s="29">
        <f t="shared" si="25"/>
        <v>3661.64513882579</v>
      </c>
    </row>
    <row r="30" s="1" customFormat="1" ht="15" spans="1:30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48%</f>
        <v>0.48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162">
        <v>1</v>
      </c>
      <c r="P30" s="158" t="s">
        <v>138</v>
      </c>
      <c r="Q30" s="37">
        <f>39.77%*4</f>
        <v>1.5908</v>
      </c>
      <c r="R30" s="49" t="s">
        <v>102</v>
      </c>
      <c r="S30" s="163">
        <f t="shared" si="19"/>
        <v>1225</v>
      </c>
      <c r="T30" s="136">
        <f t="shared" si="20"/>
        <v>0.96</v>
      </c>
      <c r="U30" s="136">
        <f t="shared" si="21"/>
        <v>0.48</v>
      </c>
      <c r="V30" s="137">
        <f t="shared" si="22"/>
        <v>1.3752</v>
      </c>
      <c r="W30" s="138">
        <f t="shared" si="23"/>
        <v>0.35</v>
      </c>
      <c r="X30" s="137">
        <f t="shared" si="18"/>
        <v>0.488431876606684</v>
      </c>
      <c r="Y30" s="49">
        <f t="shared" si="24"/>
        <v>0.8</v>
      </c>
      <c r="Z30" s="139">
        <v>0</v>
      </c>
      <c r="AA30" s="139">
        <v>0</v>
      </c>
      <c r="AB30" s="33">
        <v>0</v>
      </c>
      <c r="AC30" s="29">
        <f t="shared" si="25"/>
        <v>2092.21834231675</v>
      </c>
      <c r="AD30"/>
    </row>
    <row r="31" s="1" customFormat="1" ht="15" spans="1:30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 t="s">
        <v>141</v>
      </c>
      <c r="I31" s="100"/>
      <c r="J31" s="103"/>
      <c r="K31" s="100"/>
      <c r="L31" s="98"/>
      <c r="M31" s="100"/>
      <c r="N31" s="1"/>
      <c r="O31" s="162">
        <v>1</v>
      </c>
      <c r="P31" s="158" t="s">
        <v>142</v>
      </c>
      <c r="Q31" s="37">
        <v>3.51</v>
      </c>
      <c r="R31" s="49" t="s">
        <v>59</v>
      </c>
      <c r="S31" s="163">
        <f t="shared" si="19"/>
        <v>1225</v>
      </c>
      <c r="T31" s="136">
        <f t="shared" si="20"/>
        <v>0.96</v>
      </c>
      <c r="U31" s="136">
        <f t="shared" si="21"/>
        <v>0.48</v>
      </c>
      <c r="V31" s="137">
        <f t="shared" si="22"/>
        <v>1.3752</v>
      </c>
      <c r="W31" s="138">
        <f t="shared" si="23"/>
        <v>0.35</v>
      </c>
      <c r="X31" s="137">
        <f t="shared" si="18"/>
        <v>0.488431876606684</v>
      </c>
      <c r="Y31" s="49">
        <f t="shared" si="24"/>
        <v>0.8</v>
      </c>
      <c r="Z31" s="139">
        <v>0</v>
      </c>
      <c r="AA31" s="139">
        <v>0</v>
      </c>
      <c r="AB31" s="33">
        <v>0</v>
      </c>
      <c r="AC31" s="29">
        <f t="shared" si="25"/>
        <v>4616.3479893964</v>
      </c>
    </row>
    <row r="32" s="1" customFormat="1" ht="15" spans="1:30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1.7</v>
      </c>
      <c r="J32" s="103"/>
      <c r="K32" s="100"/>
      <c r="L32" s="98"/>
      <c r="M32" s="99"/>
      <c r="N32" s="1"/>
      <c r="O32" s="162">
        <v>1</v>
      </c>
      <c r="P32" s="158" t="s">
        <v>144</v>
      </c>
      <c r="Q32" s="37">
        <v>5.2233</v>
      </c>
      <c r="R32" s="49" t="s">
        <v>34</v>
      </c>
      <c r="S32" s="163">
        <f>A34</f>
        <v>3551.269</v>
      </c>
      <c r="T32" s="136">
        <v>0</v>
      </c>
      <c r="U32" s="136">
        <f>E$30+M30</f>
        <v>0.652</v>
      </c>
      <c r="V32" s="137">
        <f>I32+1.6</f>
        <v>3.3</v>
      </c>
      <c r="W32" s="138">
        <f t="shared" si="23"/>
        <v>0.35</v>
      </c>
      <c r="X32" s="137">
        <f t="shared" si="18"/>
        <v>0.488431876606684</v>
      </c>
      <c r="Y32" s="49">
        <f t="shared" si="24"/>
        <v>0.8</v>
      </c>
      <c r="Z32" s="139">
        <v>0</v>
      </c>
      <c r="AA32" s="139">
        <v>0</v>
      </c>
      <c r="AB32" s="33">
        <v>0</v>
      </c>
      <c r="AC32" s="29">
        <f t="shared" si="25"/>
        <v>9388.07878511568</v>
      </c>
    </row>
    <row r="33" s="1" customFormat="1" ht="15" spans="1:29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65">
        <v>1</v>
      </c>
      <c r="P33" s="158" t="s">
        <v>146</v>
      </c>
      <c r="Q33" s="47">
        <f>258.46%</f>
        <v>2.5846</v>
      </c>
      <c r="R33" s="147" t="s">
        <v>102</v>
      </c>
      <c r="S33" s="166">
        <f>C$34</f>
        <v>1225</v>
      </c>
      <c r="T33" s="146">
        <f>S33/$C$27-1</f>
        <v>0.96</v>
      </c>
      <c r="U33" s="146">
        <f>E$30</f>
        <v>0.48</v>
      </c>
      <c r="V33" s="148">
        <f>1+$G$32*($I$32-1)</f>
        <v>1.3752</v>
      </c>
      <c r="W33" s="149">
        <f t="shared" si="23"/>
        <v>0.35</v>
      </c>
      <c r="X33" s="148">
        <f t="shared" si="18"/>
        <v>0.488431876606684</v>
      </c>
      <c r="Y33" s="147">
        <f t="shared" si="24"/>
        <v>0.8</v>
      </c>
      <c r="Z33" s="150">
        <v>0</v>
      </c>
      <c r="AA33" s="150">
        <v>0</v>
      </c>
      <c r="AB33" s="44">
        <v>0</v>
      </c>
      <c r="AC33" s="29">
        <f t="shared" si="25"/>
        <v>3399.2629667789</v>
      </c>
    </row>
    <row r="34" s="1" customFormat="1" spans="1:29">
      <c r="A34" s="94">
        <f>A27*(1+A28+A29+A30+A31)</f>
        <v>3551.269</v>
      </c>
      <c r="B34" s="133"/>
      <c r="C34" s="133">
        <f>C27*(1+C30)+C32</f>
        <v>1225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O34" s="1"/>
      <c r="P34" s="1"/>
      <c r="Q34" s="2"/>
      <c r="R34" s="1"/>
      <c r="S34" s="1"/>
      <c r="T34" s="1"/>
      <c r="U34" s="2"/>
      <c r="V34" s="3"/>
      <c r="W34" s="1"/>
      <c r="X34" s="1"/>
      <c r="Y34" s="1"/>
      <c r="Z34" s="1"/>
      <c r="AA34" s="1"/>
      <c r="AB34" s="4"/>
      <c r="AC34" s="4"/>
    </row>
    <row r="35" s="1" customFormat="1" ht="15" spans="1:29">
      <c r="A35" s="141"/>
      <c r="B35" s="142"/>
      <c r="C35" s="142"/>
      <c r="D35" s="142"/>
      <c r="E35" s="142"/>
      <c r="F35" s="142"/>
      <c r="G35" s="143"/>
      <c r="H35" s="1"/>
      <c r="I35" s="1"/>
      <c r="J35" s="1"/>
      <c r="K35" s="1"/>
      <c r="L35" s="1"/>
      <c r="M35" s="1"/>
      <c r="N35" s="49"/>
      <c r="O35" s="1"/>
      <c r="P35" s="1"/>
      <c r="Q35" s="2"/>
      <c r="R35" s="1"/>
      <c r="S35" s="1"/>
      <c r="T35" s="1"/>
      <c r="U35" s="2"/>
      <c r="V35" s="3"/>
      <c r="W35" s="1"/>
      <c r="X35" s="1"/>
      <c r="Y35" s="1"/>
      <c r="Z35" s="1"/>
      <c r="AA35" s="1"/>
      <c r="AB35" s="4"/>
      <c r="AC35" s="4"/>
    </row>
    <row r="36" s="1" customFormat="1" ht="15" spans="1:29">
      <c r="B36" s="144" t="s">
        <v>148</v>
      </c>
      <c r="C36" s="1"/>
      <c r="D36" s="1"/>
      <c r="E36" s="1"/>
      <c r="F36" s="1"/>
      <c r="G36" s="2"/>
      <c r="H36" s="1"/>
      <c r="I36" s="1"/>
      <c r="J36" s="1"/>
      <c r="K36" s="1"/>
      <c r="L36" s="1"/>
      <c r="M36" s="1"/>
      <c r="N36" s="49"/>
      <c r="O36" s="1"/>
      <c r="P36" s="1"/>
      <c r="Q36" s="2"/>
      <c r="R36" s="1"/>
      <c r="S36" s="1"/>
      <c r="T36" s="1"/>
      <c r="U36" s="2"/>
      <c r="V36" s="3"/>
      <c r="W36" s="1"/>
      <c r="X36" s="1"/>
      <c r="Y36" s="1"/>
      <c r="Z36" s="1"/>
      <c r="AA36" s="1"/>
      <c r="AB36" s="4"/>
      <c r="AC36" s="4"/>
    </row>
    <row r="37" s="1" customFormat="1" spans="1:29">
      <c r="B37" s="152" t="s">
        <v>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H37" s="1"/>
      <c r="I37" s="1"/>
      <c r="J37" s="1"/>
      <c r="K37" s="1"/>
      <c r="L37" s="1"/>
      <c r="M37" s="1"/>
      <c r="N37" s="49"/>
      <c r="O37" s="1"/>
      <c r="P37" s="1"/>
      <c r="Q37" s="2"/>
      <c r="R37" s="1"/>
      <c r="S37" s="1"/>
      <c r="T37" s="1"/>
      <c r="U37" s="2"/>
      <c r="V37" s="3"/>
      <c r="W37" s="1"/>
      <c r="X37" s="1"/>
      <c r="Y37" s="1"/>
      <c r="Z37" s="1"/>
      <c r="AA37" s="1"/>
      <c r="AB37" s="4"/>
      <c r="AC37" s="4"/>
    </row>
    <row r="38" s="1" customFormat="1" ht="15" spans="1:29">
      <c r="B38" s="4" t="s">
        <v>36</v>
      </c>
      <c r="C38" s="154">
        <f>SUM(AC3:AC11)</f>
        <v>1217372.30502912</v>
      </c>
      <c r="D38" s="154">
        <f>C38/$E$38</f>
        <v>48694.8922011649</v>
      </c>
      <c r="E38" s="155">
        <v>25</v>
      </c>
      <c r="F38" s="156">
        <f>C38/$C$44</f>
        <v>0.572307475733187</v>
      </c>
      <c r="G38" s="2"/>
      <c r="H38" s="1"/>
      <c r="I38" s="1"/>
      <c r="J38" s="1"/>
      <c r="K38" s="1"/>
      <c r="L38" s="1"/>
      <c r="M38" s="1"/>
      <c r="N38" s="1"/>
      <c r="O38" s="1"/>
      <c r="P38" s="1"/>
      <c r="Q38" s="2"/>
      <c r="R38" s="1"/>
      <c r="S38" s="1"/>
      <c r="T38" s="1"/>
      <c r="U38" s="2"/>
      <c r="V38" s="3"/>
      <c r="W38" s="1"/>
      <c r="X38" s="1"/>
      <c r="Y38" s="1"/>
      <c r="Z38" s="1"/>
      <c r="AA38" s="1"/>
      <c r="AB38" s="4"/>
      <c r="AC38" s="4"/>
    </row>
    <row r="39" s="1" customFormat="1" ht="15" spans="1:29">
      <c r="B39" s="4" t="s">
        <v>100</v>
      </c>
      <c r="C39" s="154">
        <f>SUM(AC12:AC20)</f>
        <v>326497.525652941</v>
      </c>
      <c r="D39" s="154">
        <f>C39/$E$38</f>
        <v>13059.9010261176</v>
      </c>
      <c r="E39" s="161"/>
      <c r="F39" s="156">
        <f>C39/$C$44</f>
        <v>0.15349205330829</v>
      </c>
      <c r="G39" s="2"/>
      <c r="H39" s="1"/>
      <c r="I39" s="1"/>
      <c r="J39" s="1"/>
      <c r="K39" s="1"/>
      <c r="L39" s="1"/>
      <c r="M39" s="1"/>
      <c r="N39" s="1"/>
      <c r="O39" s="1"/>
      <c r="P39" s="1"/>
      <c r="Q39" s="2"/>
      <c r="R39" s="1"/>
      <c r="S39" s="1"/>
      <c r="T39" s="1"/>
      <c r="U39" s="2"/>
      <c r="V39" s="3"/>
      <c r="W39" s="1"/>
      <c r="X39" s="1"/>
      <c r="Y39" s="1"/>
      <c r="Z39" s="1"/>
      <c r="AA39" s="1"/>
      <c r="AB39" s="4"/>
      <c r="AC39" s="4"/>
    </row>
    <row r="40" s="1" customFormat="1" ht="15" spans="1:29">
      <c r="B40" s="4" t="s">
        <v>119</v>
      </c>
      <c r="C40" s="154">
        <f>SUM(AC28:AC33)+AC25</f>
        <v>43351.0573842819</v>
      </c>
      <c r="D40" s="154">
        <f>C40/$E$38</f>
        <v>1734.04229537127</v>
      </c>
      <c r="E40" s="164"/>
      <c r="F40" s="156">
        <f>C40/$C$44</f>
        <v>0.0203800711741749</v>
      </c>
      <c r="G40" s="2"/>
      <c r="H40" s="1"/>
      <c r="I40" s="1"/>
      <c r="J40" s="1"/>
      <c r="K40" s="1"/>
      <c r="L40" s="1"/>
      <c r="M40" s="1"/>
      <c r="N40" s="1"/>
      <c r="O40" s="1"/>
      <c r="P40" s="1"/>
      <c r="Q40" s="2"/>
      <c r="R40" s="1"/>
      <c r="S40" s="1"/>
      <c r="T40" s="1"/>
      <c r="U40" s="2"/>
      <c r="V40" s="3"/>
      <c r="W40" s="1"/>
      <c r="X40" s="1"/>
      <c r="Y40" s="1"/>
      <c r="Z40" s="1"/>
      <c r="AA40" s="1"/>
      <c r="AB40" s="4"/>
      <c r="AC40" s="4"/>
    </row>
    <row r="41" s="1" customFormat="1" ht="15" spans="1:29">
      <c r="B41" s="4" t="s">
        <v>116</v>
      </c>
      <c r="C41" s="154">
        <f>SUM(AC22:AC25)</f>
        <v>445876.821100257</v>
      </c>
      <c r="D41" s="154">
        <f>C41/$E$38</f>
        <v>17835.0728440103</v>
      </c>
      <c r="E41" s="164"/>
      <c r="F41" s="156">
        <f>C41/$C$44</f>
        <v>0.209614295411231</v>
      </c>
      <c r="G41" s="2"/>
      <c r="H41" s="1"/>
      <c r="I41" s="1"/>
      <c r="J41" s="1"/>
      <c r="K41" s="1"/>
      <c r="L41" s="1"/>
      <c r="M41" s="1"/>
      <c r="N41" s="1"/>
      <c r="O41" s="1"/>
      <c r="P41" s="1"/>
      <c r="Q41" s="2"/>
      <c r="R41" s="1"/>
      <c r="S41" s="1"/>
      <c r="T41" s="1"/>
      <c r="U41" s="2"/>
      <c r="V41" s="3"/>
      <c r="W41" s="1"/>
      <c r="X41" s="1"/>
      <c r="Y41" s="1"/>
      <c r="Z41" s="1"/>
      <c r="AA41" s="1"/>
      <c r="AB41" s="4"/>
      <c r="AC41" s="4"/>
    </row>
    <row r="42" s="1" customFormat="1" ht="15" spans="1:29">
      <c r="B42" s="4" t="s">
        <v>123</v>
      </c>
      <c r="C42" s="154">
        <f>AC26</f>
        <v>94032.1233933162</v>
      </c>
      <c r="D42" s="154">
        <f>C42/$E$38</f>
        <v>3761.28493573265</v>
      </c>
      <c r="E42" s="164"/>
      <c r="F42" s="156">
        <f>C42/$C$44</f>
        <v>0.0442061043731177</v>
      </c>
      <c r="G42" s="2"/>
      <c r="H42" s="1"/>
      <c r="I42" s="1"/>
      <c r="J42" s="1"/>
      <c r="K42" s="1"/>
      <c r="L42" s="1"/>
      <c r="M42" s="1"/>
      <c r="N42" s="1"/>
      <c r="O42" s="1"/>
      <c r="P42" s="1"/>
      <c r="Q42" s="2"/>
      <c r="R42" s="1"/>
      <c r="S42" s="1"/>
      <c r="T42" s="1"/>
      <c r="U42" s="2"/>
      <c r="V42" s="3"/>
      <c r="W42" s="1"/>
      <c r="X42" s="1"/>
      <c r="Y42" s="1"/>
      <c r="Z42" s="1"/>
      <c r="AA42" s="1"/>
      <c r="AB42" s="4"/>
      <c r="AC42" s="4"/>
    </row>
    <row r="43" s="1" customFormat="1" ht="15" spans="1:29">
      <c r="B43" s="4"/>
      <c r="C43" s="154"/>
      <c r="D43" s="154"/>
      <c r="E43" s="164"/>
      <c r="F43" s="156"/>
      <c r="G43" s="2"/>
      <c r="H43" s="1"/>
      <c r="I43" s="1"/>
      <c r="J43" s="1"/>
      <c r="K43" s="1"/>
      <c r="L43" s="1"/>
      <c r="M43" s="1"/>
      <c r="N43" s="1"/>
      <c r="O43" s="1"/>
      <c r="P43" s="1"/>
      <c r="Q43" s="2"/>
      <c r="R43" s="1"/>
      <c r="S43" s="1"/>
      <c r="T43" s="1"/>
      <c r="U43" s="2"/>
      <c r="V43" s="3"/>
      <c r="W43" s="1"/>
      <c r="X43" s="1"/>
      <c r="Y43" s="1"/>
      <c r="Z43" s="1"/>
      <c r="AA43" s="1"/>
      <c r="AB43" s="4"/>
      <c r="AC43" s="4"/>
    </row>
    <row r="44" s="1" customFormat="1" ht="15" spans="1:29">
      <c r="B44" s="4" t="s">
        <v>153</v>
      </c>
      <c r="C44" s="167">
        <f>SUM(C38:C42)</f>
        <v>2127129.83255992</v>
      </c>
      <c r="D44" s="167">
        <f>C44/E38</f>
        <v>85085.1933023967</v>
      </c>
      <c r="E44" s="168"/>
      <c r="F44" s="169"/>
      <c r="G44" s="170"/>
      <c r="H44" s="1"/>
      <c r="I44" s="1"/>
      <c r="J44" s="1"/>
      <c r="K44" s="1"/>
      <c r="L44" s="1"/>
      <c r="M44" s="1"/>
      <c r="N44" s="1"/>
      <c r="O44" s="1"/>
      <c r="P44" s="1"/>
      <c r="Q44" s="2"/>
      <c r="R44" s="1"/>
      <c r="S44" s="1"/>
      <c r="T44" s="1"/>
      <c r="U44" s="2"/>
      <c r="V44" s="3"/>
      <c r="W44" s="1"/>
      <c r="X44" s="1"/>
      <c r="Y44" s="1"/>
      <c r="Z44" s="1"/>
      <c r="AA44" s="1"/>
      <c r="AB44" s="4"/>
      <c r="AC44" s="4"/>
    </row>
    <row r="45" s="1" customFormat="1" spans="1:29">
      <c r="B45" s="4"/>
      <c r="C45" s="4"/>
      <c r="D45" s="4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2"/>
      <c r="R45" s="1"/>
      <c r="S45" s="1"/>
      <c r="T45" s="1"/>
      <c r="U45" s="2"/>
      <c r="V45" s="3"/>
      <c r="W45" s="1"/>
      <c r="X45" s="1"/>
      <c r="Y45" s="1"/>
      <c r="Z45" s="1"/>
      <c r="AA45" s="1"/>
      <c r="AB45" s="4"/>
      <c r="AC45" s="4"/>
    </row>
    <row r="46" s="1" customFormat="1" ht="15" spans="1:29">
      <c r="B46" s="195" t="s">
        <v>154</v>
      </c>
      <c r="C46" s="196" t="s">
        <v>155</v>
      </c>
      <c r="D46" s="196" t="s">
        <v>156</v>
      </c>
      <c r="E46" s="196"/>
      <c r="F46" s="197"/>
      <c r="G46" s="2"/>
      <c r="H46" s="1"/>
      <c r="I46" s="1"/>
      <c r="J46" s="1"/>
      <c r="K46" s="1"/>
      <c r="L46" s="1"/>
      <c r="M46" s="1"/>
      <c r="N46" s="1"/>
      <c r="O46" s="1"/>
      <c r="P46" s="1"/>
      <c r="Q46" s="2"/>
      <c r="R46" s="1"/>
      <c r="S46" s="1"/>
      <c r="T46" s="1"/>
      <c r="U46" s="2"/>
      <c r="V46" s="3"/>
      <c r="W46" s="1"/>
      <c r="X46" s="1"/>
      <c r="Y46" s="1"/>
      <c r="Z46" s="1"/>
      <c r="AA46" s="1"/>
      <c r="AB46" s="4"/>
      <c r="AC46" s="4"/>
    </row>
    <row r="47" s="1" customFormat="1" ht="15" spans="1:29">
      <c r="B47" s="198"/>
      <c r="C47" s="199"/>
      <c r="D47" s="199"/>
      <c r="E47" s="199"/>
      <c r="F47" s="200"/>
      <c r="G47" s="1"/>
      <c r="H47" s="1"/>
      <c r="I47" s="1"/>
      <c r="J47" s="1"/>
      <c r="K47" s="1"/>
      <c r="L47" s="1"/>
      <c r="M47" s="1"/>
      <c r="N47" s="1"/>
      <c r="O47" s="1"/>
      <c r="P47" s="1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1:29">
      <c r="B48" s="201"/>
      <c r="C48" s="201"/>
      <c r="D48" s="201"/>
      <c r="E48" s="201"/>
      <c r="F48" s="201"/>
      <c r="G48" s="2"/>
      <c r="H48" s="1"/>
      <c r="I48" s="1"/>
      <c r="J48" s="1"/>
      <c r="K48" s="1"/>
      <c r="L48" s="1"/>
      <c r="M48" s="1"/>
      <c r="N48" s="1"/>
      <c r="O48" s="1"/>
      <c r="P48" s="1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ht="15" spans="2:29">
      <c r="B49" s="202" t="s">
        <v>157</v>
      </c>
      <c r="C49" s="203" t="s">
        <v>36</v>
      </c>
      <c r="D49" s="203" t="s">
        <v>158</v>
      </c>
      <c r="E49" s="128"/>
      <c r="F49" s="204"/>
      <c r="G49" s="2"/>
      <c r="H49" s="1"/>
      <c r="I49" s="1"/>
      <c r="J49" s="1"/>
      <c r="K49" s="1"/>
      <c r="L49" s="1"/>
      <c r="M49" s="1"/>
      <c r="N49" s="1"/>
      <c r="O49" s="1"/>
      <c r="P49" s="1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ht="15" spans="2:29">
      <c r="B50" s="205"/>
      <c r="C50" s="164" t="s">
        <v>100</v>
      </c>
      <c r="D50" s="164" t="s">
        <v>159</v>
      </c>
      <c r="E50" s="1"/>
      <c r="F50" s="206"/>
      <c r="G50" s="2"/>
      <c r="H50" s="1"/>
      <c r="I50" s="1"/>
      <c r="J50" s="1"/>
      <c r="K50" s="1"/>
      <c r="L50" s="1"/>
      <c r="M50" s="1"/>
      <c r="N50" s="1"/>
      <c r="O50" s="1"/>
      <c r="P50" s="1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ht="15" spans="2:29">
      <c r="B51" s="207"/>
      <c r="C51" s="208" t="s">
        <v>160</v>
      </c>
      <c r="D51" s="208" t="s">
        <v>161</v>
      </c>
      <c r="E51" s="147"/>
      <c r="F51" s="43"/>
      <c r="G51" s="2"/>
      <c r="H51" s="1"/>
      <c r="I51" s="1"/>
      <c r="J51" s="1"/>
      <c r="K51" s="1"/>
      <c r="L51" s="1"/>
      <c r="M51" s="1"/>
      <c r="N51" s="1"/>
      <c r="O51" s="1"/>
      <c r="P51" s="1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2:29">
      <c r="B52" s="4"/>
      <c r="C52" s="4"/>
      <c r="D52" s="4"/>
      <c r="E52" s="1"/>
      <c r="F52" s="4"/>
      <c r="G52" s="2"/>
      <c r="H52" s="1"/>
      <c r="I52" s="1"/>
      <c r="J52" s="1"/>
      <c r="K52" s="1"/>
      <c r="L52" s="1"/>
      <c r="M52" s="1"/>
      <c r="N52" s="1"/>
      <c r="O52" s="1"/>
      <c r="P52" s="1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2:29">
      <c r="B53" s="4"/>
      <c r="C53" s="4"/>
      <c r="D53" s="4"/>
      <c r="E53" s="1"/>
      <c r="F53" s="4"/>
      <c r="G53" s="2"/>
      <c r="H53" s="1"/>
      <c r="I53" s="1"/>
      <c r="J53" s="1"/>
      <c r="K53" s="1"/>
      <c r="L53" s="1"/>
      <c r="M53" s="1"/>
      <c r="N53" s="1"/>
      <c r="O53" s="1"/>
      <c r="P53" s="1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2:29">
      <c r="G54" s="2"/>
      <c r="H54" s="1"/>
      <c r="I54" s="1"/>
      <c r="J54" s="1"/>
      <c r="K54" s="1"/>
      <c r="L54" s="1"/>
      <c r="M54" s="1"/>
      <c r="N54" s="1"/>
      <c r="O54" s="1"/>
      <c r="P54" s="1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2:29">
      <c r="B55" s="4"/>
      <c r="C55" s="4"/>
      <c r="D55" s="4"/>
      <c r="E55" s="1"/>
      <c r="F55" s="4"/>
      <c r="G55" s="2"/>
      <c r="H55" s="1"/>
      <c r="I55" s="1"/>
      <c r="J55" s="1"/>
      <c r="K55" s="1"/>
      <c r="L55" s="1"/>
      <c r="M55" s="1"/>
      <c r="N55" s="1"/>
      <c r="O55" s="1"/>
      <c r="P55" s="1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2:29">
      <c r="B56" s="4"/>
      <c r="C56" s="4"/>
      <c r="D56" s="4"/>
      <c r="E56" s="1"/>
      <c r="F56" s="4"/>
      <c r="G56" s="2"/>
      <c r="H56" s="1"/>
      <c r="I56" s="1"/>
      <c r="J56" s="1"/>
      <c r="K56" s="1"/>
      <c r="L56" s="1"/>
      <c r="M56" s="1"/>
      <c r="N56" s="1"/>
      <c r="O56" s="1"/>
      <c r="P56" s="1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2:29">
      <c r="G57" s="2"/>
      <c r="H57" s="1"/>
      <c r="I57" s="1"/>
      <c r="J57" s="1"/>
      <c r="K57" s="1"/>
      <c r="L57" s="1"/>
      <c r="M57" s="1"/>
      <c r="N57" s="1"/>
      <c r="O57" s="1"/>
      <c r="P57" s="1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8" spans="2:29">
      <c r="B58" s="4"/>
      <c r="C58" s="4"/>
      <c r="D58" s="4"/>
      <c r="F58" s="4"/>
    </row>
    <row r="59" s="1" customFormat="1" spans="2:29">
      <c r="B59" s="4"/>
      <c r="C59" s="4"/>
      <c r="D59" s="4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  <row r="61" spans="2:29">
      <c r="B61" s="4"/>
      <c r="C61" s="4"/>
      <c r="D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B1" workbookViewId="0">
      <selection activeCell="C7" sqref="C7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 t="e">
        <f t="shared" ref="S3:S11" si="0">$C$4*(1+C$5+C$6+C$7+C$8)+C$9</f>
        <v>#VALUE!</v>
      </c>
      <c r="T3" s="176" t="e">
        <f t="shared" ref="T3:T11" si="1">S3/$C$4-1</f>
        <v>#VALUE!</v>
      </c>
      <c r="U3" s="176">
        <f>IF(R3=$C$1,SUM($E$4:$E$9),SUM($E$4:$E$8))-40%</f>
        <v>1.06</v>
      </c>
      <c r="V3" s="177">
        <f t="shared" ref="V3:V11" si="2">1+$G$10*($I$10-1)</f>
        <v>3.2983</v>
      </c>
      <c r="W3" s="178">
        <f t="shared" ref="W3:W9" si="3">IF(R3=$C$1,$K$4+$K$5,$K$4)</f>
        <v>0.4</v>
      </c>
      <c r="X3" s="177">
        <f t="shared" ref="X3:X6" si="4">$AF$3</f>
        <v>0.488431876606684</v>
      </c>
      <c r="Y3" s="174">
        <f t="shared" ref="Y3:Y6" si="5">$AF$14</f>
        <v>0.8</v>
      </c>
      <c r="Z3" s="179">
        <v>0</v>
      </c>
      <c r="AA3" s="179">
        <v>0</v>
      </c>
      <c r="AB3" s="180">
        <v>0</v>
      </c>
      <c r="AC3" s="29" t="e">
        <f t="shared" ref="AC3:AC11" si="6">Q3*$C$4*(1+T3)*(1+U3)*V3*(1+W3)*X3*Y3*(1+Z3)*(1+AA3)*(1+AB3)*O3</f>
        <v>#VALUE!</v>
      </c>
      <c r="AD3" s="16">
        <v>0</v>
      </c>
      <c r="AE3" s="16">
        <v>0</v>
      </c>
      <c r="AF3" s="17">
        <f t="shared" ref="AF3:AF8" si="7"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15%+25%</f>
        <v>0.4</v>
      </c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 t="e">
        <f t="shared" si="0"/>
        <v>#VALUE!</v>
      </c>
      <c r="T4" s="25" t="e">
        <f t="shared" si="1"/>
        <v>#VALUE!</v>
      </c>
      <c r="U4" s="25">
        <f>IF(R4=$C$1,SUM($E$4:$E$9),SUM($E$4:$E$8))-40%</f>
        <v>1.06</v>
      </c>
      <c r="V4" s="177">
        <f t="shared" si="2"/>
        <v>3.2983</v>
      </c>
      <c r="W4" s="27">
        <f t="shared" si="3"/>
        <v>0.4</v>
      </c>
      <c r="X4" s="177">
        <f t="shared" si="4"/>
        <v>0.488431876606684</v>
      </c>
      <c r="Y4" s="23">
        <f t="shared" si="5"/>
        <v>0.8</v>
      </c>
      <c r="Z4" s="28">
        <v>0</v>
      </c>
      <c r="AA4" s="28">
        <v>0</v>
      </c>
      <c r="AB4" s="182">
        <v>0</v>
      </c>
      <c r="AC4" s="29" t="e">
        <f t="shared" si="6"/>
        <v>#VALUE!</v>
      </c>
      <c r="AD4" s="16">
        <v>32</v>
      </c>
      <c r="AE4" s="16">
        <v>0</v>
      </c>
      <c r="AF4" s="17">
        <f>1520/(1520+(792+8*AG4)*(1-AE4/100)*(1-AD4/100))</f>
        <v>0.584040329521702</v>
      </c>
      <c r="AG4" s="30">
        <v>100</v>
      </c>
    </row>
    <row r="5" s="1" customFormat="1" ht="15" spans="2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 t="e">
        <f t="shared" si="0"/>
        <v>#VALUE!</v>
      </c>
      <c r="T5" s="25" t="e">
        <f t="shared" si="1"/>
        <v>#VALUE!</v>
      </c>
      <c r="U5" s="25">
        <f>IF(R5=$C$1,SUM($E$4:$E$9),SUM($E$4:$E$8))-40%</f>
        <v>1.482</v>
      </c>
      <c r="V5" s="177">
        <f t="shared" si="2"/>
        <v>3.2983</v>
      </c>
      <c r="W5" s="27">
        <f t="shared" si="3"/>
        <v>0.65</v>
      </c>
      <c r="X5" s="26">
        <f t="shared" ref="X5:X11" si="8">$AF$4</f>
        <v>0.584040329521702</v>
      </c>
      <c r="Y5" s="23">
        <f t="shared" ref="Y5:Y11" si="9">$AF$12</f>
        <v>0.9</v>
      </c>
      <c r="Z5" s="28">
        <v>0</v>
      </c>
      <c r="AA5" s="28">
        <v>0</v>
      </c>
      <c r="AB5" s="182">
        <v>0</v>
      </c>
      <c r="AC5" s="29" t="e">
        <f t="shared" si="6"/>
        <v>#VALUE!</v>
      </c>
      <c r="AD5" s="16">
        <v>0</v>
      </c>
      <c r="AE5" s="16">
        <v>30</v>
      </c>
      <c r="AF5" s="17">
        <f t="shared" si="7"/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 t="e">
        <f t="shared" si="0"/>
        <v>#VALUE!</v>
      </c>
      <c r="T6" s="25" t="e">
        <f t="shared" si="1"/>
        <v>#VALUE!</v>
      </c>
      <c r="U6" s="183">
        <f t="shared" ref="U6:U10" si="10">IF(R6=$C$1,SUM($E$4:$E$9),SUM($E$4:$E$8))</f>
        <v>1.46</v>
      </c>
      <c r="V6" s="177">
        <f t="shared" si="2"/>
        <v>3.2983</v>
      </c>
      <c r="W6" s="27">
        <f t="shared" si="3"/>
        <v>0.4</v>
      </c>
      <c r="X6" s="177">
        <f t="shared" si="4"/>
        <v>0.488431876606684</v>
      </c>
      <c r="Y6" s="23">
        <f t="shared" si="5"/>
        <v>0.8</v>
      </c>
      <c r="Z6" s="28">
        <v>0</v>
      </c>
      <c r="AA6" s="28">
        <v>0</v>
      </c>
      <c r="AB6" s="182">
        <v>0</v>
      </c>
      <c r="AC6" s="29" t="e">
        <f t="shared" si="6"/>
        <v>#VALUE!</v>
      </c>
      <c r="AD6" s="16">
        <v>0</v>
      </c>
      <c r="AE6" s="16">
        <v>21.6</v>
      </c>
      <c r="AF6" s="17">
        <f t="shared" si="7"/>
        <v>0.549107555719967</v>
      </c>
      <c r="AG6" s="30">
        <v>100</v>
      </c>
    </row>
    <row r="7" s="1" customFormat="1" ht="15" spans="2:33">
      <c r="B7" s="31" t="s">
        <v>78</v>
      </c>
      <c r="C7" s="34" t="s">
        <v>162</v>
      </c>
      <c r="D7" s="31" t="s">
        <v>79</v>
      </c>
      <c r="E7" s="33">
        <f>58%+40%-24%</f>
        <v>0.74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 t="e">
        <f t="shared" si="0"/>
        <v>#VALUE!</v>
      </c>
      <c r="T7" s="25" t="e">
        <f t="shared" si="1"/>
        <v>#VALUE!</v>
      </c>
      <c r="U7" s="183">
        <f t="shared" si="10"/>
        <v>1.882</v>
      </c>
      <c r="V7" s="177">
        <f t="shared" si="2"/>
        <v>3.2983</v>
      </c>
      <c r="W7" s="27">
        <f t="shared" si="3"/>
        <v>0.65</v>
      </c>
      <c r="X7" s="26">
        <f t="shared" si="8"/>
        <v>0.584040329521702</v>
      </c>
      <c r="Y7" s="23">
        <f t="shared" si="9"/>
        <v>0.9</v>
      </c>
      <c r="Z7" s="28">
        <v>0</v>
      </c>
      <c r="AA7" s="28">
        <v>0</v>
      </c>
      <c r="AB7" s="182">
        <v>0</v>
      </c>
      <c r="AC7" s="29" t="e">
        <f t="shared" si="6"/>
        <v>#VALUE!</v>
      </c>
      <c r="AD7" s="16">
        <v>0</v>
      </c>
      <c r="AE7" s="16">
        <v>28.8</v>
      </c>
      <c r="AF7" s="17">
        <f t="shared" si="7"/>
        <v>0.572827476423627</v>
      </c>
      <c r="AG7" s="30">
        <v>100</v>
      </c>
    </row>
    <row r="8" s="1" customFormat="1" ht="15" spans="2:33">
      <c r="B8" s="31" t="s">
        <v>82</v>
      </c>
      <c r="C8" s="39">
        <f>25%+30%</f>
        <v>0.55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 t="e">
        <f t="shared" si="0"/>
        <v>#VALUE!</v>
      </c>
      <c r="T8" s="25" t="e">
        <f t="shared" si="1"/>
        <v>#VALUE!</v>
      </c>
      <c r="U8" s="183">
        <f t="shared" si="10"/>
        <v>1.46</v>
      </c>
      <c r="V8" s="177">
        <f t="shared" si="2"/>
        <v>3.2983</v>
      </c>
      <c r="W8" s="27">
        <f t="shared" si="3"/>
        <v>0.4</v>
      </c>
      <c r="X8" s="177">
        <f t="shared" ref="X8:X20" si="11">$AF$3</f>
        <v>0.488431876606684</v>
      </c>
      <c r="Y8" s="23">
        <f>$AF$14</f>
        <v>0.8</v>
      </c>
      <c r="Z8" s="28">
        <v>0</v>
      </c>
      <c r="AA8" s="28">
        <v>0</v>
      </c>
      <c r="AB8" s="182">
        <v>0</v>
      </c>
      <c r="AC8" s="29" t="e">
        <f t="shared" si="6"/>
        <v>#VALUE!</v>
      </c>
      <c r="AD8" s="16">
        <v>0</v>
      </c>
      <c r="AE8" s="16">
        <v>36</v>
      </c>
      <c r="AF8" s="17">
        <f t="shared" si="7"/>
        <v>0.598689185782707</v>
      </c>
      <c r="AG8" s="30">
        <v>100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 t="e">
        <f t="shared" si="0"/>
        <v>#VALUE!</v>
      </c>
      <c r="T9" s="25" t="e">
        <f t="shared" si="1"/>
        <v>#VALUE!</v>
      </c>
      <c r="U9" s="183">
        <f t="shared" si="10"/>
        <v>1.882</v>
      </c>
      <c r="V9" s="177">
        <f t="shared" si="2"/>
        <v>3.2983</v>
      </c>
      <c r="W9" s="27">
        <f t="shared" si="3"/>
        <v>0.65</v>
      </c>
      <c r="X9" s="26">
        <f t="shared" si="8"/>
        <v>0.584040329521702</v>
      </c>
      <c r="Y9" s="23">
        <f t="shared" si="9"/>
        <v>0.9</v>
      </c>
      <c r="Z9" s="28">
        <v>0</v>
      </c>
      <c r="AA9" s="28">
        <v>0</v>
      </c>
      <c r="AB9" s="182">
        <v>0</v>
      </c>
      <c r="AC9" s="29" t="e">
        <f t="shared" si="6"/>
        <v>#VALUE!</v>
      </c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 t="e">
        <f t="shared" si="0"/>
        <v>#VALUE!</v>
      </c>
      <c r="T10" s="25" t="e">
        <f t="shared" si="1"/>
        <v>#VALUE!</v>
      </c>
      <c r="U10" s="183">
        <f t="shared" si="10"/>
        <v>1.882</v>
      </c>
      <c r="V10" s="177">
        <f t="shared" si="2"/>
        <v>3.2983</v>
      </c>
      <c r="W10" s="27">
        <f>IF(R10=$C$1,$K$4+$K$5,$K$4)+2</f>
        <v>2.65</v>
      </c>
      <c r="X10" s="26">
        <f t="shared" si="8"/>
        <v>0.584040329521702</v>
      </c>
      <c r="Y10" s="23">
        <f t="shared" si="9"/>
        <v>0.9</v>
      </c>
      <c r="Z10" s="28">
        <v>0</v>
      </c>
      <c r="AA10" s="28">
        <v>0</v>
      </c>
      <c r="AB10" s="182">
        <v>0</v>
      </c>
      <c r="AC10" s="29" t="e">
        <f t="shared" si="6"/>
        <v>#VALUE!</v>
      </c>
    </row>
    <row r="11" s="1" customFormat="1" ht="15" spans="2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 t="e">
        <f t="shared" si="0"/>
        <v>#VALUE!</v>
      </c>
      <c r="T11" s="188" t="e">
        <f t="shared" si="1"/>
        <v>#VALUE!</v>
      </c>
      <c r="U11" s="189">
        <f>IF(R11=$C$1,SUM($E$4:$E$9),SUM($E$4:$E$8))+$E$10</f>
        <v>1.882</v>
      </c>
      <c r="V11" s="190">
        <f t="shared" si="2"/>
        <v>3.2983</v>
      </c>
      <c r="W11" s="191">
        <f>IF(R11=$C$1,$K$4+$K$5,$K$4)+$K$6+0.25</f>
        <v>0.9</v>
      </c>
      <c r="X11" s="192">
        <f t="shared" si="8"/>
        <v>0.584040329521702</v>
      </c>
      <c r="Y11" s="186">
        <f t="shared" si="9"/>
        <v>0.9</v>
      </c>
      <c r="Z11" s="193">
        <v>0</v>
      </c>
      <c r="AA11" s="193">
        <v>0</v>
      </c>
      <c r="AB11" s="194">
        <v>0</v>
      </c>
      <c r="AC11" s="29" t="e">
        <f t="shared" si="6"/>
        <v>#VALUE!</v>
      </c>
      <c r="AE11"/>
      <c r="AF11"/>
    </row>
    <row r="12" s="1" customFormat="1" ht="15" spans="2:33">
      <c r="B12" s="49"/>
      <c r="C12" s="49"/>
      <c r="E12" s="50"/>
      <c r="G12" s="53"/>
      <c r="J12" s="2"/>
      <c r="K12" s="2"/>
      <c r="O12" s="173">
        <v>1</v>
      </c>
      <c r="P12" s="215" t="s">
        <v>97</v>
      </c>
      <c r="Q12" s="159">
        <v>2.248</v>
      </c>
      <c r="R12" s="128" t="s">
        <v>66</v>
      </c>
      <c r="S12" s="160">
        <f t="shared" ref="S12:S20" si="12">$C$16*(1+$C$17+$C$18+$C$19+$C$20)+($C$21+$C$22)</f>
        <v>2586.086</v>
      </c>
      <c r="T12" s="127">
        <f t="shared" ref="T12:T20" si="13">($C$17+$C$18+$C$19+$C$20)+($C$21+$C$22)/$C$16</f>
        <v>1.68544755970924</v>
      </c>
      <c r="U12" s="127">
        <f>IF(R12=$C$13,SUM($E$16:$E$21),SUM($E$16:$E$20))-12%</f>
        <v>0.77</v>
      </c>
      <c r="V12" s="129">
        <f t="shared" ref="V12:V20" si="14">1+$G$22*($I$22-1)</f>
        <v>2.3615</v>
      </c>
      <c r="W12" s="130">
        <f t="shared" ref="W12:W20" si="15">IF(R12=$C$1,$K$16+$K$17,$K$16)</f>
        <v>0.45</v>
      </c>
      <c r="X12" s="129">
        <f t="shared" si="11"/>
        <v>0.488431876606684</v>
      </c>
      <c r="Y12" s="128">
        <f t="shared" ref="Y12:Y20" si="16">$AF$15</f>
        <v>0.8</v>
      </c>
      <c r="Z12" s="131">
        <v>0</v>
      </c>
      <c r="AA12" s="131">
        <v>0</v>
      </c>
      <c r="AB12" s="36">
        <v>0</v>
      </c>
      <c r="AC12" s="216">
        <f t="shared" ref="AC12:AC20" si="17">Q12*$C$16*(1+T12)*(1+U12)*V12*(1+W12)*X12*Y12*(1+Z12)*(1+AA12)*(1+AB12)*O12</f>
        <v>13767.7342734566</v>
      </c>
      <c r="AE12" s="48" t="s">
        <v>34</v>
      </c>
      <c r="AF12" s="48">
        <v>0.9</v>
      </c>
    </row>
    <row r="13" s="1" customFormat="1" ht="15" spans="2:33">
      <c r="B13" s="5" t="s">
        <v>33</v>
      </c>
      <c r="C13" s="5" t="s">
        <v>77</v>
      </c>
      <c r="D13" s="6" t="s">
        <v>35</v>
      </c>
      <c r="E13" s="6">
        <v>1</v>
      </c>
      <c r="O13" s="181">
        <v>1</v>
      </c>
      <c r="P13" s="215" t="s">
        <v>98</v>
      </c>
      <c r="Q13" s="37">
        <v>8.748</v>
      </c>
      <c r="R13" s="49" t="s">
        <v>34</v>
      </c>
      <c r="S13" s="163">
        <f t="shared" si="12"/>
        <v>2586.086</v>
      </c>
      <c r="T13" s="136">
        <f t="shared" si="13"/>
        <v>1.68544755970924</v>
      </c>
      <c r="U13" s="136">
        <f>IF(R13=$C$13,SUM($E$16:$E$21),SUM($E$16:$E$20))-12%</f>
        <v>0.77</v>
      </c>
      <c r="V13" s="137">
        <f t="shared" si="14"/>
        <v>2.3615</v>
      </c>
      <c r="W13" s="138">
        <f t="shared" si="15"/>
        <v>0.45</v>
      </c>
      <c r="X13" s="137">
        <f t="shared" si="11"/>
        <v>0.488431876606684</v>
      </c>
      <c r="Y13" s="128">
        <f t="shared" si="16"/>
        <v>0.8</v>
      </c>
      <c r="Z13" s="139">
        <v>0</v>
      </c>
      <c r="AA13" s="139">
        <v>0</v>
      </c>
      <c r="AB13" s="33">
        <v>0</v>
      </c>
      <c r="AC13" s="216">
        <f t="shared" si="17"/>
        <v>53576.5744769565</v>
      </c>
      <c r="AE13" s="52" t="s">
        <v>99</v>
      </c>
      <c r="AF13" s="52">
        <v>0.8</v>
      </c>
    </row>
    <row r="14" s="1" customFormat="1" ht="15" spans="2:33">
      <c r="B14" s="217" t="s">
        <v>100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O14" s="181">
        <v>1</v>
      </c>
      <c r="P14" s="215" t="s">
        <v>101</v>
      </c>
      <c r="Q14" s="37">
        <v>2.7863</v>
      </c>
      <c r="R14" s="49" t="s">
        <v>102</v>
      </c>
      <c r="S14" s="163">
        <f t="shared" si="12"/>
        <v>2586.086</v>
      </c>
      <c r="T14" s="136">
        <f t="shared" si="13"/>
        <v>1.68544755970924</v>
      </c>
      <c r="U14" s="136">
        <f>IF(R14=$C$13,SUM($E$16:$E$21),SUM($E$16:$E$20))-6%</f>
        <v>0.83</v>
      </c>
      <c r="V14" s="137">
        <f t="shared" si="14"/>
        <v>2.3615</v>
      </c>
      <c r="W14" s="138">
        <f t="shared" si="15"/>
        <v>0.45</v>
      </c>
      <c r="X14" s="137">
        <f t="shared" si="11"/>
        <v>0.488431876606684</v>
      </c>
      <c r="Y14" s="128">
        <f t="shared" si="16"/>
        <v>0.8</v>
      </c>
      <c r="Z14" s="139">
        <v>0</v>
      </c>
      <c r="AA14" s="139">
        <v>0</v>
      </c>
      <c r="AB14" s="33">
        <v>0</v>
      </c>
      <c r="AC14" s="216">
        <f t="shared" si="17"/>
        <v>17642.9769465443</v>
      </c>
      <c r="AE14" s="54" t="s">
        <v>103</v>
      </c>
      <c r="AF14" s="54">
        <v>0.8</v>
      </c>
    </row>
    <row r="15" s="1" customFormat="1" ht="15" spans="2:33">
      <c r="B15" s="157" t="s">
        <v>55</v>
      </c>
      <c r="C15" s="157"/>
      <c r="D15" s="157" t="s">
        <v>43</v>
      </c>
      <c r="E15" s="157"/>
      <c r="F15" s="157" t="s">
        <v>56</v>
      </c>
      <c r="G15" s="157"/>
      <c r="H15" s="157" t="s">
        <v>57</v>
      </c>
      <c r="I15" s="157"/>
      <c r="J15" s="157" t="s">
        <v>45</v>
      </c>
      <c r="K15" s="157"/>
      <c r="L15" s="157" t="s">
        <v>58</v>
      </c>
      <c r="M15" s="157"/>
      <c r="O15" s="181">
        <v>1</v>
      </c>
      <c r="P15" s="215" t="s">
        <v>104</v>
      </c>
      <c r="Q15" s="37">
        <v>5.5556</v>
      </c>
      <c r="R15" s="49" t="s">
        <v>77</v>
      </c>
      <c r="S15" s="163">
        <f t="shared" si="12"/>
        <v>2586.086</v>
      </c>
      <c r="T15" s="136">
        <f t="shared" si="13"/>
        <v>1.68544755970924</v>
      </c>
      <c r="U15" s="136">
        <f t="shared" ref="U15:U20" si="18">IF(R15=$C$13,SUM($E$16:$E$21),SUM($E$16:$E$20))</f>
        <v>1.062</v>
      </c>
      <c r="V15" s="137">
        <f t="shared" si="14"/>
        <v>2.3615</v>
      </c>
      <c r="W15" s="138">
        <f t="shared" si="15"/>
        <v>0.45</v>
      </c>
      <c r="X15" s="137">
        <f t="shared" si="11"/>
        <v>0.488431876606684</v>
      </c>
      <c r="Y15" s="128">
        <f t="shared" si="16"/>
        <v>0.8</v>
      </c>
      <c r="Z15" s="139">
        <v>0</v>
      </c>
      <c r="AA15" s="139">
        <v>0</v>
      </c>
      <c r="AB15" s="33">
        <v>0</v>
      </c>
      <c r="AC15" s="216">
        <f t="shared" si="17"/>
        <v>39638.0729085156</v>
      </c>
      <c r="AE15" s="55" t="s">
        <v>105</v>
      </c>
      <c r="AF15" s="55">
        <v>0.8</v>
      </c>
    </row>
    <row r="16" s="1" customFormat="1" ht="15" spans="2:33">
      <c r="B16" s="125" t="s">
        <v>60</v>
      </c>
      <c r="C16" s="32">
        <f>375+588</f>
        <v>963</v>
      </c>
      <c r="D16" s="125" t="s">
        <v>61</v>
      </c>
      <c r="E16" s="36">
        <f>E13*30%</f>
        <v>0.3</v>
      </c>
      <c r="F16" s="125" t="s">
        <v>62</v>
      </c>
      <c r="G16" s="218">
        <v>0.13</v>
      </c>
      <c r="H16" s="125" t="s">
        <v>62</v>
      </c>
      <c r="I16" s="218">
        <v>1.5</v>
      </c>
      <c r="J16" s="35" t="s">
        <v>63</v>
      </c>
      <c r="K16" s="36">
        <f>25%+20%</f>
        <v>0.45</v>
      </c>
      <c r="L16" s="125" t="s">
        <v>64</v>
      </c>
      <c r="M16" s="218">
        <f>8.6%*2</f>
        <v>0.172</v>
      </c>
      <c r="O16" s="181">
        <v>1</v>
      </c>
      <c r="P16" s="215" t="s">
        <v>106</v>
      </c>
      <c r="Q16" s="37">
        <v>3.076</v>
      </c>
      <c r="R16" s="49" t="s">
        <v>77</v>
      </c>
      <c r="S16" s="163">
        <f t="shared" si="12"/>
        <v>2586.086</v>
      </c>
      <c r="T16" s="136">
        <f t="shared" si="13"/>
        <v>1.68544755970924</v>
      </c>
      <c r="U16" s="136">
        <f t="shared" si="18"/>
        <v>1.062</v>
      </c>
      <c r="V16" s="137">
        <f t="shared" si="14"/>
        <v>2.3615</v>
      </c>
      <c r="W16" s="138">
        <f t="shared" si="15"/>
        <v>0.45</v>
      </c>
      <c r="X16" s="137">
        <f t="shared" si="11"/>
        <v>0.488431876606684</v>
      </c>
      <c r="Y16" s="128">
        <f t="shared" si="16"/>
        <v>0.8</v>
      </c>
      <c r="Z16" s="139">
        <v>0</v>
      </c>
      <c r="AA16" s="139">
        <v>0</v>
      </c>
      <c r="AB16" s="33">
        <v>0</v>
      </c>
      <c r="AC16" s="216">
        <f t="shared" si="17"/>
        <v>21946.6326349258</v>
      </c>
    </row>
    <row r="17" s="1" customFormat="1" ht="15" spans="1:30">
      <c r="B17" s="31" t="s">
        <v>67</v>
      </c>
      <c r="C17" s="33">
        <v>0.24</v>
      </c>
      <c r="D17" s="31" t="s">
        <v>68</v>
      </c>
      <c r="E17" s="33">
        <v>0.1</v>
      </c>
      <c r="F17" s="31" t="s">
        <v>69</v>
      </c>
      <c r="G17" s="34">
        <v>0.243</v>
      </c>
      <c r="H17" s="31" t="s">
        <v>69</v>
      </c>
      <c r="I17" s="34">
        <v>0</v>
      </c>
      <c r="J17" s="37" t="s">
        <v>107</v>
      </c>
      <c r="K17" s="33"/>
      <c r="L17" s="31" t="s">
        <v>108</v>
      </c>
      <c r="M17" s="34">
        <f>2*8.6%</f>
        <v>0.172</v>
      </c>
      <c r="O17" s="181">
        <v>1</v>
      </c>
      <c r="P17" s="215" t="s">
        <v>109</v>
      </c>
      <c r="Q17" s="37">
        <v>12.1672</v>
      </c>
      <c r="R17" s="49" t="s">
        <v>77</v>
      </c>
      <c r="S17" s="163">
        <f t="shared" si="12"/>
        <v>2586.086</v>
      </c>
      <c r="T17" s="136">
        <f t="shared" si="13"/>
        <v>1.68544755970924</v>
      </c>
      <c r="U17" s="136">
        <f t="shared" si="18"/>
        <v>1.062</v>
      </c>
      <c r="V17" s="137">
        <f t="shared" si="14"/>
        <v>2.3615</v>
      </c>
      <c r="W17" s="138">
        <f t="shared" si="15"/>
        <v>0.45</v>
      </c>
      <c r="X17" s="137">
        <f t="shared" si="11"/>
        <v>0.488431876606684</v>
      </c>
      <c r="Y17" s="128">
        <f t="shared" si="16"/>
        <v>0.8</v>
      </c>
      <c r="Z17" s="139">
        <v>0</v>
      </c>
      <c r="AA17" s="139">
        <v>0</v>
      </c>
      <c r="AB17" s="33">
        <v>0</v>
      </c>
      <c r="AC17" s="216">
        <f t="shared" si="17"/>
        <v>86810.4904407248</v>
      </c>
    </row>
    <row r="18" s="1" customFormat="1" ht="15" spans="1:30">
      <c r="B18" s="31" t="s">
        <v>73</v>
      </c>
      <c r="C18" s="33">
        <f>18%+18%+M16+(2-E13)*30%</f>
        <v>0.832</v>
      </c>
      <c r="D18" s="31" t="s">
        <v>74</v>
      </c>
      <c r="E18" s="33">
        <v>0.25</v>
      </c>
      <c r="F18" s="31" t="s">
        <v>75</v>
      </c>
      <c r="G18" s="34"/>
      <c r="H18" s="31" t="s">
        <v>75</v>
      </c>
      <c r="I18" s="34">
        <v>0.44</v>
      </c>
      <c r="J18" s="37"/>
      <c r="K18" s="34"/>
      <c r="L18" s="31" t="s">
        <v>56</v>
      </c>
      <c r="M18" s="34">
        <f>8.1*5%</f>
        <v>0.405</v>
      </c>
      <c r="O18" s="181">
        <v>1</v>
      </c>
      <c r="P18" s="215" t="s">
        <v>110</v>
      </c>
      <c r="Q18" s="37">
        <v>2.3262</v>
      </c>
      <c r="R18" s="49" t="s">
        <v>102</v>
      </c>
      <c r="S18" s="163">
        <f t="shared" si="12"/>
        <v>2586.086</v>
      </c>
      <c r="T18" s="136">
        <f t="shared" si="13"/>
        <v>1.68544755970924</v>
      </c>
      <c r="U18" s="136">
        <f t="shared" si="18"/>
        <v>0.89</v>
      </c>
      <c r="V18" s="137">
        <f t="shared" si="14"/>
        <v>2.3615</v>
      </c>
      <c r="W18" s="138">
        <f t="shared" si="15"/>
        <v>0.45</v>
      </c>
      <c r="X18" s="137">
        <f t="shared" si="11"/>
        <v>0.488431876606684</v>
      </c>
      <c r="Y18" s="128">
        <f t="shared" si="16"/>
        <v>0.8</v>
      </c>
      <c r="Z18" s="139">
        <v>0</v>
      </c>
      <c r="AA18" s="139">
        <v>0</v>
      </c>
      <c r="AB18" s="33">
        <v>0</v>
      </c>
      <c r="AC18" s="216">
        <f t="shared" si="17"/>
        <v>15212.540853004</v>
      </c>
    </row>
    <row r="19" s="1" customFormat="1" ht="15" spans="1:30">
      <c r="B19" s="31" t="s">
        <v>78</v>
      </c>
      <c r="C19" s="39"/>
      <c r="D19" s="31" t="s">
        <v>79</v>
      </c>
      <c r="E19" s="33"/>
      <c r="F19" s="31" t="s">
        <v>73</v>
      </c>
      <c r="G19" s="34">
        <f>M18</f>
        <v>0.405</v>
      </c>
      <c r="H19" s="31" t="s">
        <v>73</v>
      </c>
      <c r="I19" s="34">
        <f>M19</f>
        <v>0.81</v>
      </c>
      <c r="J19" s="37"/>
      <c r="K19" s="34"/>
      <c r="L19" s="31" t="s">
        <v>80</v>
      </c>
      <c r="M19" s="33">
        <f>16.2%*5</f>
        <v>0.81</v>
      </c>
      <c r="O19" s="181">
        <v>1</v>
      </c>
      <c r="P19" s="215" t="s">
        <v>111</v>
      </c>
      <c r="Q19" s="37">
        <v>1</v>
      </c>
      <c r="R19" s="49" t="s">
        <v>112</v>
      </c>
      <c r="S19" s="163">
        <f t="shared" si="12"/>
        <v>2586.086</v>
      </c>
      <c r="T19" s="136">
        <f t="shared" si="13"/>
        <v>1.68544755970924</v>
      </c>
      <c r="U19" s="136">
        <f t="shared" si="18"/>
        <v>0.89</v>
      </c>
      <c r="V19" s="137">
        <f t="shared" si="14"/>
        <v>2.3615</v>
      </c>
      <c r="W19" s="138">
        <f t="shared" si="15"/>
        <v>0.45</v>
      </c>
      <c r="X19" s="137">
        <f t="shared" si="11"/>
        <v>0.488431876606684</v>
      </c>
      <c r="Y19" s="128">
        <f t="shared" si="16"/>
        <v>0.8</v>
      </c>
      <c r="Z19" s="139">
        <v>0</v>
      </c>
      <c r="AA19" s="139">
        <v>0</v>
      </c>
      <c r="AB19" s="33">
        <v>0</v>
      </c>
      <c r="AC19" s="216">
        <f t="shared" si="17"/>
        <v>6539.65301908865</v>
      </c>
    </row>
    <row r="20" s="1" customFormat="1" ht="15" spans="1:30">
      <c r="B20" s="31" t="s">
        <v>82</v>
      </c>
      <c r="C20" s="39">
        <v>0.25</v>
      </c>
      <c r="D20" s="31" t="s">
        <v>83</v>
      </c>
      <c r="E20" s="184">
        <f>24%</f>
        <v>0.24</v>
      </c>
      <c r="F20" s="31" t="s">
        <v>84</v>
      </c>
      <c r="G20" s="34">
        <v>0</v>
      </c>
      <c r="H20" s="31" t="s">
        <v>84</v>
      </c>
      <c r="I20" s="34">
        <v>0</v>
      </c>
      <c r="J20" s="37"/>
      <c r="K20" s="34"/>
      <c r="L20" s="31"/>
      <c r="M20" s="32"/>
      <c r="O20" s="185">
        <v>1</v>
      </c>
      <c r="P20" s="215" t="s">
        <v>113</v>
      </c>
      <c r="Q20" s="47">
        <v>2.736</v>
      </c>
      <c r="R20" s="147" t="s">
        <v>59</v>
      </c>
      <c r="S20" s="166">
        <f t="shared" si="12"/>
        <v>2586.086</v>
      </c>
      <c r="T20" s="146">
        <f t="shared" si="13"/>
        <v>1.68544755970924</v>
      </c>
      <c r="U20" s="146">
        <f t="shared" si="18"/>
        <v>0.89</v>
      </c>
      <c r="V20" s="148">
        <f t="shared" si="14"/>
        <v>2.3615</v>
      </c>
      <c r="W20" s="149">
        <f t="shared" si="15"/>
        <v>0.45</v>
      </c>
      <c r="X20" s="148">
        <f t="shared" si="11"/>
        <v>0.488431876606684</v>
      </c>
      <c r="Y20" s="128">
        <f t="shared" si="16"/>
        <v>0.8</v>
      </c>
      <c r="Z20" s="150">
        <v>0</v>
      </c>
      <c r="AA20" s="150">
        <v>0</v>
      </c>
      <c r="AB20" s="44">
        <v>0</v>
      </c>
      <c r="AC20" s="216">
        <f t="shared" si="17"/>
        <v>17892.4906602265</v>
      </c>
    </row>
    <row r="21" s="1" customFormat="1" spans="1:30">
      <c r="B21" s="31" t="s">
        <v>87</v>
      </c>
      <c r="C21" s="32">
        <v>350</v>
      </c>
      <c r="D21" s="31" t="s">
        <v>114</v>
      </c>
      <c r="E21" s="33">
        <f>M17</f>
        <v>0.172</v>
      </c>
      <c r="F21" s="31" t="s">
        <v>89</v>
      </c>
      <c r="G21" s="34"/>
      <c r="H21" s="31" t="s">
        <v>89</v>
      </c>
      <c r="I21" s="34">
        <v>0</v>
      </c>
      <c r="J21" s="37"/>
      <c r="K21" s="34"/>
      <c r="L21" s="31"/>
      <c r="M21" s="32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42" t="s">
        <v>91</v>
      </c>
      <c r="C22" s="43"/>
      <c r="D22" s="42"/>
      <c r="E22" s="44"/>
      <c r="F22" s="45" t="s">
        <v>92</v>
      </c>
      <c r="G22" s="46">
        <f>MIN(100%,SUM(G16:G21))</f>
        <v>0.778</v>
      </c>
      <c r="H22" s="45" t="s">
        <v>93</v>
      </c>
      <c r="I22" s="46">
        <f>SUM(I16:I21)</f>
        <v>2.75</v>
      </c>
      <c r="J22" s="47"/>
      <c r="K22" s="219"/>
      <c r="L22" s="42"/>
      <c r="M22" s="43"/>
      <c r="O22" s="125">
        <v>20</v>
      </c>
      <c r="P22" s="127" t="s">
        <v>115</v>
      </c>
      <c r="Q22" s="127">
        <v>1.0935</v>
      </c>
      <c r="R22" s="128" t="s">
        <v>116</v>
      </c>
      <c r="S22" s="128">
        <v>10027</v>
      </c>
      <c r="T22" s="127">
        <v>0</v>
      </c>
      <c r="U22" s="127">
        <v>0</v>
      </c>
      <c r="V22" s="129">
        <v>1</v>
      </c>
      <c r="W22" s="130">
        <v>0</v>
      </c>
      <c r="X22" s="129">
        <f t="shared" ref="X22:X26" si="19">$AF$3</f>
        <v>0.488431876606684</v>
      </c>
      <c r="Y22" s="128">
        <f t="shared" ref="Y22:Y26" si="20">$AF$13</f>
        <v>0.8</v>
      </c>
      <c r="Z22" s="131">
        <v>1.2</v>
      </c>
      <c r="AA22" s="131">
        <v>0</v>
      </c>
      <c r="AB22" s="131">
        <v>0.5</v>
      </c>
      <c r="AC22" s="132">
        <f t="shared" ref="AC22:AC26" si="21">Q22*$S$26*(1+T22)*(1+U22)*V22*(1+W22)*X22*Y22*(1+Z22)*(1+AA22)*(1+AB22)*O22</f>
        <v>282766.349059126</v>
      </c>
    </row>
    <row r="23" s="1" customFormat="1" ht="15" spans="1:30">
      <c r="B23" s="49"/>
      <c r="C23" s="49"/>
      <c r="E23" s="50"/>
      <c r="F23" s="18" t="s">
        <v>95</v>
      </c>
      <c r="G23" s="51">
        <f>MAX(0,SUM(G16:G21)-1)</f>
        <v>0</v>
      </c>
      <c r="J23" s="2"/>
      <c r="K23" s="2"/>
      <c r="O23" s="31">
        <v>1</v>
      </c>
      <c r="P23" s="49" t="s">
        <v>117</v>
      </c>
      <c r="Q23" s="136">
        <v>5.9643</v>
      </c>
      <c r="R23" s="49" t="s">
        <v>116</v>
      </c>
      <c r="S23" s="49">
        <v>10027</v>
      </c>
      <c r="T23" s="136">
        <v>0</v>
      </c>
      <c r="U23" s="136">
        <v>0</v>
      </c>
      <c r="V23" s="137">
        <v>1</v>
      </c>
      <c r="W23" s="138">
        <v>0</v>
      </c>
      <c r="X23" s="137">
        <f t="shared" si="19"/>
        <v>0.488431876606684</v>
      </c>
      <c r="Y23" s="49">
        <f t="shared" si="20"/>
        <v>0.8</v>
      </c>
      <c r="Z23" s="139">
        <v>0</v>
      </c>
      <c r="AA23" s="139">
        <v>0</v>
      </c>
      <c r="AB23" s="139">
        <v>0.5</v>
      </c>
      <c r="AC23" s="140">
        <f t="shared" si="21"/>
        <v>35052.2370971722</v>
      </c>
    </row>
    <row r="24" s="1" customFormat="1" ht="15" spans="1:30">
      <c r="B24" s="49"/>
      <c r="C24" s="49"/>
      <c r="E24" s="50"/>
      <c r="J24" s="2"/>
      <c r="K24" s="2"/>
      <c r="O24" s="31">
        <v>1</v>
      </c>
      <c r="P24" s="49" t="s">
        <v>118</v>
      </c>
      <c r="Q24" s="136">
        <v>18.8075</v>
      </c>
      <c r="R24" s="49" t="s">
        <v>116</v>
      </c>
      <c r="S24" s="49">
        <v>10027</v>
      </c>
      <c r="T24" s="136">
        <v>0</v>
      </c>
      <c r="U24" s="136">
        <v>0</v>
      </c>
      <c r="V24" s="137">
        <v>1</v>
      </c>
      <c r="W24" s="138">
        <v>0</v>
      </c>
      <c r="X24" s="137">
        <f t="shared" si="19"/>
        <v>0.488431876606684</v>
      </c>
      <c r="Y24" s="49">
        <f t="shared" si="20"/>
        <v>0.8</v>
      </c>
      <c r="Z24" s="139">
        <v>0</v>
      </c>
      <c r="AA24" s="139">
        <v>0</v>
      </c>
      <c r="AB24" s="139">
        <v>0.5</v>
      </c>
      <c r="AC24" s="140">
        <f t="shared" si="21"/>
        <v>110531.822544987</v>
      </c>
      <c r="AD24"/>
    </row>
    <row r="25" s="1" customFormat="1" ht="15" spans="1:30">
      <c r="A25" s="94"/>
      <c r="B25" s="95" t="s">
        <v>119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O25" s="31">
        <v>1</v>
      </c>
      <c r="P25" s="49" t="s">
        <v>120</v>
      </c>
      <c r="Q25" s="136">
        <v>2.9822</v>
      </c>
      <c r="R25" s="49" t="s">
        <v>116</v>
      </c>
      <c r="S25" s="49">
        <v>10027</v>
      </c>
      <c r="T25" s="136">
        <v>0</v>
      </c>
      <c r="U25" s="136">
        <v>0</v>
      </c>
      <c r="V25" s="137">
        <v>1</v>
      </c>
      <c r="W25" s="138">
        <v>0</v>
      </c>
      <c r="X25" s="137">
        <f t="shared" si="19"/>
        <v>0.488431876606684</v>
      </c>
      <c r="Y25" s="49">
        <f t="shared" si="20"/>
        <v>0.8</v>
      </c>
      <c r="Z25" s="139">
        <v>0</v>
      </c>
      <c r="AA25" s="139">
        <v>0</v>
      </c>
      <c r="AB25" s="139">
        <v>0.5</v>
      </c>
      <c r="AC25" s="140">
        <f t="shared" si="21"/>
        <v>17526.4123989717</v>
      </c>
      <c r="AD25"/>
    </row>
    <row r="26" s="1" customFormat="1" ht="15" spans="1:30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O26" s="42">
        <v>1</v>
      </c>
      <c r="P26" s="147" t="s">
        <v>123</v>
      </c>
      <c r="Q26" s="146">
        <v>16</v>
      </c>
      <c r="R26" s="147" t="s">
        <v>124</v>
      </c>
      <c r="S26" s="147">
        <v>10027</v>
      </c>
      <c r="T26" s="146">
        <v>0</v>
      </c>
      <c r="U26" s="146">
        <v>0</v>
      </c>
      <c r="V26" s="148">
        <v>1</v>
      </c>
      <c r="W26" s="149">
        <v>0</v>
      </c>
      <c r="X26" s="148">
        <f t="shared" si="19"/>
        <v>0.488431876606684</v>
      </c>
      <c r="Y26" s="147">
        <f t="shared" si="20"/>
        <v>0.8</v>
      </c>
      <c r="Z26" s="150">
        <v>0</v>
      </c>
      <c r="AA26" s="150">
        <v>0</v>
      </c>
      <c r="AB26" s="150">
        <v>0.5</v>
      </c>
      <c r="AC26" s="151">
        <f t="shared" si="21"/>
        <v>94032.1233933162</v>
      </c>
    </row>
    <row r="27" s="1" customFormat="1" spans="1:30">
      <c r="A27" s="94">
        <v>1357</v>
      </c>
      <c r="B27" s="98" t="s">
        <v>60</v>
      </c>
      <c r="C27" s="99">
        <f>288+337</f>
        <v>625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157">
        <v>1</v>
      </c>
      <c r="P28" s="158" t="s">
        <v>130</v>
      </c>
      <c r="Q28" s="159">
        <v>2.0279</v>
      </c>
      <c r="R28" s="128" t="s">
        <v>66</v>
      </c>
      <c r="S28" s="160">
        <f t="shared" ref="S28:S31" si="22">C$34</f>
        <v>1225</v>
      </c>
      <c r="T28" s="127">
        <f t="shared" ref="T28:T31" si="23">S28/$C$27-1</f>
        <v>0.96</v>
      </c>
      <c r="U28" s="127">
        <f t="shared" ref="U28:U31" si="24">E$30</f>
        <v>0.24</v>
      </c>
      <c r="V28" s="129">
        <f t="shared" ref="V28:V31" si="25">1+$G$32*($I$32-1)</f>
        <v>1.3752</v>
      </c>
      <c r="W28" s="130">
        <f t="shared" ref="W28:W33" si="26">K$27</f>
        <v>0.35</v>
      </c>
      <c r="X28" s="129">
        <f t="shared" ref="X28:X33" si="27">$AF$3</f>
        <v>0.488431876606684</v>
      </c>
      <c r="Y28" s="128">
        <f t="shared" ref="Y28:Y33" si="28">$AF$14</f>
        <v>0.8</v>
      </c>
      <c r="Z28" s="131">
        <v>0</v>
      </c>
      <c r="AA28" s="131">
        <v>0</v>
      </c>
      <c r="AB28" s="36">
        <v>0</v>
      </c>
      <c r="AC28" s="29">
        <f t="shared" ref="AC28:AC33" si="29">Q28*$C$27*(1+T28)*(1+U28)*V28*(1+W28)*X28*Y28*(1+Z28)*(1+AA28)*(1+AB28)*O28</f>
        <v>2234.59039592366</v>
      </c>
    </row>
    <row r="29" s="1" customFormat="1" ht="15" spans="1:30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162">
        <v>1</v>
      </c>
      <c r="P29" s="158" t="s">
        <v>135</v>
      </c>
      <c r="Q29" s="37">
        <f>22.27%+16.71%*2+23.86%+23.86%+17.9%*4+41.36%+10.34%*6</f>
        <v>2.7841</v>
      </c>
      <c r="R29" s="49" t="s">
        <v>77</v>
      </c>
      <c r="S29" s="163">
        <f t="shared" si="22"/>
        <v>1225</v>
      </c>
      <c r="T29" s="136">
        <f t="shared" si="23"/>
        <v>0.96</v>
      </c>
      <c r="U29" s="136">
        <f t="shared" si="24"/>
        <v>0.24</v>
      </c>
      <c r="V29" s="137">
        <f t="shared" si="25"/>
        <v>1.3752</v>
      </c>
      <c r="W29" s="138">
        <f t="shared" si="26"/>
        <v>0.35</v>
      </c>
      <c r="X29" s="137">
        <f t="shared" si="27"/>
        <v>0.488431876606684</v>
      </c>
      <c r="Y29" s="49">
        <f t="shared" si="28"/>
        <v>0.8</v>
      </c>
      <c r="Z29" s="139">
        <v>0</v>
      </c>
      <c r="AA29" s="139">
        <v>0</v>
      </c>
      <c r="AB29" s="33">
        <v>0</v>
      </c>
      <c r="AC29" s="29">
        <f t="shared" si="29"/>
        <v>3067.86484604323</v>
      </c>
    </row>
    <row r="30" s="1" customFormat="1" ht="15" spans="1:30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48%-24%</f>
        <v>0.24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162">
        <v>1</v>
      </c>
      <c r="P30" s="158" t="s">
        <v>138</v>
      </c>
      <c r="Q30" s="37">
        <f>39.77%*4</f>
        <v>1.5908</v>
      </c>
      <c r="R30" s="49" t="s">
        <v>102</v>
      </c>
      <c r="S30" s="163">
        <f t="shared" si="22"/>
        <v>1225</v>
      </c>
      <c r="T30" s="136">
        <f t="shared" si="23"/>
        <v>0.96</v>
      </c>
      <c r="U30" s="136">
        <f t="shared" si="24"/>
        <v>0.24</v>
      </c>
      <c r="V30" s="137">
        <f t="shared" si="25"/>
        <v>1.3752</v>
      </c>
      <c r="W30" s="138">
        <f t="shared" si="26"/>
        <v>0.35</v>
      </c>
      <c r="X30" s="137">
        <f t="shared" si="27"/>
        <v>0.488431876606684</v>
      </c>
      <c r="Y30" s="49">
        <f t="shared" si="28"/>
        <v>0.8</v>
      </c>
      <c r="Z30" s="139">
        <v>0</v>
      </c>
      <c r="AA30" s="139">
        <v>0</v>
      </c>
      <c r="AB30" s="33">
        <v>0</v>
      </c>
      <c r="AC30" s="29">
        <f t="shared" si="29"/>
        <v>1752.93969221133</v>
      </c>
      <c r="AD30"/>
    </row>
    <row r="31" s="1" customFormat="1" ht="15" spans="1:30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 t="s">
        <v>141</v>
      </c>
      <c r="I31" s="100"/>
      <c r="J31" s="103"/>
      <c r="K31" s="100"/>
      <c r="L31" s="98"/>
      <c r="M31" s="100"/>
      <c r="O31" s="162">
        <v>1</v>
      </c>
      <c r="P31" s="158" t="s">
        <v>142</v>
      </c>
      <c r="Q31" s="37">
        <v>3.51</v>
      </c>
      <c r="R31" s="49" t="s">
        <v>59</v>
      </c>
      <c r="S31" s="163">
        <f t="shared" si="22"/>
        <v>1225</v>
      </c>
      <c r="T31" s="136">
        <f t="shared" si="23"/>
        <v>0.96</v>
      </c>
      <c r="U31" s="136">
        <f t="shared" si="24"/>
        <v>0.24</v>
      </c>
      <c r="V31" s="137">
        <f t="shared" si="25"/>
        <v>1.3752</v>
      </c>
      <c r="W31" s="138">
        <f t="shared" si="26"/>
        <v>0.35</v>
      </c>
      <c r="X31" s="137">
        <f t="shared" si="27"/>
        <v>0.488431876606684</v>
      </c>
      <c r="Y31" s="49">
        <f t="shared" si="28"/>
        <v>0.8</v>
      </c>
      <c r="Z31" s="139">
        <v>0</v>
      </c>
      <c r="AA31" s="139">
        <v>0</v>
      </c>
      <c r="AB31" s="33">
        <v>0</v>
      </c>
      <c r="AC31" s="29">
        <f t="shared" si="29"/>
        <v>3867.75101814293</v>
      </c>
    </row>
    <row r="32" s="1" customFormat="1" ht="15" spans="1:30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1.7</v>
      </c>
      <c r="J32" s="103"/>
      <c r="K32" s="100"/>
      <c r="L32" s="98"/>
      <c r="M32" s="99"/>
      <c r="O32" s="162">
        <v>1</v>
      </c>
      <c r="P32" s="158" t="s">
        <v>144</v>
      </c>
      <c r="Q32" s="37">
        <v>5.2233</v>
      </c>
      <c r="R32" s="49" t="s">
        <v>34</v>
      </c>
      <c r="S32" s="163">
        <f>A34</f>
        <v>3551.269</v>
      </c>
      <c r="T32" s="136">
        <v>0</v>
      </c>
      <c r="U32" s="136">
        <f>E$30+M30</f>
        <v>0.412</v>
      </c>
      <c r="V32" s="137">
        <f>I32+1.6</f>
        <v>3.3</v>
      </c>
      <c r="W32" s="138">
        <f t="shared" si="26"/>
        <v>0.35</v>
      </c>
      <c r="X32" s="137">
        <f t="shared" si="27"/>
        <v>0.488431876606684</v>
      </c>
      <c r="Y32" s="49">
        <f t="shared" si="28"/>
        <v>0.8</v>
      </c>
      <c r="Z32" s="139">
        <v>0</v>
      </c>
      <c r="AA32" s="139">
        <v>0</v>
      </c>
      <c r="AB32" s="33">
        <v>0</v>
      </c>
      <c r="AC32" s="29">
        <f t="shared" si="29"/>
        <v>8024.19324732648</v>
      </c>
    </row>
    <row r="33" s="1" customFormat="1" ht="15" spans="1:29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65">
        <v>1</v>
      </c>
      <c r="P33" s="158" t="s">
        <v>146</v>
      </c>
      <c r="Q33" s="47">
        <f>258.46%</f>
        <v>2.5846</v>
      </c>
      <c r="R33" s="147" t="s">
        <v>102</v>
      </c>
      <c r="S33" s="166">
        <f>C$34</f>
        <v>1225</v>
      </c>
      <c r="T33" s="146">
        <f>S33/$C$27-1</f>
        <v>0.96</v>
      </c>
      <c r="U33" s="146">
        <f>E$30</f>
        <v>0.24</v>
      </c>
      <c r="V33" s="148">
        <f>1+$G$32*($I$32-1)</f>
        <v>1.3752</v>
      </c>
      <c r="W33" s="149">
        <f t="shared" si="26"/>
        <v>0.35</v>
      </c>
      <c r="X33" s="148">
        <f t="shared" si="27"/>
        <v>0.488431876606684</v>
      </c>
      <c r="Y33" s="147">
        <f t="shared" si="28"/>
        <v>0.8</v>
      </c>
      <c r="Z33" s="150">
        <v>0</v>
      </c>
      <c r="AA33" s="150">
        <v>0</v>
      </c>
      <c r="AB33" s="44">
        <v>0</v>
      </c>
      <c r="AC33" s="29">
        <f t="shared" si="29"/>
        <v>2848.03113432827</v>
      </c>
    </row>
    <row r="34" s="1" customFormat="1" spans="1:29">
      <c r="A34" s="94">
        <f>A27*(1+A28+A29+A30+A31)</f>
        <v>3551.269</v>
      </c>
      <c r="B34" s="133"/>
      <c r="C34" s="133">
        <f>C27*(1+C30)+C32</f>
        <v>1225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Q34" s="2"/>
      <c r="U34" s="2"/>
      <c r="V34" s="3"/>
      <c r="AB34" s="4"/>
      <c r="AC34" s="4"/>
    </row>
    <row r="35" s="1" customFormat="1" ht="15" spans="1:29">
      <c r="A35" s="141"/>
      <c r="B35" s="142"/>
      <c r="C35" s="142"/>
      <c r="D35" s="142"/>
      <c r="E35" s="142"/>
      <c r="F35" s="142"/>
      <c r="G35" s="143"/>
      <c r="N35" s="49"/>
      <c r="Q35" s="2"/>
      <c r="U35" s="2"/>
      <c r="V35" s="3"/>
      <c r="AB35" s="4"/>
      <c r="AC35" s="4"/>
    </row>
    <row r="36" s="1" customFormat="1" ht="15" spans="1:29">
      <c r="B36" s="144" t="s">
        <v>148</v>
      </c>
      <c r="G36" s="2"/>
      <c r="N36" s="49"/>
      <c r="Q36" s="2"/>
      <c r="U36" s="2"/>
      <c r="V36" s="3"/>
      <c r="AB36" s="4"/>
      <c r="AC36" s="4"/>
    </row>
    <row r="37" s="1" customFormat="1" spans="1:29">
      <c r="B37" s="152" t="s">
        <v>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N37" s="49"/>
      <c r="Q37" s="2"/>
      <c r="U37" s="2"/>
      <c r="V37" s="3"/>
      <c r="AB37" s="4"/>
      <c r="AC37" s="4"/>
    </row>
    <row r="38" s="1" customFormat="1" ht="15" spans="1:29">
      <c r="B38" s="4" t="s">
        <v>36</v>
      </c>
      <c r="C38" s="154" t="e">
        <f>SUM(AC3:AC11)</f>
        <v>#VALUE!</v>
      </c>
      <c r="D38" s="154" t="e">
        <f t="shared" ref="D38:D42" si="30">C38/$E$38</f>
        <v>#VALUE!</v>
      </c>
      <c r="E38" s="155">
        <v>25</v>
      </c>
      <c r="F38" s="156" t="e">
        <f t="shared" ref="F38:F42" si="31">C38/$C$44</f>
        <v>#VALUE!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100</v>
      </c>
      <c r="C39" s="154">
        <f>SUM(AC12:AC20)</f>
        <v>273027.166213443</v>
      </c>
      <c r="D39" s="154">
        <f t="shared" si="30"/>
        <v>10921.0866485377</v>
      </c>
      <c r="E39" s="161"/>
      <c r="F39" s="156" t="e">
        <f t="shared" si="31"/>
        <v>#VALUE!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119</v>
      </c>
      <c r="C40" s="154">
        <f>SUM(AC28:AC33)+AC25</f>
        <v>39321.7827329476</v>
      </c>
      <c r="D40" s="154">
        <f t="shared" si="30"/>
        <v>1572.8713093179</v>
      </c>
      <c r="E40" s="164"/>
      <c r="F40" s="156" t="e">
        <f t="shared" si="31"/>
        <v>#VALUE!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116</v>
      </c>
      <c r="C41" s="154">
        <f>SUM(AC22:AC25)</f>
        <v>445876.821100257</v>
      </c>
      <c r="D41" s="154">
        <f t="shared" si="30"/>
        <v>17835.0728440103</v>
      </c>
      <c r="E41" s="164"/>
      <c r="F41" s="156" t="e">
        <f t="shared" si="31"/>
        <v>#VALUE!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123</v>
      </c>
      <c r="C42" s="154">
        <f>AC26</f>
        <v>94032.1233933162</v>
      </c>
      <c r="D42" s="154">
        <f t="shared" si="30"/>
        <v>3761.28493573265</v>
      </c>
      <c r="E42" s="164"/>
      <c r="F42" s="156" t="e">
        <f t="shared" si="31"/>
        <v>#VALUE!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54"/>
      <c r="D43" s="154"/>
      <c r="E43" s="164"/>
      <c r="F43" s="156"/>
      <c r="G43" s="2"/>
      <c r="Q43" s="2"/>
      <c r="U43" s="2"/>
      <c r="V43" s="3"/>
      <c r="AB43" s="4"/>
      <c r="AC43" s="4"/>
    </row>
    <row r="44" s="1" customFormat="1" ht="15" spans="1:29">
      <c r="B44" s="4" t="s">
        <v>153</v>
      </c>
      <c r="C44" s="167" t="e">
        <f>SUM(C38:C42)</f>
        <v>#VALUE!</v>
      </c>
      <c r="D44" s="167" t="e">
        <f>C44/E38</f>
        <v>#VALUE!</v>
      </c>
      <c r="E44" s="168"/>
      <c r="F44" s="169"/>
      <c r="G44" s="170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95" t="s">
        <v>154</v>
      </c>
      <c r="C46" s="196" t="s">
        <v>155</v>
      </c>
      <c r="D46" s="196" t="s">
        <v>156</v>
      </c>
      <c r="E46" s="196"/>
      <c r="F46" s="197"/>
      <c r="G46" s="2"/>
      <c r="Q46" s="2"/>
      <c r="U46" s="2"/>
      <c r="V46" s="3"/>
      <c r="AB46" s="4"/>
      <c r="AC46" s="4"/>
    </row>
    <row r="47" s="1" customFormat="1" ht="15" spans="1:29">
      <c r="B47" s="198"/>
      <c r="C47" s="199"/>
      <c r="D47" s="199"/>
      <c r="E47" s="199"/>
      <c r="F47" s="200"/>
      <c r="Q47" s="2"/>
      <c r="U47" s="2"/>
      <c r="V47" s="3"/>
      <c r="AB47" s="4"/>
      <c r="AC47" s="4"/>
    </row>
    <row r="48" s="1" customFormat="1" spans="1:29">
      <c r="B48" s="201"/>
      <c r="C48" s="201"/>
      <c r="D48" s="201"/>
      <c r="E48" s="201"/>
      <c r="F48" s="201"/>
      <c r="G48" s="2"/>
      <c r="Q48" s="2"/>
      <c r="U48" s="2"/>
      <c r="V48" s="3"/>
      <c r="AB48" s="4"/>
      <c r="AC48" s="4"/>
    </row>
    <row r="49" s="1" customFormat="1" ht="15" spans="2:29">
      <c r="B49" s="202" t="s">
        <v>157</v>
      </c>
      <c r="C49" s="203" t="s">
        <v>36</v>
      </c>
      <c r="D49" s="203" t="s">
        <v>158</v>
      </c>
      <c r="E49" s="128"/>
      <c r="F49" s="204"/>
      <c r="G49" s="2"/>
      <c r="Q49" s="2"/>
      <c r="U49" s="2"/>
      <c r="V49" s="3"/>
      <c r="AB49" s="4"/>
      <c r="AC49" s="4"/>
    </row>
    <row r="50" s="1" customFormat="1" ht="15" spans="2:29">
      <c r="B50" s="205"/>
      <c r="C50" s="164" t="s">
        <v>100</v>
      </c>
      <c r="D50" s="164" t="s">
        <v>158</v>
      </c>
      <c r="F50" s="206"/>
      <c r="G50" s="2"/>
      <c r="Q50" s="2"/>
      <c r="U50" s="2"/>
      <c r="V50" s="3"/>
      <c r="AB50" s="4"/>
      <c r="AC50" s="4"/>
    </row>
    <row r="51" s="1" customFormat="1" ht="15" spans="2:29">
      <c r="B51" s="207"/>
      <c r="C51" s="208" t="s">
        <v>160</v>
      </c>
      <c r="D51" s="208" t="s">
        <v>161</v>
      </c>
      <c r="E51" s="147"/>
      <c r="F51" s="43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25" workbookViewId="0">
      <selection activeCell="A25" sqref="$A1:$XFD1048576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2882.024</v>
      </c>
      <c r="T3" s="176">
        <f t="shared" ref="T3:T11" si="1">S3/$C$4-1</f>
        <v>1.84784980237154</v>
      </c>
      <c r="U3" s="176">
        <f>IF(R3=$C$1,SUM($E$4:$E$9),SUM($E$4:$E$8))</f>
        <v>1.7</v>
      </c>
      <c r="V3" s="177">
        <f t="shared" ref="V3:V11" si="2">1+$G$10*($I$10-1)</f>
        <v>3.4939</v>
      </c>
      <c r="W3" s="178">
        <f t="shared" ref="W3:W9" si="3">IF(R3=$C$1,$K$4+$K$5,$K$4)</f>
        <v>0.4</v>
      </c>
      <c r="X3" s="177">
        <f t="shared" ref="X3:X6" si="4">$AF$3</f>
        <v>0.488431876606684</v>
      </c>
      <c r="Y3" s="174">
        <f t="shared" ref="Y3:Y6" si="5">$AF$14</f>
        <v>0.8</v>
      </c>
      <c r="Z3" s="179">
        <v>0</v>
      </c>
      <c r="AA3" s="179">
        <v>0</v>
      </c>
      <c r="AB3" s="180">
        <v>0</v>
      </c>
      <c r="AC3" s="29">
        <f t="shared" ref="AC3:AC11" si="6">Q3*$C$4*(1+T3)*(1+U3)*V3*(1+W3)*X3*Y3*(1+Z3)*(1+AA3)*(1+AB3)*O3</f>
        <v>40692.0850297305</v>
      </c>
      <c r="AD3" s="16">
        <v>0</v>
      </c>
      <c r="AE3" s="16">
        <v>0</v>
      </c>
      <c r="AF3" s="17">
        <f t="shared" ref="AF3:AF8" si="7"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15%+25%</f>
        <v>0.4</v>
      </c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>IF(R4=$C$1,SUM($E$4:$E$9),SUM($E$4:$E$8))</f>
        <v>1.7</v>
      </c>
      <c r="V4" s="177">
        <f t="shared" si="2"/>
        <v>3.4939</v>
      </c>
      <c r="W4" s="27">
        <f t="shared" si="3"/>
        <v>0.4</v>
      </c>
      <c r="X4" s="177">
        <f t="shared" si="4"/>
        <v>0.488431876606684</v>
      </c>
      <c r="Y4" s="23">
        <f t="shared" si="5"/>
        <v>0.8</v>
      </c>
      <c r="Z4" s="28">
        <v>0</v>
      </c>
      <c r="AA4" s="28">
        <v>0</v>
      </c>
      <c r="AB4" s="182">
        <v>0</v>
      </c>
      <c r="AC4" s="29">
        <f t="shared" si="6"/>
        <v>20015.8655091416</v>
      </c>
      <c r="AD4" s="16">
        <v>32</v>
      </c>
      <c r="AE4" s="16">
        <v>0</v>
      </c>
      <c r="AF4" s="17">
        <f>1520/(1520+(792+8*AG4)*(1-AE4/100)*(1-AD4/100))</f>
        <v>0.584040329521702</v>
      </c>
      <c r="AG4" s="30">
        <v>100</v>
      </c>
    </row>
    <row r="5" s="1" customFormat="1" ht="15" spans="2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>IF(R5=$C$1,SUM($E$4:$E$9),SUM($E$4:$E$8))</f>
        <v>2.122</v>
      </c>
      <c r="V5" s="177">
        <f t="shared" si="2"/>
        <v>3.4939</v>
      </c>
      <c r="W5" s="27">
        <f t="shared" si="3"/>
        <v>0.65</v>
      </c>
      <c r="X5" s="26">
        <f t="shared" ref="X5:X11" si="8">$AF$4</f>
        <v>0.584040329521702</v>
      </c>
      <c r="Y5" s="23">
        <f t="shared" ref="Y5:Y11" si="9">$AF$12</f>
        <v>0.9</v>
      </c>
      <c r="Z5" s="28">
        <v>0</v>
      </c>
      <c r="AA5" s="28">
        <v>0</v>
      </c>
      <c r="AB5" s="182">
        <v>0</v>
      </c>
      <c r="AC5" s="29">
        <f t="shared" si="6"/>
        <v>273749.047999346</v>
      </c>
      <c r="AD5" s="16">
        <v>0</v>
      </c>
      <c r="AE5" s="16">
        <v>30</v>
      </c>
      <c r="AF5" s="17">
        <f t="shared" si="7"/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ref="U6:U10" si="10">IF(R6=$C$1,SUM($E$4:$E$9),SUM($E$4:$E$8))</f>
        <v>1.7</v>
      </c>
      <c r="V6" s="177">
        <f t="shared" si="2"/>
        <v>3.4939</v>
      </c>
      <c r="W6" s="27">
        <f t="shared" si="3"/>
        <v>0.4</v>
      </c>
      <c r="X6" s="177">
        <f t="shared" si="4"/>
        <v>0.488431876606684</v>
      </c>
      <c r="Y6" s="23">
        <f t="shared" si="5"/>
        <v>0.8</v>
      </c>
      <c r="Z6" s="28">
        <v>0</v>
      </c>
      <c r="AA6" s="28">
        <v>0</v>
      </c>
      <c r="AB6" s="182">
        <v>0</v>
      </c>
      <c r="AC6" s="29">
        <f t="shared" si="6"/>
        <v>51155.1266300285</v>
      </c>
      <c r="AD6" s="16">
        <v>0</v>
      </c>
      <c r="AE6" s="16">
        <v>21.6</v>
      </c>
      <c r="AF6" s="17">
        <f t="shared" si="7"/>
        <v>0.549107555719967</v>
      </c>
      <c r="AG6" s="30">
        <v>100</v>
      </c>
    </row>
    <row r="7" s="1" customFormat="1" ht="15" spans="2:33">
      <c r="B7" s="31" t="s">
        <v>78</v>
      </c>
      <c r="C7" s="34"/>
      <c r="D7" s="31" t="s">
        <v>79</v>
      </c>
      <c r="E7" s="33">
        <f>58%+40%</f>
        <v>0.98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10"/>
        <v>2.122</v>
      </c>
      <c r="V7" s="177">
        <f t="shared" si="2"/>
        <v>3.4939</v>
      </c>
      <c r="W7" s="27">
        <f t="shared" si="3"/>
        <v>0.65</v>
      </c>
      <c r="X7" s="26">
        <f t="shared" si="8"/>
        <v>0.584040329521702</v>
      </c>
      <c r="Y7" s="23">
        <f t="shared" si="9"/>
        <v>0.9</v>
      </c>
      <c r="Z7" s="28">
        <v>0</v>
      </c>
      <c r="AA7" s="28">
        <v>0</v>
      </c>
      <c r="AB7" s="182">
        <v>0</v>
      </c>
      <c r="AC7" s="29">
        <f t="shared" si="6"/>
        <v>97582.5026184397</v>
      </c>
      <c r="AD7" s="16">
        <v>0</v>
      </c>
      <c r="AE7" s="16">
        <v>28.8</v>
      </c>
      <c r="AF7" s="17">
        <f t="shared" si="7"/>
        <v>0.572827476423627</v>
      </c>
      <c r="AG7" s="30">
        <v>100</v>
      </c>
    </row>
    <row r="8" s="1" customFormat="1" ht="15" spans="2:33">
      <c r="B8" s="31" t="s">
        <v>82</v>
      </c>
      <c r="C8" s="39">
        <f>25%+30%</f>
        <v>0.55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10"/>
        <v>1.7</v>
      </c>
      <c r="V8" s="177">
        <f t="shared" si="2"/>
        <v>3.4939</v>
      </c>
      <c r="W8" s="27">
        <f t="shared" si="3"/>
        <v>0.4</v>
      </c>
      <c r="X8" s="177">
        <f t="shared" ref="X8:X20" si="11">$AF$3</f>
        <v>0.488431876606684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6"/>
        <v>51155.1266300285</v>
      </c>
      <c r="AD8" s="16">
        <v>0</v>
      </c>
      <c r="AE8" s="16">
        <v>36</v>
      </c>
      <c r="AF8" s="17">
        <f t="shared" si="7"/>
        <v>0.598689185782707</v>
      </c>
      <c r="AG8" s="30">
        <v>100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>
        <v>0.2</v>
      </c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10"/>
        <v>2.122</v>
      </c>
      <c r="V9" s="177">
        <f t="shared" si="2"/>
        <v>3.4939</v>
      </c>
      <c r="W9" s="27">
        <f t="shared" si="3"/>
        <v>0.65</v>
      </c>
      <c r="X9" s="26">
        <f t="shared" si="8"/>
        <v>0.584040329521702</v>
      </c>
      <c r="Y9" s="23">
        <f t="shared" si="9"/>
        <v>0.9</v>
      </c>
      <c r="Z9" s="28">
        <v>0</v>
      </c>
      <c r="AA9" s="28">
        <v>0</v>
      </c>
      <c r="AB9" s="182">
        <v>0</v>
      </c>
      <c r="AC9" s="29">
        <f t="shared" si="6"/>
        <v>97582.5026184397</v>
      </c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3.55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10"/>
        <v>2.122</v>
      </c>
      <c r="V10" s="177">
        <f t="shared" si="2"/>
        <v>3.4939</v>
      </c>
      <c r="W10" s="27">
        <f>IF(R10=$C$1,$K$4+$K$5,$K$4)+2</f>
        <v>2.65</v>
      </c>
      <c r="X10" s="26">
        <f t="shared" si="8"/>
        <v>0.584040329521702</v>
      </c>
      <c r="Y10" s="23">
        <f t="shared" si="9"/>
        <v>0.9</v>
      </c>
      <c r="Z10" s="28">
        <v>0</v>
      </c>
      <c r="AA10" s="28">
        <v>0</v>
      </c>
      <c r="AB10" s="182">
        <v>0</v>
      </c>
      <c r="AC10" s="29">
        <f t="shared" si="6"/>
        <v>139928.815764171</v>
      </c>
    </row>
    <row r="11" s="1" customFormat="1" ht="15" spans="2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2.122</v>
      </c>
      <c r="V11" s="190">
        <f t="shared" si="2"/>
        <v>3.4939</v>
      </c>
      <c r="W11" s="191">
        <f>IF(R11=$C$1,$K$4+$K$5,$K$4)+$K$6+0.25</f>
        <v>0.9</v>
      </c>
      <c r="X11" s="192">
        <f t="shared" si="8"/>
        <v>0.584040329521702</v>
      </c>
      <c r="Y11" s="186">
        <f t="shared" si="9"/>
        <v>0.9</v>
      </c>
      <c r="Z11" s="193">
        <v>0</v>
      </c>
      <c r="AA11" s="193">
        <v>0</v>
      </c>
      <c r="AB11" s="194">
        <v>0</v>
      </c>
      <c r="AC11" s="29">
        <f t="shared" si="6"/>
        <v>561772.718990883</v>
      </c>
      <c r="AE11"/>
      <c r="AF11"/>
    </row>
    <row r="12" s="1" customFormat="1" ht="15" spans="2:33">
      <c r="B12" s="49"/>
      <c r="C12" s="49"/>
      <c r="E12" s="50"/>
      <c r="G12" s="53"/>
      <c r="J12" s="2"/>
      <c r="K12" s="2"/>
      <c r="O12" s="173">
        <v>1</v>
      </c>
      <c r="P12" s="215" t="s">
        <v>97</v>
      </c>
      <c r="Q12" s="159">
        <v>2.248</v>
      </c>
      <c r="R12" s="128" t="s">
        <v>66</v>
      </c>
      <c r="S12" s="160">
        <f t="shared" ref="S12:S20" si="12">$C$16*(1+$C$17+$C$18+$C$19+$C$20)+($C$21+$C$22)</f>
        <v>2586.086</v>
      </c>
      <c r="T12" s="127">
        <f t="shared" ref="T12:T20" si="13">($C$17+$C$18+$C$19+$C$20)+($C$21+$C$22)/$C$16</f>
        <v>1.68544755970924</v>
      </c>
      <c r="U12" s="127">
        <f>IF(R12=$C$13,SUM($E$16:$E$21),SUM($E$16:$E$20))-12%</f>
        <v>1.41</v>
      </c>
      <c r="V12" s="129">
        <f t="shared" ref="V12:V20" si="14">1+$G$22*($I$22-1)</f>
        <v>2.5171</v>
      </c>
      <c r="W12" s="130">
        <f t="shared" ref="W12:W20" si="15">IF(R12=$C$1,$K$16+$K$17,$K$16)</f>
        <v>0.45</v>
      </c>
      <c r="X12" s="129">
        <f t="shared" si="11"/>
        <v>0.488431876606684</v>
      </c>
      <c r="Y12" s="128">
        <f t="shared" ref="Y12:Y20" si="16">$AF$15</f>
        <v>0.8</v>
      </c>
      <c r="Z12" s="131">
        <v>0</v>
      </c>
      <c r="AA12" s="131">
        <v>0</v>
      </c>
      <c r="AB12" s="36">
        <v>0</v>
      </c>
      <c r="AC12" s="216">
        <f t="shared" ref="AC12:AC20" si="17">Q12*$C$16*(1+T12)*(1+U12)*V12*(1+W12)*X12*Y12*(1+Z12)*(1+AA12)*(1+AB12)*O12</f>
        <v>19981.0713756146</v>
      </c>
      <c r="AE12" s="48" t="s">
        <v>34</v>
      </c>
      <c r="AF12" s="48">
        <v>0.9</v>
      </c>
    </row>
    <row r="13" s="1" customFormat="1" ht="15" spans="2:33">
      <c r="B13" s="5" t="s">
        <v>33</v>
      </c>
      <c r="C13" s="5" t="s">
        <v>77</v>
      </c>
      <c r="D13" s="6" t="s">
        <v>35</v>
      </c>
      <c r="E13" s="6">
        <v>1</v>
      </c>
      <c r="O13" s="181">
        <v>1</v>
      </c>
      <c r="P13" s="215" t="s">
        <v>98</v>
      </c>
      <c r="Q13" s="37">
        <v>8.748</v>
      </c>
      <c r="R13" s="49" t="s">
        <v>34</v>
      </c>
      <c r="S13" s="163">
        <f t="shared" si="12"/>
        <v>2586.086</v>
      </c>
      <c r="T13" s="136">
        <f t="shared" si="13"/>
        <v>1.68544755970924</v>
      </c>
      <c r="U13" s="136">
        <f>IF(R13=$C$13,SUM($E$16:$E$21),SUM($E$16:$E$20))-12%</f>
        <v>1.41</v>
      </c>
      <c r="V13" s="137">
        <f t="shared" si="14"/>
        <v>2.5171</v>
      </c>
      <c r="W13" s="138">
        <f t="shared" si="15"/>
        <v>0.45</v>
      </c>
      <c r="X13" s="137">
        <f t="shared" si="11"/>
        <v>0.488431876606684</v>
      </c>
      <c r="Y13" s="128">
        <f t="shared" si="16"/>
        <v>0.8</v>
      </c>
      <c r="Z13" s="139">
        <v>0</v>
      </c>
      <c r="AA13" s="139">
        <v>0</v>
      </c>
      <c r="AB13" s="33">
        <v>0</v>
      </c>
      <c r="AC13" s="216">
        <f t="shared" si="17"/>
        <v>77755.521527525</v>
      </c>
      <c r="AE13" s="52" t="s">
        <v>99</v>
      </c>
      <c r="AF13" s="52">
        <v>0.8</v>
      </c>
    </row>
    <row r="14" s="1" customFormat="1" ht="15" spans="2:33">
      <c r="B14" s="217" t="s">
        <v>100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O14" s="181">
        <v>1</v>
      </c>
      <c r="P14" s="215" t="s">
        <v>101</v>
      </c>
      <c r="Q14" s="37">
        <v>2.7863</v>
      </c>
      <c r="R14" s="49" t="s">
        <v>102</v>
      </c>
      <c r="S14" s="163">
        <f t="shared" si="12"/>
        <v>2586.086</v>
      </c>
      <c r="T14" s="136">
        <f t="shared" si="13"/>
        <v>1.68544755970924</v>
      </c>
      <c r="U14" s="136">
        <f>IF(R14=$C$13,SUM($E$16:$E$21),SUM($E$16:$E$20))-6%</f>
        <v>1.47</v>
      </c>
      <c r="V14" s="137">
        <f t="shared" si="14"/>
        <v>2.5171</v>
      </c>
      <c r="W14" s="138">
        <f t="shared" si="15"/>
        <v>0.45</v>
      </c>
      <c r="X14" s="137">
        <f t="shared" si="11"/>
        <v>0.488431876606684</v>
      </c>
      <c r="Y14" s="128">
        <f t="shared" si="16"/>
        <v>0.8</v>
      </c>
      <c r="Z14" s="139">
        <v>0</v>
      </c>
      <c r="AA14" s="139">
        <v>0</v>
      </c>
      <c r="AB14" s="33">
        <v>0</v>
      </c>
      <c r="AC14" s="216">
        <f t="shared" si="17"/>
        <v>25382.2577486066</v>
      </c>
      <c r="AE14" s="54" t="s">
        <v>103</v>
      </c>
      <c r="AF14" s="54">
        <v>0.8</v>
      </c>
    </row>
    <row r="15" s="1" customFormat="1" ht="15" spans="2:33">
      <c r="B15" s="157" t="s">
        <v>55</v>
      </c>
      <c r="C15" s="157"/>
      <c r="D15" s="157" t="s">
        <v>43</v>
      </c>
      <c r="E15" s="157"/>
      <c r="F15" s="157" t="s">
        <v>56</v>
      </c>
      <c r="G15" s="157"/>
      <c r="H15" s="157" t="s">
        <v>57</v>
      </c>
      <c r="I15" s="157"/>
      <c r="J15" s="157" t="s">
        <v>45</v>
      </c>
      <c r="K15" s="157"/>
      <c r="L15" s="157" t="s">
        <v>58</v>
      </c>
      <c r="M15" s="157"/>
      <c r="O15" s="181">
        <v>1</v>
      </c>
      <c r="P15" s="215" t="s">
        <v>104</v>
      </c>
      <c r="Q15" s="37">
        <v>5.5556</v>
      </c>
      <c r="R15" s="49" t="s">
        <v>77</v>
      </c>
      <c r="S15" s="163">
        <f t="shared" si="12"/>
        <v>2586.086</v>
      </c>
      <c r="T15" s="136">
        <f t="shared" si="13"/>
        <v>1.68544755970924</v>
      </c>
      <c r="U15" s="136">
        <f t="shared" ref="U15:U20" si="18">IF(R15=$C$13,SUM($E$16:$E$21),SUM($E$16:$E$20))</f>
        <v>1.976</v>
      </c>
      <c r="V15" s="137">
        <f t="shared" si="14"/>
        <v>2.5171</v>
      </c>
      <c r="W15" s="138">
        <f t="shared" si="15"/>
        <v>0.45</v>
      </c>
      <c r="X15" s="137">
        <f t="shared" si="11"/>
        <v>0.488431876606684</v>
      </c>
      <c r="Y15" s="128">
        <f t="shared" si="16"/>
        <v>0.8</v>
      </c>
      <c r="Z15" s="139">
        <v>0</v>
      </c>
      <c r="AA15" s="139">
        <v>0</v>
      </c>
      <c r="AB15" s="33">
        <v>0</v>
      </c>
      <c r="AC15" s="216">
        <f t="shared" si="17"/>
        <v>60977.4582920859</v>
      </c>
      <c r="AE15" s="55" t="s">
        <v>105</v>
      </c>
      <c r="AF15" s="55">
        <v>0.8</v>
      </c>
    </row>
    <row r="16" s="1" customFormat="1" ht="15" spans="2:33">
      <c r="B16" s="125" t="s">
        <v>60</v>
      </c>
      <c r="C16" s="32">
        <f>375+588</f>
        <v>963</v>
      </c>
      <c r="D16" s="125" t="s">
        <v>61</v>
      </c>
      <c r="E16" s="36">
        <f>E13*30%</f>
        <v>0.3</v>
      </c>
      <c r="F16" s="125" t="s">
        <v>62</v>
      </c>
      <c r="G16" s="218">
        <v>0.13</v>
      </c>
      <c r="H16" s="125" t="s">
        <v>62</v>
      </c>
      <c r="I16" s="218">
        <v>1.5</v>
      </c>
      <c r="J16" s="35" t="s">
        <v>63</v>
      </c>
      <c r="K16" s="36">
        <f>25%+20%</f>
        <v>0.45</v>
      </c>
      <c r="L16" s="125" t="s">
        <v>64</v>
      </c>
      <c r="M16" s="218">
        <f>8.6%*2</f>
        <v>0.172</v>
      </c>
      <c r="O16" s="181">
        <v>1</v>
      </c>
      <c r="P16" s="215" t="s">
        <v>106</v>
      </c>
      <c r="Q16" s="37">
        <v>3.076</v>
      </c>
      <c r="R16" s="49" t="s">
        <v>77</v>
      </c>
      <c r="S16" s="163">
        <f t="shared" si="12"/>
        <v>2586.086</v>
      </c>
      <c r="T16" s="136">
        <f t="shared" si="13"/>
        <v>1.68544755970924</v>
      </c>
      <c r="U16" s="136">
        <f t="shared" si="18"/>
        <v>1.976</v>
      </c>
      <c r="V16" s="137">
        <f t="shared" si="14"/>
        <v>2.5171</v>
      </c>
      <c r="W16" s="138">
        <f t="shared" si="15"/>
        <v>0.45</v>
      </c>
      <c r="X16" s="137">
        <f t="shared" si="11"/>
        <v>0.488431876606684</v>
      </c>
      <c r="Y16" s="128">
        <f t="shared" si="16"/>
        <v>0.8</v>
      </c>
      <c r="Z16" s="139">
        <v>0</v>
      </c>
      <c r="AA16" s="139">
        <v>0</v>
      </c>
      <c r="AB16" s="33">
        <v>0</v>
      </c>
      <c r="AC16" s="216">
        <f t="shared" si="17"/>
        <v>33761.72901333</v>
      </c>
    </row>
    <row r="17" s="1" customFormat="1" ht="15" spans="1:30">
      <c r="B17" s="31" t="s">
        <v>67</v>
      </c>
      <c r="C17" s="33">
        <v>0.24</v>
      </c>
      <c r="D17" s="31" t="s">
        <v>68</v>
      </c>
      <c r="E17" s="33">
        <v>0.1</v>
      </c>
      <c r="F17" s="31" t="s">
        <v>69</v>
      </c>
      <c r="G17" s="34">
        <v>0.243</v>
      </c>
      <c r="H17" s="31" t="s">
        <v>69</v>
      </c>
      <c r="I17" s="34">
        <v>0</v>
      </c>
      <c r="J17" s="37" t="s">
        <v>107</v>
      </c>
      <c r="K17" s="33"/>
      <c r="L17" s="31" t="s">
        <v>108</v>
      </c>
      <c r="M17" s="34">
        <f>1*8.6%</f>
        <v>0.086</v>
      </c>
      <c r="O17" s="181">
        <v>1</v>
      </c>
      <c r="P17" s="215" t="s">
        <v>109</v>
      </c>
      <c r="Q17" s="37">
        <v>12.1672</v>
      </c>
      <c r="R17" s="49" t="s">
        <v>77</v>
      </c>
      <c r="S17" s="163">
        <f t="shared" si="12"/>
        <v>2586.086</v>
      </c>
      <c r="T17" s="136">
        <f t="shared" si="13"/>
        <v>1.68544755970924</v>
      </c>
      <c r="U17" s="136">
        <f t="shared" si="18"/>
        <v>1.976</v>
      </c>
      <c r="V17" s="137">
        <f t="shared" si="14"/>
        <v>2.5171</v>
      </c>
      <c r="W17" s="138">
        <f t="shared" si="15"/>
        <v>0.45</v>
      </c>
      <c r="X17" s="137">
        <f t="shared" si="11"/>
        <v>0.488431876606684</v>
      </c>
      <c r="Y17" s="128">
        <f t="shared" si="16"/>
        <v>0.8</v>
      </c>
      <c r="Z17" s="139">
        <v>0</v>
      </c>
      <c r="AA17" s="139">
        <v>0</v>
      </c>
      <c r="AB17" s="33">
        <v>0</v>
      </c>
      <c r="AC17" s="216">
        <f t="shared" si="17"/>
        <v>133545.419132311</v>
      </c>
    </row>
    <row r="18" s="1" customFormat="1" ht="15" spans="1:30">
      <c r="B18" s="31" t="s">
        <v>73</v>
      </c>
      <c r="C18" s="33">
        <f>18%+18%+M16+(2-E13)*30%</f>
        <v>0.832</v>
      </c>
      <c r="D18" s="31" t="s">
        <v>74</v>
      </c>
      <c r="E18" s="33">
        <v>0.25</v>
      </c>
      <c r="F18" s="31" t="s">
        <v>75</v>
      </c>
      <c r="G18" s="34"/>
      <c r="H18" s="31" t="s">
        <v>75</v>
      </c>
      <c r="I18" s="34">
        <v>0.44</v>
      </c>
      <c r="J18" s="37"/>
      <c r="K18" s="34"/>
      <c r="L18" s="31" t="s">
        <v>56</v>
      </c>
      <c r="M18" s="34">
        <f>8.1*5%</f>
        <v>0.405</v>
      </c>
      <c r="O18" s="181">
        <v>1</v>
      </c>
      <c r="P18" s="215" t="s">
        <v>110</v>
      </c>
      <c r="Q18" s="37">
        <v>2.3262</v>
      </c>
      <c r="R18" s="49" t="s">
        <v>102</v>
      </c>
      <c r="S18" s="163">
        <f t="shared" si="12"/>
        <v>2586.086</v>
      </c>
      <c r="T18" s="136">
        <f t="shared" si="13"/>
        <v>1.68544755970924</v>
      </c>
      <c r="U18" s="136">
        <f t="shared" si="18"/>
        <v>1.53</v>
      </c>
      <c r="V18" s="137">
        <f t="shared" si="14"/>
        <v>2.5171</v>
      </c>
      <c r="W18" s="138">
        <f t="shared" si="15"/>
        <v>0.45</v>
      </c>
      <c r="X18" s="137">
        <f t="shared" si="11"/>
        <v>0.488431876606684</v>
      </c>
      <c r="Y18" s="128">
        <f t="shared" si="16"/>
        <v>0.8</v>
      </c>
      <c r="Z18" s="139">
        <v>0</v>
      </c>
      <c r="AA18" s="139">
        <v>0</v>
      </c>
      <c r="AB18" s="33">
        <v>0</v>
      </c>
      <c r="AC18" s="216">
        <f t="shared" si="17"/>
        <v>21705.6599193576</v>
      </c>
    </row>
    <row r="19" s="1" customFormat="1" ht="15" spans="1:30">
      <c r="B19" s="31" t="s">
        <v>78</v>
      </c>
      <c r="C19" s="39"/>
      <c r="D19" s="31" t="s">
        <v>79</v>
      </c>
      <c r="E19" s="33">
        <v>0.4</v>
      </c>
      <c r="F19" s="31" t="s">
        <v>73</v>
      </c>
      <c r="G19" s="34">
        <f>M18</f>
        <v>0.405</v>
      </c>
      <c r="H19" s="31" t="s">
        <v>73</v>
      </c>
      <c r="I19" s="34">
        <f>M19</f>
        <v>0.81</v>
      </c>
      <c r="J19" s="37"/>
      <c r="K19" s="34"/>
      <c r="L19" s="31" t="s">
        <v>80</v>
      </c>
      <c r="M19" s="33">
        <f>16.2%*5</f>
        <v>0.81</v>
      </c>
      <c r="O19" s="181">
        <v>1</v>
      </c>
      <c r="P19" s="215" t="s">
        <v>111</v>
      </c>
      <c r="Q19" s="37">
        <v>1</v>
      </c>
      <c r="R19" s="49" t="s">
        <v>112</v>
      </c>
      <c r="S19" s="163">
        <f t="shared" si="12"/>
        <v>2586.086</v>
      </c>
      <c r="T19" s="136">
        <f t="shared" si="13"/>
        <v>1.68544755970924</v>
      </c>
      <c r="U19" s="136">
        <f t="shared" si="18"/>
        <v>1.53</v>
      </c>
      <c r="V19" s="137">
        <f t="shared" si="14"/>
        <v>2.5171</v>
      </c>
      <c r="W19" s="138">
        <f t="shared" si="15"/>
        <v>0.45</v>
      </c>
      <c r="X19" s="137">
        <f t="shared" si="11"/>
        <v>0.488431876606684</v>
      </c>
      <c r="Y19" s="128">
        <f t="shared" si="16"/>
        <v>0.8</v>
      </c>
      <c r="Z19" s="139">
        <v>0</v>
      </c>
      <c r="AA19" s="139">
        <v>0</v>
      </c>
      <c r="AB19" s="33">
        <v>0</v>
      </c>
      <c r="AC19" s="216">
        <f t="shared" si="17"/>
        <v>9330.951732163</v>
      </c>
    </row>
    <row r="20" s="1" customFormat="1" ht="15" spans="1:30">
      <c r="B20" s="31" t="s">
        <v>82</v>
      </c>
      <c r="C20" s="39">
        <v>0.25</v>
      </c>
      <c r="D20" s="31" t="s">
        <v>83</v>
      </c>
      <c r="E20" s="184">
        <f>24%+24%</f>
        <v>0.48</v>
      </c>
      <c r="F20" s="31" t="s">
        <v>84</v>
      </c>
      <c r="G20" s="34">
        <v>0</v>
      </c>
      <c r="H20" s="31" t="s">
        <v>84</v>
      </c>
      <c r="I20" s="34">
        <v>0</v>
      </c>
      <c r="J20" s="37"/>
      <c r="K20" s="34"/>
      <c r="L20" s="31"/>
      <c r="M20" s="32"/>
      <c r="O20" s="185">
        <v>1</v>
      </c>
      <c r="P20" s="215" t="s">
        <v>113</v>
      </c>
      <c r="Q20" s="47">
        <v>2.736</v>
      </c>
      <c r="R20" s="147" t="s">
        <v>59</v>
      </c>
      <c r="S20" s="166">
        <f t="shared" si="12"/>
        <v>2586.086</v>
      </c>
      <c r="T20" s="146">
        <f t="shared" si="13"/>
        <v>1.68544755970924</v>
      </c>
      <c r="U20" s="146">
        <f t="shared" si="18"/>
        <v>1.53</v>
      </c>
      <c r="V20" s="148">
        <f t="shared" si="14"/>
        <v>2.5171</v>
      </c>
      <c r="W20" s="149">
        <f t="shared" si="15"/>
        <v>0.45</v>
      </c>
      <c r="X20" s="148">
        <f t="shared" si="11"/>
        <v>0.488431876606684</v>
      </c>
      <c r="Y20" s="128">
        <f t="shared" si="16"/>
        <v>0.8</v>
      </c>
      <c r="Z20" s="150">
        <v>0</v>
      </c>
      <c r="AA20" s="150">
        <v>0</v>
      </c>
      <c r="AB20" s="44">
        <v>0</v>
      </c>
      <c r="AC20" s="216">
        <f t="shared" si="17"/>
        <v>25529.483939198</v>
      </c>
    </row>
    <row r="21" s="1" customFormat="1" spans="1:30">
      <c r="B21" s="31" t="s">
        <v>87</v>
      </c>
      <c r="C21" s="32">
        <v>350</v>
      </c>
      <c r="D21" s="31" t="s">
        <v>114</v>
      </c>
      <c r="E21" s="33">
        <f>36%+M17</f>
        <v>0.446</v>
      </c>
      <c r="F21" s="31" t="s">
        <v>89</v>
      </c>
      <c r="G21" s="34"/>
      <c r="H21" s="31" t="s">
        <v>89</v>
      </c>
      <c r="I21" s="34">
        <v>0.2</v>
      </c>
      <c r="J21" s="37"/>
      <c r="K21" s="34"/>
      <c r="L21" s="31"/>
      <c r="M21" s="32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42" t="s">
        <v>91</v>
      </c>
      <c r="C22" s="43"/>
      <c r="D22" s="42"/>
      <c r="E22" s="44"/>
      <c r="F22" s="45" t="s">
        <v>92</v>
      </c>
      <c r="G22" s="46">
        <f>MIN(100%,SUM(G16:G21))</f>
        <v>0.778</v>
      </c>
      <c r="H22" s="45" t="s">
        <v>93</v>
      </c>
      <c r="I22" s="46">
        <f>SUM(I16:I21)</f>
        <v>2.95</v>
      </c>
      <c r="J22" s="47"/>
      <c r="K22" s="219"/>
      <c r="L22" s="42"/>
      <c r="M22" s="43"/>
      <c r="O22" s="125">
        <v>20</v>
      </c>
      <c r="P22" s="127" t="s">
        <v>115</v>
      </c>
      <c r="Q22" s="127">
        <v>1.0935</v>
      </c>
      <c r="R22" s="128" t="s">
        <v>116</v>
      </c>
      <c r="S22" s="128">
        <v>10027</v>
      </c>
      <c r="T22" s="127">
        <v>0</v>
      </c>
      <c r="U22" s="127">
        <v>0</v>
      </c>
      <c r="V22" s="129">
        <v>1</v>
      </c>
      <c r="W22" s="130">
        <v>0</v>
      </c>
      <c r="X22" s="129">
        <f t="shared" ref="X22:X26" si="19">$AF$3</f>
        <v>0.488431876606684</v>
      </c>
      <c r="Y22" s="128">
        <f t="shared" ref="Y22:Y26" si="20">$AF$13</f>
        <v>0.8</v>
      </c>
      <c r="Z22" s="131">
        <v>1.2</v>
      </c>
      <c r="AA22" s="131">
        <v>0</v>
      </c>
      <c r="AB22" s="131">
        <v>0.5</v>
      </c>
      <c r="AC22" s="132">
        <f t="shared" ref="AC22:AC26" si="21">Q22*$S$26*(1+T22)*(1+U22)*V22*(1+W22)*X22*Y22*(1+Z22)*(1+AA22)*(1+AB22)*O22</f>
        <v>282766.349059126</v>
      </c>
    </row>
    <row r="23" s="1" customFormat="1" ht="15" spans="1:30">
      <c r="B23" s="49"/>
      <c r="C23" s="49"/>
      <c r="E23" s="50"/>
      <c r="F23" s="18" t="s">
        <v>95</v>
      </c>
      <c r="G23" s="51">
        <f>MAX(0,SUM(G16:G21)-1)</f>
        <v>0</v>
      </c>
      <c r="J23" s="2"/>
      <c r="K23" s="2"/>
      <c r="O23" s="31">
        <f t="shared" ref="O23:O25" si="22">$O$26</f>
        <v>1</v>
      </c>
      <c r="P23" s="49" t="s">
        <v>117</v>
      </c>
      <c r="Q23" s="136">
        <v>5.9643</v>
      </c>
      <c r="R23" s="49" t="s">
        <v>116</v>
      </c>
      <c r="S23" s="49">
        <v>10027</v>
      </c>
      <c r="T23" s="136">
        <v>0</v>
      </c>
      <c r="U23" s="136">
        <v>0</v>
      </c>
      <c r="V23" s="137">
        <v>1</v>
      </c>
      <c r="W23" s="138">
        <v>0</v>
      </c>
      <c r="X23" s="137">
        <f t="shared" si="19"/>
        <v>0.488431876606684</v>
      </c>
      <c r="Y23" s="49">
        <f t="shared" si="20"/>
        <v>0.8</v>
      </c>
      <c r="Z23" s="139">
        <v>0</v>
      </c>
      <c r="AA23" s="139">
        <v>0</v>
      </c>
      <c r="AB23" s="139">
        <v>0.5</v>
      </c>
      <c r="AC23" s="140">
        <f t="shared" si="21"/>
        <v>35052.2370971722</v>
      </c>
    </row>
    <row r="24" s="1" customFormat="1" ht="15" spans="1:30">
      <c r="B24" s="49"/>
      <c r="C24" s="49"/>
      <c r="E24" s="50"/>
      <c r="J24" s="2"/>
      <c r="K24" s="2"/>
      <c r="O24" s="31">
        <f t="shared" si="22"/>
        <v>1</v>
      </c>
      <c r="P24" s="49" t="s">
        <v>118</v>
      </c>
      <c r="Q24" s="136">
        <v>18.8075</v>
      </c>
      <c r="R24" s="49" t="s">
        <v>116</v>
      </c>
      <c r="S24" s="49">
        <v>10027</v>
      </c>
      <c r="T24" s="136">
        <v>0</v>
      </c>
      <c r="U24" s="136">
        <v>0</v>
      </c>
      <c r="V24" s="137">
        <v>1</v>
      </c>
      <c r="W24" s="138">
        <v>0</v>
      </c>
      <c r="X24" s="137">
        <f t="shared" si="19"/>
        <v>0.488431876606684</v>
      </c>
      <c r="Y24" s="49">
        <f t="shared" si="20"/>
        <v>0.8</v>
      </c>
      <c r="Z24" s="139">
        <v>0</v>
      </c>
      <c r="AA24" s="139">
        <v>0</v>
      </c>
      <c r="AB24" s="139">
        <v>0.5</v>
      </c>
      <c r="AC24" s="140">
        <f t="shared" si="21"/>
        <v>110531.822544987</v>
      </c>
      <c r="AD24"/>
    </row>
    <row r="25" s="1" customFormat="1" ht="15" spans="1:30">
      <c r="A25" s="94"/>
      <c r="B25" s="95" t="s">
        <v>163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O25" s="31">
        <f t="shared" si="22"/>
        <v>1</v>
      </c>
      <c r="P25" s="49" t="s">
        <v>120</v>
      </c>
      <c r="Q25" s="136">
        <v>2.9822</v>
      </c>
      <c r="R25" s="49" t="s">
        <v>116</v>
      </c>
      <c r="S25" s="49">
        <v>10027</v>
      </c>
      <c r="T25" s="136">
        <v>0</v>
      </c>
      <c r="U25" s="136">
        <v>0</v>
      </c>
      <c r="V25" s="137">
        <v>1</v>
      </c>
      <c r="W25" s="138">
        <v>0</v>
      </c>
      <c r="X25" s="137">
        <f t="shared" si="19"/>
        <v>0.488431876606684</v>
      </c>
      <c r="Y25" s="49">
        <f t="shared" si="20"/>
        <v>0.8</v>
      </c>
      <c r="Z25" s="139">
        <v>0</v>
      </c>
      <c r="AA25" s="139">
        <v>0</v>
      </c>
      <c r="AB25" s="139">
        <v>0.5</v>
      </c>
      <c r="AC25" s="140">
        <f t="shared" si="21"/>
        <v>17526.4123989717</v>
      </c>
      <c r="AD25"/>
    </row>
    <row r="26" s="1" customFormat="1" ht="15" spans="1:30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O26" s="42">
        <v>1</v>
      </c>
      <c r="P26" s="147" t="s">
        <v>123</v>
      </c>
      <c r="Q26" s="146">
        <v>16</v>
      </c>
      <c r="R26" s="147" t="s">
        <v>124</v>
      </c>
      <c r="S26" s="147">
        <v>10027</v>
      </c>
      <c r="T26" s="146">
        <v>0</v>
      </c>
      <c r="U26" s="146">
        <v>0</v>
      </c>
      <c r="V26" s="148">
        <v>1</v>
      </c>
      <c r="W26" s="149">
        <v>0</v>
      </c>
      <c r="X26" s="148">
        <f t="shared" si="19"/>
        <v>0.488431876606684</v>
      </c>
      <c r="Y26" s="147">
        <f t="shared" si="20"/>
        <v>0.8</v>
      </c>
      <c r="Z26" s="150">
        <v>0</v>
      </c>
      <c r="AA26" s="150">
        <v>0</v>
      </c>
      <c r="AB26" s="150">
        <v>0.5</v>
      </c>
      <c r="AC26" s="151">
        <f t="shared" si="21"/>
        <v>94032.1233933162</v>
      </c>
    </row>
    <row r="27" s="1" customFormat="1" spans="1:30">
      <c r="A27" s="94">
        <v>1357</v>
      </c>
      <c r="B27" s="98" t="s">
        <v>60</v>
      </c>
      <c r="C27" s="99">
        <f>288+337</f>
        <v>625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157">
        <v>1</v>
      </c>
      <c r="P28" s="158" t="s">
        <v>130</v>
      </c>
      <c r="Q28" s="159">
        <v>2.0279</v>
      </c>
      <c r="R28" s="128" t="s">
        <v>66</v>
      </c>
      <c r="S28" s="160">
        <f t="shared" ref="S28:S31" si="23">C$34</f>
        <v>1225</v>
      </c>
      <c r="T28" s="127">
        <f t="shared" ref="T28:T31" si="24">S28/$C$27-1</f>
        <v>0.96</v>
      </c>
      <c r="U28" s="127">
        <f t="shared" ref="U28:U31" si="25">E$30</f>
        <v>0.88</v>
      </c>
      <c r="V28" s="129">
        <f t="shared" ref="V28:V31" si="26">1+$G$32*($I$32-1)</f>
        <v>1.4824</v>
      </c>
      <c r="W28" s="130">
        <f t="shared" ref="W28:W33" si="27">K$27</f>
        <v>0.35</v>
      </c>
      <c r="X28" s="129">
        <f t="shared" ref="X28:X33" si="28">$AF$3</f>
        <v>0.488431876606684</v>
      </c>
      <c r="Y28" s="128">
        <f t="shared" ref="Y28:Y33" si="29">$AF$14</f>
        <v>0.8</v>
      </c>
      <c r="Z28" s="131">
        <v>0</v>
      </c>
      <c r="AA28" s="131">
        <v>0</v>
      </c>
      <c r="AB28" s="36">
        <v>0</v>
      </c>
      <c r="AC28" s="29">
        <f t="shared" ref="AC28:AC33" si="30">Q28*$C$27*(1+T28)*(1+U28)*V28*(1+W28)*X28*Y28*(1+Z28)*(1+AA28)*(1+AB28)*O28</f>
        <v>3652.02409824518</v>
      </c>
    </row>
    <row r="29" s="1" customFormat="1" ht="15" spans="1:30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162">
        <v>1</v>
      </c>
      <c r="P29" s="158" t="s">
        <v>135</v>
      </c>
      <c r="Q29" s="37">
        <f>22.27%+16.71%*2+23.86%+23.86%+17.9%*4+41.36%+10.34%*6</f>
        <v>2.7841</v>
      </c>
      <c r="R29" s="49" t="s">
        <v>77</v>
      </c>
      <c r="S29" s="163">
        <f t="shared" si="23"/>
        <v>1225</v>
      </c>
      <c r="T29" s="136">
        <f t="shared" si="24"/>
        <v>0.96</v>
      </c>
      <c r="U29" s="136">
        <f t="shared" si="25"/>
        <v>0.88</v>
      </c>
      <c r="V29" s="137">
        <f t="shared" si="26"/>
        <v>1.4824</v>
      </c>
      <c r="W29" s="138">
        <f t="shared" si="27"/>
        <v>0.35</v>
      </c>
      <c r="X29" s="137">
        <f t="shared" si="28"/>
        <v>0.488431876606684</v>
      </c>
      <c r="Y29" s="49">
        <f t="shared" si="29"/>
        <v>0.8</v>
      </c>
      <c r="Z29" s="139">
        <v>0</v>
      </c>
      <c r="AA29" s="139">
        <v>0</v>
      </c>
      <c r="AB29" s="33">
        <v>0</v>
      </c>
      <c r="AC29" s="29">
        <f t="shared" si="30"/>
        <v>5013.85684300233</v>
      </c>
    </row>
    <row r="30" s="1" customFormat="1" ht="15" spans="1:30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48%+40%</f>
        <v>0.88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162">
        <v>1</v>
      </c>
      <c r="P30" s="158" t="s">
        <v>138</v>
      </c>
      <c r="Q30" s="37">
        <f>39.77%*4</f>
        <v>1.5908</v>
      </c>
      <c r="R30" s="49" t="s">
        <v>102</v>
      </c>
      <c r="S30" s="163">
        <f t="shared" si="23"/>
        <v>1225</v>
      </c>
      <c r="T30" s="136">
        <f t="shared" si="24"/>
        <v>0.96</v>
      </c>
      <c r="U30" s="136">
        <f t="shared" si="25"/>
        <v>0.88</v>
      </c>
      <c r="V30" s="137">
        <f t="shared" si="26"/>
        <v>1.4824</v>
      </c>
      <c r="W30" s="138">
        <f t="shared" si="27"/>
        <v>0.35</v>
      </c>
      <c r="X30" s="137">
        <f t="shared" si="28"/>
        <v>0.488431876606684</v>
      </c>
      <c r="Y30" s="49">
        <f t="shared" si="29"/>
        <v>0.8</v>
      </c>
      <c r="Z30" s="139">
        <v>0</v>
      </c>
      <c r="AA30" s="139">
        <v>0</v>
      </c>
      <c r="AB30" s="33">
        <v>0</v>
      </c>
      <c r="AC30" s="29">
        <f t="shared" si="30"/>
        <v>2864.85523718548</v>
      </c>
      <c r="AD30"/>
    </row>
    <row r="31" s="1" customFormat="1" ht="15" spans="1:30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 t="s">
        <v>141</v>
      </c>
      <c r="I31" s="100">
        <v>0.2</v>
      </c>
      <c r="J31" s="103"/>
      <c r="K31" s="100"/>
      <c r="L31" s="98"/>
      <c r="M31" s="100"/>
      <c r="O31" s="162">
        <v>1</v>
      </c>
      <c r="P31" s="158" t="s">
        <v>142</v>
      </c>
      <c r="Q31" s="37">
        <v>3.51</v>
      </c>
      <c r="R31" s="49" t="s">
        <v>59</v>
      </c>
      <c r="S31" s="163">
        <f t="shared" si="23"/>
        <v>1225</v>
      </c>
      <c r="T31" s="136">
        <f t="shared" si="24"/>
        <v>0.96</v>
      </c>
      <c r="U31" s="136">
        <f t="shared" si="25"/>
        <v>0.88</v>
      </c>
      <c r="V31" s="137">
        <f t="shared" si="26"/>
        <v>1.4824</v>
      </c>
      <c r="W31" s="138">
        <f t="shared" si="27"/>
        <v>0.35</v>
      </c>
      <c r="X31" s="137">
        <f t="shared" si="28"/>
        <v>0.488431876606684</v>
      </c>
      <c r="Y31" s="49">
        <f t="shared" si="29"/>
        <v>0.8</v>
      </c>
      <c r="Z31" s="139">
        <v>0</v>
      </c>
      <c r="AA31" s="139">
        <v>0</v>
      </c>
      <c r="AB31" s="33">
        <v>0</v>
      </c>
      <c r="AC31" s="29">
        <f t="shared" si="30"/>
        <v>6321.12263170797</v>
      </c>
    </row>
    <row r="32" s="1" customFormat="1" ht="15" spans="1:30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1.9</v>
      </c>
      <c r="J32" s="103"/>
      <c r="K32" s="100"/>
      <c r="L32" s="98"/>
      <c r="M32" s="99"/>
      <c r="O32" s="162">
        <v>1</v>
      </c>
      <c r="P32" s="158" t="s">
        <v>144</v>
      </c>
      <c r="Q32" s="37">
        <v>5.2233</v>
      </c>
      <c r="R32" s="49" t="s">
        <v>34</v>
      </c>
      <c r="S32" s="163">
        <f>A34</f>
        <v>3551.269</v>
      </c>
      <c r="T32" s="136">
        <v>0</v>
      </c>
      <c r="U32" s="136">
        <f>E$30+M30</f>
        <v>1.052</v>
      </c>
      <c r="V32" s="137">
        <f>I32+1.6</f>
        <v>3.5</v>
      </c>
      <c r="W32" s="138">
        <f t="shared" si="27"/>
        <v>0.35</v>
      </c>
      <c r="X32" s="137">
        <f t="shared" si="28"/>
        <v>0.488431876606684</v>
      </c>
      <c r="Y32" s="49">
        <f t="shared" si="29"/>
        <v>0.8</v>
      </c>
      <c r="Z32" s="139">
        <v>0</v>
      </c>
      <c r="AA32" s="139">
        <v>0</v>
      </c>
      <c r="AB32" s="33">
        <v>0</v>
      </c>
      <c r="AC32" s="29">
        <f t="shared" si="30"/>
        <v>12367.9620358612</v>
      </c>
    </row>
    <row r="33" s="1" customFormat="1" ht="15" spans="1:29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65">
        <v>1</v>
      </c>
      <c r="P33" s="158" t="s">
        <v>146</v>
      </c>
      <c r="Q33" s="47">
        <f>258.46%</f>
        <v>2.5846</v>
      </c>
      <c r="R33" s="147" t="s">
        <v>102</v>
      </c>
      <c r="S33" s="166">
        <f>C$34</f>
        <v>1225</v>
      </c>
      <c r="T33" s="146">
        <f>S33/$C$27-1</f>
        <v>0.96</v>
      </c>
      <c r="U33" s="146">
        <f>E$30</f>
        <v>0.88</v>
      </c>
      <c r="V33" s="148">
        <f>1+$G$32*($I$32-1)</f>
        <v>1.4824</v>
      </c>
      <c r="W33" s="149">
        <f t="shared" si="27"/>
        <v>0.35</v>
      </c>
      <c r="X33" s="148">
        <f t="shared" si="28"/>
        <v>0.488431876606684</v>
      </c>
      <c r="Y33" s="147">
        <f t="shared" si="29"/>
        <v>0.8</v>
      </c>
      <c r="Z33" s="150">
        <v>0</v>
      </c>
      <c r="AA33" s="150">
        <v>0</v>
      </c>
      <c r="AB33" s="44">
        <v>0</v>
      </c>
      <c r="AC33" s="29">
        <f t="shared" si="30"/>
        <v>4654.57936008901</v>
      </c>
    </row>
    <row r="34" s="1" customFormat="1" spans="1:29">
      <c r="A34" s="94">
        <f>A27*(1+A28+A29+A30+A31)</f>
        <v>3551.269</v>
      </c>
      <c r="B34" s="133"/>
      <c r="C34" s="133">
        <f>C27*(1+C30)+C32</f>
        <v>1225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Q34" s="2"/>
      <c r="U34" s="2"/>
      <c r="V34" s="3"/>
      <c r="AB34" s="4"/>
      <c r="AC34" s="4"/>
    </row>
    <row r="35" s="1" customFormat="1" ht="15" spans="1:29">
      <c r="A35" s="141"/>
      <c r="B35" s="142"/>
      <c r="C35" s="142"/>
      <c r="D35" s="142"/>
      <c r="E35" s="142"/>
      <c r="F35" s="142"/>
      <c r="G35" s="143"/>
      <c r="N35" s="49"/>
      <c r="Q35" s="2"/>
      <c r="U35" s="2"/>
      <c r="V35" s="3"/>
      <c r="AB35" s="4"/>
      <c r="AC35" s="4"/>
    </row>
    <row r="36" s="1" customFormat="1" ht="15" spans="1:29">
      <c r="B36" s="144" t="s">
        <v>148</v>
      </c>
      <c r="C36" s="1"/>
      <c r="D36" s="1"/>
      <c r="E36" s="1"/>
      <c r="F36" s="1"/>
      <c r="G36" s="2"/>
      <c r="N36" s="49"/>
      <c r="Q36" s="2"/>
      <c r="U36" s="2"/>
      <c r="V36" s="3"/>
      <c r="AB36" s="4"/>
      <c r="AC36" s="4"/>
    </row>
    <row r="37" s="1" customFormat="1" spans="1:29">
      <c r="B37" s="152" t="s">
        <v>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N37" s="49"/>
      <c r="Q37" s="2"/>
      <c r="U37" s="2"/>
      <c r="V37" s="3"/>
      <c r="AB37" s="4"/>
      <c r="AC37" s="4"/>
    </row>
    <row r="38" s="1" customFormat="1" ht="15" spans="1:29">
      <c r="B38" s="4" t="s">
        <v>36</v>
      </c>
      <c r="C38" s="154">
        <f>SUM(AC3:AC11)</f>
        <v>1333633.79179021</v>
      </c>
      <c r="D38" s="154">
        <f t="shared" ref="D38:D42" si="31">C38/$E$38</f>
        <v>53345.3516716084</v>
      </c>
      <c r="E38" s="155">
        <v>25</v>
      </c>
      <c r="F38" s="156">
        <f t="shared" ref="F38:F42" si="32">C38/$C$44</f>
        <v>0.571415358563966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100</v>
      </c>
      <c r="C39" s="154">
        <f>SUM(AC12:AC20)</f>
        <v>407969.552680192</v>
      </c>
      <c r="D39" s="154">
        <f t="shared" si="31"/>
        <v>16318.7821072077</v>
      </c>
      <c r="E39" s="161"/>
      <c r="F39" s="156">
        <f t="shared" si="32"/>
        <v>0.174800660918319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163</v>
      </c>
      <c r="C40" s="154">
        <f>SUM(AC28:AC33)+AC25</f>
        <v>52400.8126050629</v>
      </c>
      <c r="D40" s="154">
        <f t="shared" si="31"/>
        <v>2096.03250420251</v>
      </c>
      <c r="E40" s="164"/>
      <c r="F40" s="156">
        <f t="shared" si="32"/>
        <v>0.0224519124425991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116</v>
      </c>
      <c r="C41" s="154">
        <f>SUM(AC22:AC25)</f>
        <v>445876.821100257</v>
      </c>
      <c r="D41" s="154">
        <f t="shared" si="31"/>
        <v>17835.0728440103</v>
      </c>
      <c r="E41" s="164"/>
      <c r="F41" s="156">
        <f t="shared" si="32"/>
        <v>0.191042597430257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123</v>
      </c>
      <c r="C42" s="154">
        <f>AC26</f>
        <v>94032.1233933162</v>
      </c>
      <c r="D42" s="154">
        <f t="shared" si="31"/>
        <v>3761.28493573265</v>
      </c>
      <c r="E42" s="164"/>
      <c r="F42" s="156">
        <f t="shared" si="32"/>
        <v>0.0402894706448584</v>
      </c>
      <c r="G42" s="2"/>
      <c r="H42" s="1"/>
      <c r="Q42" s="2"/>
      <c r="U42" s="2"/>
      <c r="V42" s="3"/>
      <c r="AB42" s="4"/>
      <c r="AC42" s="4"/>
    </row>
    <row r="43" s="1" customFormat="1" ht="15" spans="1:29">
      <c r="B43" s="4"/>
      <c r="C43" s="154"/>
      <c r="D43" s="154"/>
      <c r="E43" s="164"/>
      <c r="F43" s="156"/>
      <c r="G43" s="2"/>
      <c r="Q43" s="2"/>
      <c r="U43" s="2"/>
      <c r="V43" s="3"/>
      <c r="AB43" s="4"/>
      <c r="AC43" s="4"/>
    </row>
    <row r="44" s="1" customFormat="1" ht="15" spans="1:29">
      <c r="B44" s="4" t="s">
        <v>153</v>
      </c>
      <c r="C44" s="167">
        <f>SUM(C38:C42)</f>
        <v>2333913.10156904</v>
      </c>
      <c r="D44" s="167">
        <f>C44/E38</f>
        <v>93356.5240627615</v>
      </c>
      <c r="E44" s="168"/>
      <c r="F44" s="169"/>
      <c r="G44" s="170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95" t="s">
        <v>154</v>
      </c>
      <c r="C46" s="196"/>
      <c r="D46" s="196"/>
      <c r="E46" s="196"/>
      <c r="F46" s="197"/>
      <c r="G46" s="2"/>
      <c r="Q46" s="2"/>
      <c r="U46" s="2"/>
      <c r="V46" s="3"/>
      <c r="AB46" s="4"/>
      <c r="AC46" s="4"/>
    </row>
    <row r="47" s="1" customFormat="1" ht="15" spans="1:29">
      <c r="B47" s="198"/>
      <c r="C47" s="199"/>
      <c r="D47" s="199"/>
      <c r="E47" s="199"/>
      <c r="F47" s="200"/>
      <c r="Q47" s="2"/>
      <c r="U47" s="2"/>
      <c r="V47" s="3"/>
      <c r="AB47" s="4"/>
      <c r="AC47" s="4"/>
    </row>
    <row r="48" s="1" customFormat="1" spans="1:29">
      <c r="B48" s="201"/>
      <c r="C48" s="201"/>
      <c r="D48" s="201"/>
      <c r="E48" s="201"/>
      <c r="F48" s="201"/>
      <c r="G48" s="2"/>
      <c r="Q48" s="2"/>
      <c r="U48" s="2"/>
      <c r="V48" s="3"/>
      <c r="AB48" s="4"/>
      <c r="AC48" s="4"/>
    </row>
    <row r="49" s="1" customFormat="1" ht="15" spans="2:29">
      <c r="B49" s="202" t="s">
        <v>157</v>
      </c>
      <c r="C49" s="203" t="s">
        <v>36</v>
      </c>
      <c r="D49" s="203" t="s">
        <v>158</v>
      </c>
      <c r="E49" s="128"/>
      <c r="F49" s="204"/>
      <c r="G49" s="2"/>
      <c r="Q49" s="2"/>
      <c r="U49" s="2"/>
      <c r="V49" s="3"/>
      <c r="AB49" s="4"/>
      <c r="AC49" s="4"/>
    </row>
    <row r="50" s="1" customFormat="1" ht="15" spans="2:29">
      <c r="B50" s="205"/>
      <c r="C50" s="164" t="s">
        <v>100</v>
      </c>
      <c r="D50" s="164" t="s">
        <v>159</v>
      </c>
      <c r="F50" s="206"/>
      <c r="G50" s="2"/>
      <c r="Q50" s="2"/>
      <c r="U50" s="2"/>
      <c r="V50" s="3"/>
      <c r="AB50" s="4"/>
      <c r="AC50" s="4"/>
    </row>
    <row r="51" s="1" customFormat="1" ht="15" spans="2:29">
      <c r="B51" s="207"/>
      <c r="C51" s="208" t="s">
        <v>160</v>
      </c>
      <c r="D51" s="208" t="s">
        <v>161</v>
      </c>
      <c r="E51" s="147"/>
      <c r="F51" s="43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B16" workbookViewId="0">
      <selection activeCell="H39" sqref="H39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3238.248</v>
      </c>
      <c r="T3" s="176">
        <f t="shared" ref="T3:T11" si="1">S3/$C$4-1</f>
        <v>2.19984980237154</v>
      </c>
      <c r="U3" s="176">
        <f>IF(R3=$C$1,SUM($E$4:$E$9),SUM($E$4:$E$8))-40%</f>
        <v>1.06</v>
      </c>
      <c r="V3" s="177">
        <f t="shared" ref="V3:V11" si="2">1+$G$10*($I$10-1)</f>
        <v>3.2983</v>
      </c>
      <c r="W3" s="178">
        <f t="shared" ref="W3:W9" si="3">IF(R3=$C$1,$K$4+$K$5,$K$4)</f>
        <v>0.4</v>
      </c>
      <c r="X3" s="177">
        <f t="shared" ref="X3:X6" si="4">$AF$3</f>
        <v>0.488431876606684</v>
      </c>
      <c r="Y3" s="174">
        <f t="shared" ref="Y3:Y6" si="5">$AF$14</f>
        <v>0.8</v>
      </c>
      <c r="Z3" s="179">
        <v>0</v>
      </c>
      <c r="AA3" s="179">
        <v>0</v>
      </c>
      <c r="AB3" s="180">
        <v>0</v>
      </c>
      <c r="AC3" s="29">
        <f t="shared" ref="AC3:AC11" si="6">Q3*$C$4*(1+T3)*(1+U3)*V3*(1+W3)*X3*Y3*(1+Z3)*(1+AA3)*(1+AB3)*O3</f>
        <v>32931.0513746788</v>
      </c>
      <c r="AD3" s="16">
        <v>0</v>
      </c>
      <c r="AE3" s="16">
        <v>0</v>
      </c>
      <c r="AF3" s="17">
        <f t="shared" ref="AF3:AF8" si="7"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15%+25%</f>
        <v>0.4</v>
      </c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3238.248</v>
      </c>
      <c r="T4" s="25">
        <f t="shared" si="1"/>
        <v>2.19984980237154</v>
      </c>
      <c r="U4" s="25">
        <f>IF(R4=$C$1,SUM($E$4:$E$9),SUM($E$4:$E$8))-40%</f>
        <v>1.06</v>
      </c>
      <c r="V4" s="177">
        <f t="shared" si="2"/>
        <v>3.2983</v>
      </c>
      <c r="W4" s="27">
        <f t="shared" si="3"/>
        <v>0.4</v>
      </c>
      <c r="X4" s="177">
        <f t="shared" si="4"/>
        <v>0.488431876606684</v>
      </c>
      <c r="Y4" s="23">
        <f t="shared" si="5"/>
        <v>0.8</v>
      </c>
      <c r="Z4" s="28">
        <v>0</v>
      </c>
      <c r="AA4" s="28">
        <v>0</v>
      </c>
      <c r="AB4" s="182">
        <v>0</v>
      </c>
      <c r="AC4" s="29">
        <f t="shared" si="6"/>
        <v>16198.3219810098</v>
      </c>
      <c r="AD4" s="16">
        <v>0</v>
      </c>
      <c r="AE4" s="16">
        <v>0</v>
      </c>
      <c r="AF4" s="17">
        <f>1520/(1520+(792+8*AG4)*(1-AE4/100)*(1-AD4/100))</f>
        <v>0.488431876606684</v>
      </c>
      <c r="AG4" s="30">
        <v>100</v>
      </c>
    </row>
    <row r="5" s="1" customFormat="1" ht="15" spans="2:33">
      <c r="B5" s="31" t="s">
        <v>67</v>
      </c>
      <c r="C5" s="33">
        <f>12%+12.6%*2</f>
        <v>0.372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3238.248</v>
      </c>
      <c r="T5" s="25">
        <f t="shared" si="1"/>
        <v>2.19984980237154</v>
      </c>
      <c r="U5" s="25">
        <f>IF(R5=$C$1,SUM($E$4:$E$9),SUM($E$4:$E$8))-40%</f>
        <v>1.482</v>
      </c>
      <c r="V5" s="177">
        <f t="shared" si="2"/>
        <v>3.2983</v>
      </c>
      <c r="W5" s="27">
        <f t="shared" si="3"/>
        <v>0.65</v>
      </c>
      <c r="X5" s="26">
        <f t="shared" ref="X5:X11" si="8">$AF$4</f>
        <v>0.488431876606684</v>
      </c>
      <c r="Y5" s="23">
        <f t="shared" ref="Y5:Y11" si="9">$AF$12</f>
        <v>0.8</v>
      </c>
      <c r="Z5" s="28">
        <v>0</v>
      </c>
      <c r="AA5" s="28">
        <v>0</v>
      </c>
      <c r="AB5" s="182">
        <v>0</v>
      </c>
      <c r="AC5" s="29">
        <f t="shared" si="6"/>
        <v>171601.995082005</v>
      </c>
      <c r="AD5" s="16">
        <v>0</v>
      </c>
      <c r="AE5" s="16">
        <v>30</v>
      </c>
      <c r="AF5" s="17">
        <f t="shared" si="7"/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3238.248</v>
      </c>
      <c r="T6" s="25">
        <f t="shared" si="1"/>
        <v>2.19984980237154</v>
      </c>
      <c r="U6" s="183">
        <f t="shared" ref="U6:U10" si="10">IF(R6=$C$1,SUM($E$4:$E$9),SUM($E$4:$E$8))</f>
        <v>1.46</v>
      </c>
      <c r="V6" s="177">
        <f t="shared" si="2"/>
        <v>3.2983</v>
      </c>
      <c r="W6" s="27">
        <f t="shared" si="3"/>
        <v>0.4</v>
      </c>
      <c r="X6" s="177">
        <f t="shared" si="4"/>
        <v>0.488431876606684</v>
      </c>
      <c r="Y6" s="23">
        <f t="shared" si="5"/>
        <v>0.8</v>
      </c>
      <c r="Z6" s="28">
        <v>0</v>
      </c>
      <c r="AA6" s="28">
        <v>0</v>
      </c>
      <c r="AB6" s="182">
        <v>0</v>
      </c>
      <c r="AC6" s="29">
        <f t="shared" si="6"/>
        <v>49437.06778372</v>
      </c>
      <c r="AD6" s="16">
        <v>0</v>
      </c>
      <c r="AE6" s="16">
        <v>21.6</v>
      </c>
      <c r="AF6" s="17">
        <f t="shared" si="7"/>
        <v>0.549107555719967</v>
      </c>
      <c r="AG6" s="30">
        <v>100</v>
      </c>
    </row>
    <row r="7" s="1" customFormat="1" ht="15" spans="2:33">
      <c r="B7" s="31" t="s">
        <v>78</v>
      </c>
      <c r="C7" s="34">
        <v>0.1</v>
      </c>
      <c r="D7" s="31" t="s">
        <v>79</v>
      </c>
      <c r="E7" s="33">
        <f>58%+40%-24%</f>
        <v>0.74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3238.248</v>
      </c>
      <c r="T7" s="25">
        <f t="shared" si="1"/>
        <v>2.19984980237154</v>
      </c>
      <c r="U7" s="183">
        <f t="shared" si="10"/>
        <v>1.882</v>
      </c>
      <c r="V7" s="177">
        <f t="shared" si="2"/>
        <v>3.2983</v>
      </c>
      <c r="W7" s="27">
        <f t="shared" si="3"/>
        <v>0.65</v>
      </c>
      <c r="X7" s="26">
        <f t="shared" si="8"/>
        <v>0.488431876606684</v>
      </c>
      <c r="Y7" s="23">
        <f t="shared" si="9"/>
        <v>0.8</v>
      </c>
      <c r="Z7" s="28">
        <v>0</v>
      </c>
      <c r="AA7" s="28">
        <v>0</v>
      </c>
      <c r="AB7" s="182">
        <v>0</v>
      </c>
      <c r="AC7" s="29">
        <f t="shared" si="6"/>
        <v>71028.7000580176</v>
      </c>
      <c r="AD7" s="16">
        <v>0</v>
      </c>
      <c r="AE7" s="16">
        <v>28.8</v>
      </c>
      <c r="AF7" s="17">
        <f t="shared" si="7"/>
        <v>0.572827476423627</v>
      </c>
      <c r="AG7" s="30">
        <v>100</v>
      </c>
    </row>
    <row r="8" s="1" customFormat="1" ht="15" spans="2:33">
      <c r="B8" s="31" t="s">
        <v>82</v>
      </c>
      <c r="C8" s="39">
        <f>25%+30%</f>
        <v>0.55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3238.248</v>
      </c>
      <c r="T8" s="25">
        <f t="shared" si="1"/>
        <v>2.19984980237154</v>
      </c>
      <c r="U8" s="183">
        <f t="shared" si="10"/>
        <v>1.46</v>
      </c>
      <c r="V8" s="177">
        <f t="shared" si="2"/>
        <v>3.2983</v>
      </c>
      <c r="W8" s="27">
        <f t="shared" si="3"/>
        <v>0.4</v>
      </c>
      <c r="X8" s="177">
        <f t="shared" ref="X8:X20" si="11">$AF$3</f>
        <v>0.488431876606684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6"/>
        <v>49437.06778372</v>
      </c>
      <c r="AD8" s="16">
        <v>0</v>
      </c>
      <c r="AE8" s="16">
        <v>36</v>
      </c>
      <c r="AF8" s="17">
        <f t="shared" si="7"/>
        <v>0.598689185782707</v>
      </c>
      <c r="AG8" s="30">
        <v>100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3238.248</v>
      </c>
      <c r="T9" s="25">
        <f t="shared" si="1"/>
        <v>2.19984980237154</v>
      </c>
      <c r="U9" s="183">
        <f t="shared" si="10"/>
        <v>1.882</v>
      </c>
      <c r="V9" s="177">
        <f t="shared" si="2"/>
        <v>3.2983</v>
      </c>
      <c r="W9" s="27">
        <f t="shared" si="3"/>
        <v>0.65</v>
      </c>
      <c r="X9" s="26">
        <f t="shared" si="8"/>
        <v>0.488431876606684</v>
      </c>
      <c r="Y9" s="23">
        <f t="shared" si="9"/>
        <v>0.8</v>
      </c>
      <c r="Z9" s="28">
        <v>0</v>
      </c>
      <c r="AA9" s="28">
        <v>0</v>
      </c>
      <c r="AB9" s="182">
        <v>0</v>
      </c>
      <c r="AC9" s="29">
        <f t="shared" si="6"/>
        <v>71028.7000580176</v>
      </c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3238.248</v>
      </c>
      <c r="T10" s="25">
        <f t="shared" si="1"/>
        <v>2.19984980237154</v>
      </c>
      <c r="U10" s="183">
        <f t="shared" si="10"/>
        <v>1.882</v>
      </c>
      <c r="V10" s="177">
        <f t="shared" si="2"/>
        <v>3.2983</v>
      </c>
      <c r="W10" s="27">
        <f>IF(R10=$C$1,$K$4+$K$5,$K$4)+2</f>
        <v>2.65</v>
      </c>
      <c r="X10" s="26">
        <f t="shared" si="8"/>
        <v>0.488431876606684</v>
      </c>
      <c r="Y10" s="23">
        <f t="shared" si="9"/>
        <v>0.8</v>
      </c>
      <c r="Z10" s="28">
        <v>0</v>
      </c>
      <c r="AA10" s="28">
        <v>0</v>
      </c>
      <c r="AB10" s="182">
        <v>0</v>
      </c>
      <c r="AC10" s="29">
        <f t="shared" si="6"/>
        <v>101851.885509122</v>
      </c>
    </row>
    <row r="11" s="1" customFormat="1" ht="15" spans="2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3238.248</v>
      </c>
      <c r="T11" s="188">
        <f t="shared" si="1"/>
        <v>2.19984980237154</v>
      </c>
      <c r="U11" s="189">
        <f>IF(R11=$C$1,SUM($E$4:$E$9),SUM($E$4:$E$8))+$E$10</f>
        <v>1.882</v>
      </c>
      <c r="V11" s="190">
        <f t="shared" si="2"/>
        <v>3.2983</v>
      </c>
      <c r="W11" s="191">
        <f>IF(R11=$C$1,$K$4+$K$5,$K$4)+$K$6+0.25</f>
        <v>0.9</v>
      </c>
      <c r="X11" s="192">
        <f t="shared" si="8"/>
        <v>0.488431876606684</v>
      </c>
      <c r="Y11" s="186">
        <f t="shared" si="9"/>
        <v>0.8</v>
      </c>
      <c r="Z11" s="193">
        <v>0</v>
      </c>
      <c r="AA11" s="193">
        <v>0</v>
      </c>
      <c r="AB11" s="194">
        <v>0</v>
      </c>
      <c r="AC11" s="29">
        <f t="shared" si="6"/>
        <v>408905.130400297</v>
      </c>
      <c r="AE11"/>
      <c r="AF11"/>
    </row>
    <row r="12" s="1" customFormat="1" ht="15" spans="2:33">
      <c r="B12" s="49"/>
      <c r="C12" s="49"/>
      <c r="E12" s="50"/>
      <c r="G12" s="53"/>
      <c r="J12" s="2"/>
      <c r="K12" s="2"/>
      <c r="O12" s="173">
        <v>1</v>
      </c>
      <c r="P12" s="215" t="s">
        <v>97</v>
      </c>
      <c r="Q12" s="159">
        <v>2.248</v>
      </c>
      <c r="R12" s="128" t="s">
        <v>66</v>
      </c>
      <c r="S12" s="160">
        <f t="shared" ref="S12:S20" si="12">$C$16*(1+$C$17+$C$18+$C$19+$C$20)+($C$21+$C$22)</f>
        <v>2470.526</v>
      </c>
      <c r="T12" s="127">
        <f t="shared" ref="T12:T20" si="13">($C$17+$C$18+$C$19+$C$20)+($C$21+$C$22)/$C$16</f>
        <v>1.56544755970924</v>
      </c>
      <c r="U12" s="127">
        <f>IF(R12=$C$13,SUM($E$16:$E$21),SUM($E$16:$E$20))-12%</f>
        <v>0.77</v>
      </c>
      <c r="V12" s="129">
        <f t="shared" ref="V12:V20" si="14">1+$G$22*($I$22-1)</f>
        <v>2.3615</v>
      </c>
      <c r="W12" s="130">
        <f t="shared" ref="W12:W20" si="15">IF(R12=$C$1,$K$16+$K$17,$K$16)</f>
        <v>0.45</v>
      </c>
      <c r="X12" s="129">
        <f t="shared" si="11"/>
        <v>0.488431876606684</v>
      </c>
      <c r="Y12" s="128">
        <f t="shared" ref="Y12:Y20" si="16">$AF$15</f>
        <v>0.8</v>
      </c>
      <c r="Z12" s="131">
        <v>0</v>
      </c>
      <c r="AA12" s="131">
        <v>0</v>
      </c>
      <c r="AB12" s="36">
        <v>0</v>
      </c>
      <c r="AC12" s="216">
        <f t="shared" ref="AC12:AC20" si="17">Q12*$C$16*(1+T12)*(1+U12)*V12*(1+W12)*X12*Y12*(1+Z12)*(1+AA12)*(1+AB12)*O12</f>
        <v>13152.5190901098</v>
      </c>
      <c r="AE12" s="48" t="s">
        <v>34</v>
      </c>
      <c r="AF12" s="48">
        <v>0.8</v>
      </c>
    </row>
    <row r="13" s="1" customFormat="1" ht="15" spans="2:33">
      <c r="B13" s="5" t="s">
        <v>33</v>
      </c>
      <c r="C13" s="5" t="s">
        <v>77</v>
      </c>
      <c r="D13" s="6" t="s">
        <v>35</v>
      </c>
      <c r="E13" s="6">
        <v>1</v>
      </c>
      <c r="O13" s="181">
        <v>1</v>
      </c>
      <c r="P13" s="215" t="s">
        <v>98</v>
      </c>
      <c r="Q13" s="37">
        <v>8.748</v>
      </c>
      <c r="R13" s="49" t="s">
        <v>34</v>
      </c>
      <c r="S13" s="163">
        <f t="shared" si="12"/>
        <v>2470.526</v>
      </c>
      <c r="T13" s="136">
        <f t="shared" si="13"/>
        <v>1.56544755970924</v>
      </c>
      <c r="U13" s="136">
        <f>IF(R13=$C$13,SUM($E$16:$E$21),SUM($E$16:$E$20))-12%</f>
        <v>0.77</v>
      </c>
      <c r="V13" s="137">
        <f t="shared" si="14"/>
        <v>2.3615</v>
      </c>
      <c r="W13" s="138">
        <f t="shared" si="15"/>
        <v>0.45</v>
      </c>
      <c r="X13" s="137">
        <f t="shared" si="11"/>
        <v>0.488431876606684</v>
      </c>
      <c r="Y13" s="128">
        <f t="shared" si="16"/>
        <v>0.8</v>
      </c>
      <c r="Z13" s="139">
        <v>0</v>
      </c>
      <c r="AA13" s="139">
        <v>0</v>
      </c>
      <c r="AB13" s="33">
        <v>0</v>
      </c>
      <c r="AC13" s="216">
        <f t="shared" si="17"/>
        <v>51182.489768808</v>
      </c>
      <c r="AE13" s="52" t="s">
        <v>99</v>
      </c>
      <c r="AF13" s="52">
        <v>0.8</v>
      </c>
    </row>
    <row r="14" s="1" customFormat="1" ht="15" spans="2:33">
      <c r="B14" s="217" t="s">
        <v>100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O14" s="181">
        <v>1</v>
      </c>
      <c r="P14" s="215" t="s">
        <v>101</v>
      </c>
      <c r="Q14" s="37">
        <v>2.7863</v>
      </c>
      <c r="R14" s="49" t="s">
        <v>102</v>
      </c>
      <c r="S14" s="163">
        <f t="shared" si="12"/>
        <v>2470.526</v>
      </c>
      <c r="T14" s="136">
        <f t="shared" si="13"/>
        <v>1.56544755970924</v>
      </c>
      <c r="U14" s="136">
        <f>IF(R14=$C$13,SUM($E$16:$E$21),SUM($E$16:$E$20))-6%</f>
        <v>0.83</v>
      </c>
      <c r="V14" s="137">
        <f t="shared" si="14"/>
        <v>2.3615</v>
      </c>
      <c r="W14" s="138">
        <f t="shared" si="15"/>
        <v>0.45</v>
      </c>
      <c r="X14" s="137">
        <f t="shared" si="11"/>
        <v>0.488431876606684</v>
      </c>
      <c r="Y14" s="128">
        <f t="shared" si="16"/>
        <v>0.8</v>
      </c>
      <c r="Z14" s="139">
        <v>0</v>
      </c>
      <c r="AA14" s="139">
        <v>0</v>
      </c>
      <c r="AB14" s="33">
        <v>0</v>
      </c>
      <c r="AC14" s="216">
        <f t="shared" si="17"/>
        <v>16854.5954248382</v>
      </c>
      <c r="AE14" s="54" t="s">
        <v>103</v>
      </c>
      <c r="AF14" s="54">
        <v>0.8</v>
      </c>
    </row>
    <row r="15" s="1" customFormat="1" ht="15" spans="2:33">
      <c r="B15" s="157" t="s">
        <v>55</v>
      </c>
      <c r="C15" s="157"/>
      <c r="D15" s="157" t="s">
        <v>43</v>
      </c>
      <c r="E15" s="157"/>
      <c r="F15" s="157" t="s">
        <v>56</v>
      </c>
      <c r="G15" s="157"/>
      <c r="H15" s="157" t="s">
        <v>57</v>
      </c>
      <c r="I15" s="157"/>
      <c r="J15" s="157" t="s">
        <v>45</v>
      </c>
      <c r="K15" s="157"/>
      <c r="L15" s="157" t="s">
        <v>58</v>
      </c>
      <c r="M15" s="157"/>
      <c r="O15" s="181">
        <v>1</v>
      </c>
      <c r="P15" s="215" t="s">
        <v>104</v>
      </c>
      <c r="Q15" s="37">
        <v>5.5556</v>
      </c>
      <c r="R15" s="49" t="s">
        <v>77</v>
      </c>
      <c r="S15" s="163">
        <f t="shared" si="12"/>
        <v>2470.526</v>
      </c>
      <c r="T15" s="136">
        <f t="shared" si="13"/>
        <v>1.56544755970924</v>
      </c>
      <c r="U15" s="136">
        <f t="shared" ref="U15:U20" si="18">IF(R15=$C$13,SUM($E$16:$E$21),SUM($E$16:$E$20))</f>
        <v>1.062</v>
      </c>
      <c r="V15" s="137">
        <f t="shared" si="14"/>
        <v>2.3615</v>
      </c>
      <c r="W15" s="138">
        <f t="shared" si="15"/>
        <v>0.45</v>
      </c>
      <c r="X15" s="137">
        <f t="shared" si="11"/>
        <v>0.488431876606684</v>
      </c>
      <c r="Y15" s="128">
        <f t="shared" si="16"/>
        <v>0.8</v>
      </c>
      <c r="Z15" s="139">
        <v>0</v>
      </c>
      <c r="AA15" s="139">
        <v>0</v>
      </c>
      <c r="AB15" s="33">
        <v>0</v>
      </c>
      <c r="AC15" s="216">
        <f t="shared" si="17"/>
        <v>37866.8341696229</v>
      </c>
      <c r="AE15" s="55" t="s">
        <v>105</v>
      </c>
      <c r="AF15" s="55">
        <v>0.8</v>
      </c>
    </row>
    <row r="16" s="1" customFormat="1" ht="15" spans="2:33">
      <c r="B16" s="125" t="s">
        <v>60</v>
      </c>
      <c r="C16" s="32">
        <f>375+588</f>
        <v>963</v>
      </c>
      <c r="D16" s="125" t="s">
        <v>61</v>
      </c>
      <c r="E16" s="36">
        <f>E13*30%</f>
        <v>0.3</v>
      </c>
      <c r="F16" s="125" t="s">
        <v>62</v>
      </c>
      <c r="G16" s="218">
        <v>0.13</v>
      </c>
      <c r="H16" s="125" t="s">
        <v>62</v>
      </c>
      <c r="I16" s="218">
        <v>1.5</v>
      </c>
      <c r="J16" s="35" t="s">
        <v>63</v>
      </c>
      <c r="K16" s="36">
        <f>25%+20%</f>
        <v>0.45</v>
      </c>
      <c r="L16" s="125" t="s">
        <v>64</v>
      </c>
      <c r="M16" s="218">
        <f>8.6%*2</f>
        <v>0.172</v>
      </c>
      <c r="O16" s="181">
        <v>1</v>
      </c>
      <c r="P16" s="215" t="s">
        <v>106</v>
      </c>
      <c r="Q16" s="37">
        <v>3.076</v>
      </c>
      <c r="R16" s="49" t="s">
        <v>77</v>
      </c>
      <c r="S16" s="163">
        <f t="shared" si="12"/>
        <v>2470.526</v>
      </c>
      <c r="T16" s="136">
        <f t="shared" si="13"/>
        <v>1.56544755970924</v>
      </c>
      <c r="U16" s="136">
        <f t="shared" si="18"/>
        <v>1.062</v>
      </c>
      <c r="V16" s="137">
        <f t="shared" si="14"/>
        <v>2.3615</v>
      </c>
      <c r="W16" s="138">
        <f t="shared" si="15"/>
        <v>0.45</v>
      </c>
      <c r="X16" s="137">
        <f t="shared" si="11"/>
        <v>0.488431876606684</v>
      </c>
      <c r="Y16" s="128">
        <f t="shared" si="16"/>
        <v>0.8</v>
      </c>
      <c r="Z16" s="139">
        <v>0</v>
      </c>
      <c r="AA16" s="139">
        <v>0</v>
      </c>
      <c r="AB16" s="33">
        <v>0</v>
      </c>
      <c r="AC16" s="216">
        <f t="shared" si="17"/>
        <v>20965.9410155087</v>
      </c>
    </row>
    <row r="17" s="1" customFormat="1" ht="15" spans="1:30">
      <c r="B17" s="31" t="s">
        <v>67</v>
      </c>
      <c r="C17" s="33">
        <v>0.12</v>
      </c>
      <c r="D17" s="31" t="s">
        <v>68</v>
      </c>
      <c r="E17" s="33">
        <v>0.1</v>
      </c>
      <c r="F17" s="31" t="s">
        <v>69</v>
      </c>
      <c r="G17" s="34">
        <v>0.243</v>
      </c>
      <c r="H17" s="31" t="s">
        <v>69</v>
      </c>
      <c r="I17" s="34">
        <v>0</v>
      </c>
      <c r="J17" s="37" t="s">
        <v>107</v>
      </c>
      <c r="K17" s="33"/>
      <c r="L17" s="31" t="s">
        <v>108</v>
      </c>
      <c r="M17" s="34">
        <f>2*8.6%</f>
        <v>0.172</v>
      </c>
      <c r="O17" s="181">
        <v>1</v>
      </c>
      <c r="P17" s="215" t="s">
        <v>109</v>
      </c>
      <c r="Q17" s="37">
        <v>12.1672</v>
      </c>
      <c r="R17" s="49" t="s">
        <v>77</v>
      </c>
      <c r="S17" s="163">
        <f t="shared" si="12"/>
        <v>2470.526</v>
      </c>
      <c r="T17" s="136">
        <f t="shared" si="13"/>
        <v>1.56544755970924</v>
      </c>
      <c r="U17" s="136">
        <f t="shared" si="18"/>
        <v>1.062</v>
      </c>
      <c r="V17" s="137">
        <f t="shared" si="14"/>
        <v>2.3615</v>
      </c>
      <c r="W17" s="138">
        <f t="shared" si="15"/>
        <v>0.45</v>
      </c>
      <c r="X17" s="137">
        <f t="shared" si="11"/>
        <v>0.488431876606684</v>
      </c>
      <c r="Y17" s="128">
        <f t="shared" si="16"/>
        <v>0.8</v>
      </c>
      <c r="Z17" s="139">
        <v>0</v>
      </c>
      <c r="AA17" s="139">
        <v>0</v>
      </c>
      <c r="AB17" s="33">
        <v>0</v>
      </c>
      <c r="AC17" s="216">
        <f t="shared" si="17"/>
        <v>82931.3385968456</v>
      </c>
    </row>
    <row r="18" s="1" customFormat="1" ht="15" spans="1:30">
      <c r="B18" s="31" t="s">
        <v>73</v>
      </c>
      <c r="C18" s="33">
        <f>18%+18%+M16+(2-E13)*30%</f>
        <v>0.832</v>
      </c>
      <c r="D18" s="31" t="s">
        <v>74</v>
      </c>
      <c r="E18" s="33">
        <v>0.25</v>
      </c>
      <c r="F18" s="31" t="s">
        <v>75</v>
      </c>
      <c r="G18" s="34"/>
      <c r="H18" s="31" t="s">
        <v>75</v>
      </c>
      <c r="I18" s="34">
        <v>0.44</v>
      </c>
      <c r="J18" s="37"/>
      <c r="K18" s="34"/>
      <c r="L18" s="31" t="s">
        <v>56</v>
      </c>
      <c r="M18" s="34">
        <f>8.1*5%</f>
        <v>0.405</v>
      </c>
      <c r="O18" s="181">
        <v>1</v>
      </c>
      <c r="P18" s="215" t="s">
        <v>110</v>
      </c>
      <c r="Q18" s="37">
        <v>2.3262</v>
      </c>
      <c r="R18" s="49" t="s">
        <v>102</v>
      </c>
      <c r="S18" s="163">
        <f t="shared" si="12"/>
        <v>2470.526</v>
      </c>
      <c r="T18" s="136">
        <f t="shared" si="13"/>
        <v>1.56544755970924</v>
      </c>
      <c r="U18" s="136">
        <f t="shared" si="18"/>
        <v>0.89</v>
      </c>
      <c r="V18" s="137">
        <f t="shared" si="14"/>
        <v>2.3615</v>
      </c>
      <c r="W18" s="138">
        <f t="shared" si="15"/>
        <v>0.45</v>
      </c>
      <c r="X18" s="137">
        <f t="shared" si="11"/>
        <v>0.488431876606684</v>
      </c>
      <c r="Y18" s="128">
        <f t="shared" si="16"/>
        <v>0.8</v>
      </c>
      <c r="Z18" s="139">
        <v>0</v>
      </c>
      <c r="AA18" s="139">
        <v>0</v>
      </c>
      <c r="AB18" s="33">
        <v>0</v>
      </c>
      <c r="AC18" s="216">
        <f t="shared" si="17"/>
        <v>14532.7640702624</v>
      </c>
    </row>
    <row r="19" s="1" customFormat="1" ht="15" spans="1:30">
      <c r="B19" s="31" t="s">
        <v>78</v>
      </c>
      <c r="C19" s="39"/>
      <c r="D19" s="31" t="s">
        <v>79</v>
      </c>
      <c r="E19" s="33"/>
      <c r="F19" s="31" t="s">
        <v>73</v>
      </c>
      <c r="G19" s="34">
        <f>M18</f>
        <v>0.405</v>
      </c>
      <c r="H19" s="31" t="s">
        <v>73</v>
      </c>
      <c r="I19" s="34">
        <f>M19</f>
        <v>0.81</v>
      </c>
      <c r="J19" s="37"/>
      <c r="K19" s="34"/>
      <c r="L19" s="31" t="s">
        <v>80</v>
      </c>
      <c r="M19" s="33">
        <f>16.2%*5</f>
        <v>0.81</v>
      </c>
      <c r="O19" s="181">
        <v>1</v>
      </c>
      <c r="P19" s="215" t="s">
        <v>111</v>
      </c>
      <c r="Q19" s="37">
        <v>1</v>
      </c>
      <c r="R19" s="49" t="s">
        <v>112</v>
      </c>
      <c r="S19" s="163">
        <f t="shared" si="12"/>
        <v>2470.526</v>
      </c>
      <c r="T19" s="136">
        <f t="shared" si="13"/>
        <v>1.56544755970924</v>
      </c>
      <c r="U19" s="136">
        <f t="shared" si="18"/>
        <v>0.89</v>
      </c>
      <c r="V19" s="137">
        <f t="shared" si="14"/>
        <v>2.3615</v>
      </c>
      <c r="W19" s="138">
        <f t="shared" si="15"/>
        <v>0.45</v>
      </c>
      <c r="X19" s="137">
        <f t="shared" si="11"/>
        <v>0.488431876606684</v>
      </c>
      <c r="Y19" s="128">
        <f t="shared" si="16"/>
        <v>0.8</v>
      </c>
      <c r="Z19" s="139">
        <v>0</v>
      </c>
      <c r="AA19" s="139">
        <v>0</v>
      </c>
      <c r="AB19" s="33">
        <v>0</v>
      </c>
      <c r="AC19" s="216">
        <f t="shared" si="17"/>
        <v>6247.4267347014</v>
      </c>
    </row>
    <row r="20" s="1" customFormat="1" ht="15" spans="1:30">
      <c r="B20" s="31" t="s">
        <v>82</v>
      </c>
      <c r="C20" s="39">
        <v>0.25</v>
      </c>
      <c r="D20" s="31" t="s">
        <v>83</v>
      </c>
      <c r="E20" s="184">
        <f>24%</f>
        <v>0.24</v>
      </c>
      <c r="F20" s="31" t="s">
        <v>84</v>
      </c>
      <c r="G20" s="34">
        <v>0</v>
      </c>
      <c r="H20" s="31" t="s">
        <v>84</v>
      </c>
      <c r="I20" s="34">
        <v>0</v>
      </c>
      <c r="J20" s="37"/>
      <c r="K20" s="34"/>
      <c r="L20" s="31"/>
      <c r="M20" s="32"/>
      <c r="O20" s="185">
        <v>1</v>
      </c>
      <c r="P20" s="215" t="s">
        <v>113</v>
      </c>
      <c r="Q20" s="47">
        <v>2.736</v>
      </c>
      <c r="R20" s="147" t="s">
        <v>59</v>
      </c>
      <c r="S20" s="166">
        <f t="shared" si="12"/>
        <v>2470.526</v>
      </c>
      <c r="T20" s="146">
        <f t="shared" si="13"/>
        <v>1.56544755970924</v>
      </c>
      <c r="U20" s="146">
        <f t="shared" si="18"/>
        <v>0.89</v>
      </c>
      <c r="V20" s="148">
        <f t="shared" si="14"/>
        <v>2.3615</v>
      </c>
      <c r="W20" s="149">
        <f t="shared" si="15"/>
        <v>0.45</v>
      </c>
      <c r="X20" s="148">
        <f t="shared" si="11"/>
        <v>0.488431876606684</v>
      </c>
      <c r="Y20" s="128">
        <f t="shared" si="16"/>
        <v>0.8</v>
      </c>
      <c r="Z20" s="150">
        <v>0</v>
      </c>
      <c r="AA20" s="150">
        <v>0</v>
      </c>
      <c r="AB20" s="44">
        <v>0</v>
      </c>
      <c r="AC20" s="216">
        <f t="shared" si="17"/>
        <v>17092.959546143</v>
      </c>
    </row>
    <row r="21" s="1" customFormat="1" spans="1:30">
      <c r="B21" s="31" t="s">
        <v>87</v>
      </c>
      <c r="C21" s="32">
        <v>350</v>
      </c>
      <c r="D21" s="31" t="s">
        <v>114</v>
      </c>
      <c r="E21" s="33">
        <f>M17</f>
        <v>0.172</v>
      </c>
      <c r="F21" s="31" t="s">
        <v>89</v>
      </c>
      <c r="G21" s="34"/>
      <c r="H21" s="31" t="s">
        <v>89</v>
      </c>
      <c r="I21" s="34">
        <v>0</v>
      </c>
      <c r="J21" s="37"/>
      <c r="K21" s="34"/>
      <c r="L21" s="31"/>
      <c r="M21" s="32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42" t="s">
        <v>91</v>
      </c>
      <c r="C22" s="43"/>
      <c r="D22" s="42"/>
      <c r="E22" s="44"/>
      <c r="F22" s="45" t="s">
        <v>92</v>
      </c>
      <c r="G22" s="46">
        <f>MIN(100%,SUM(G16:G21))</f>
        <v>0.778</v>
      </c>
      <c r="H22" s="45" t="s">
        <v>93</v>
      </c>
      <c r="I22" s="46">
        <f>SUM(I16:I21)</f>
        <v>2.75</v>
      </c>
      <c r="J22" s="47"/>
      <c r="K22" s="219"/>
      <c r="L22" s="42"/>
      <c r="M22" s="43"/>
      <c r="O22" s="125">
        <v>20</v>
      </c>
      <c r="P22" s="127" t="s">
        <v>115</v>
      </c>
      <c r="Q22" s="127">
        <v>1.0935</v>
      </c>
      <c r="R22" s="128" t="s">
        <v>116</v>
      </c>
      <c r="S22" s="128">
        <v>10027</v>
      </c>
      <c r="T22" s="127">
        <v>0</v>
      </c>
      <c r="U22" s="127">
        <v>0</v>
      </c>
      <c r="V22" s="129">
        <v>1</v>
      </c>
      <c r="W22" s="130">
        <v>0</v>
      </c>
      <c r="X22" s="129">
        <f t="shared" ref="X22:X26" si="19">$AF$3</f>
        <v>0.488431876606684</v>
      </c>
      <c r="Y22" s="128">
        <f t="shared" ref="Y22:Y26" si="20">$AF$13</f>
        <v>0.8</v>
      </c>
      <c r="Z22" s="131">
        <v>1.2</v>
      </c>
      <c r="AA22" s="131">
        <v>0</v>
      </c>
      <c r="AB22" s="131">
        <v>0.5</v>
      </c>
      <c r="AC22" s="132">
        <f t="shared" ref="AC22:AC26" si="21">Q22*$S$26*(1+T22)*(1+U22)*V22*(1+W22)*X22*Y22*(1+Z22)*(1+AA22)*(1+AB22)*O22</f>
        <v>282766.349059126</v>
      </c>
    </row>
    <row r="23" s="1" customFormat="1" ht="15" spans="1:30">
      <c r="B23" s="49"/>
      <c r="C23" s="49"/>
      <c r="E23" s="50"/>
      <c r="F23" s="18" t="s">
        <v>95</v>
      </c>
      <c r="G23" s="51">
        <f>MAX(0,SUM(G16:G21)-1)</f>
        <v>0</v>
      </c>
      <c r="J23" s="2"/>
      <c r="K23" s="2"/>
      <c r="O23" s="31">
        <v>1</v>
      </c>
      <c r="P23" s="49" t="s">
        <v>117</v>
      </c>
      <c r="Q23" s="136">
        <v>5.9643</v>
      </c>
      <c r="R23" s="49" t="s">
        <v>116</v>
      </c>
      <c r="S23" s="49">
        <v>10027</v>
      </c>
      <c r="T23" s="136">
        <v>0</v>
      </c>
      <c r="U23" s="136">
        <v>0</v>
      </c>
      <c r="V23" s="137">
        <v>1</v>
      </c>
      <c r="W23" s="138">
        <v>0</v>
      </c>
      <c r="X23" s="137">
        <f t="shared" si="19"/>
        <v>0.488431876606684</v>
      </c>
      <c r="Y23" s="49">
        <f t="shared" si="20"/>
        <v>0.8</v>
      </c>
      <c r="Z23" s="139">
        <v>0</v>
      </c>
      <c r="AA23" s="139">
        <v>0</v>
      </c>
      <c r="AB23" s="139">
        <v>0.5</v>
      </c>
      <c r="AC23" s="140">
        <f t="shared" si="21"/>
        <v>35052.2370971722</v>
      </c>
    </row>
    <row r="24" s="1" customFormat="1" ht="15" spans="1:30">
      <c r="B24" s="49"/>
      <c r="C24" s="49"/>
      <c r="E24" s="50"/>
      <c r="J24" s="2"/>
      <c r="K24" s="2"/>
      <c r="O24" s="31">
        <v>1</v>
      </c>
      <c r="P24" s="49" t="s">
        <v>118</v>
      </c>
      <c r="Q24" s="136">
        <v>18.8075</v>
      </c>
      <c r="R24" s="49" t="s">
        <v>116</v>
      </c>
      <c r="S24" s="49">
        <v>10027</v>
      </c>
      <c r="T24" s="136">
        <v>0</v>
      </c>
      <c r="U24" s="136">
        <v>0</v>
      </c>
      <c r="V24" s="137">
        <v>1</v>
      </c>
      <c r="W24" s="138">
        <v>0</v>
      </c>
      <c r="X24" s="137">
        <f t="shared" si="19"/>
        <v>0.488431876606684</v>
      </c>
      <c r="Y24" s="49">
        <f t="shared" si="20"/>
        <v>0.8</v>
      </c>
      <c r="Z24" s="139">
        <v>0</v>
      </c>
      <c r="AA24" s="139">
        <v>0</v>
      </c>
      <c r="AB24" s="139">
        <v>0.5</v>
      </c>
      <c r="AC24" s="140">
        <f t="shared" si="21"/>
        <v>110531.822544987</v>
      </c>
      <c r="AD24"/>
    </row>
    <row r="25" s="1" customFormat="1" ht="15" spans="1:30">
      <c r="A25" s="94"/>
      <c r="B25" s="95" t="s">
        <v>119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O25" s="31">
        <v>1</v>
      </c>
      <c r="P25" s="49" t="s">
        <v>120</v>
      </c>
      <c r="Q25" s="136">
        <v>2.9822</v>
      </c>
      <c r="R25" s="49" t="s">
        <v>116</v>
      </c>
      <c r="S25" s="49">
        <v>10027</v>
      </c>
      <c r="T25" s="136">
        <v>0</v>
      </c>
      <c r="U25" s="136">
        <v>0</v>
      </c>
      <c r="V25" s="137">
        <v>1</v>
      </c>
      <c r="W25" s="138">
        <v>0</v>
      </c>
      <c r="X25" s="137">
        <f t="shared" si="19"/>
        <v>0.488431876606684</v>
      </c>
      <c r="Y25" s="49">
        <f t="shared" si="20"/>
        <v>0.8</v>
      </c>
      <c r="Z25" s="139">
        <v>0</v>
      </c>
      <c r="AA25" s="139">
        <v>0</v>
      </c>
      <c r="AB25" s="139">
        <v>0.5</v>
      </c>
      <c r="AC25" s="140">
        <f t="shared" si="21"/>
        <v>17526.4123989717</v>
      </c>
      <c r="AD25"/>
    </row>
    <row r="26" s="1" customFormat="1" ht="15" spans="1:30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O26" s="42">
        <v>1</v>
      </c>
      <c r="P26" s="147" t="s">
        <v>123</v>
      </c>
      <c r="Q26" s="146">
        <v>16</v>
      </c>
      <c r="R26" s="147" t="s">
        <v>124</v>
      </c>
      <c r="S26" s="147">
        <v>10027</v>
      </c>
      <c r="T26" s="146">
        <v>0</v>
      </c>
      <c r="U26" s="146">
        <v>0</v>
      </c>
      <c r="V26" s="148">
        <v>1</v>
      </c>
      <c r="W26" s="149">
        <v>0</v>
      </c>
      <c r="X26" s="148">
        <f t="shared" si="19"/>
        <v>0.488431876606684</v>
      </c>
      <c r="Y26" s="147">
        <f t="shared" si="20"/>
        <v>0.8</v>
      </c>
      <c r="Z26" s="150">
        <v>0</v>
      </c>
      <c r="AA26" s="150">
        <v>0</v>
      </c>
      <c r="AB26" s="150">
        <v>0.5</v>
      </c>
      <c r="AC26" s="151">
        <f t="shared" si="21"/>
        <v>94032.1233933162</v>
      </c>
    </row>
    <row r="27" s="1" customFormat="1" spans="1:30">
      <c r="A27" s="94">
        <v>1357</v>
      </c>
      <c r="B27" s="98" t="s">
        <v>60</v>
      </c>
      <c r="C27" s="99">
        <f>288+337</f>
        <v>625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157">
        <v>1</v>
      </c>
      <c r="P28" s="158" t="s">
        <v>130</v>
      </c>
      <c r="Q28" s="159">
        <v>2.0279</v>
      </c>
      <c r="R28" s="128" t="s">
        <v>66</v>
      </c>
      <c r="S28" s="160">
        <f t="shared" ref="S28:S31" si="22">C$34</f>
        <v>1225</v>
      </c>
      <c r="T28" s="127">
        <f t="shared" ref="T28:T31" si="23">S28/$C$27-1</f>
        <v>0.96</v>
      </c>
      <c r="U28" s="127">
        <f t="shared" ref="U28:U31" si="24">E$30</f>
        <v>0.24</v>
      </c>
      <c r="V28" s="129">
        <f t="shared" ref="V28:V31" si="25">1+$G$32*($I$32-1)</f>
        <v>1.3752</v>
      </c>
      <c r="W28" s="130">
        <f t="shared" ref="W28:W33" si="26">K$27</f>
        <v>0.35</v>
      </c>
      <c r="X28" s="129">
        <f t="shared" ref="X28:X33" si="27">$AF$3</f>
        <v>0.488431876606684</v>
      </c>
      <c r="Y28" s="128">
        <f t="shared" ref="Y28:Y33" si="28">$AF$14</f>
        <v>0.8</v>
      </c>
      <c r="Z28" s="131">
        <v>0</v>
      </c>
      <c r="AA28" s="131">
        <v>0</v>
      </c>
      <c r="AB28" s="36">
        <v>0</v>
      </c>
      <c r="AC28" s="29">
        <f t="shared" ref="AC28:AC33" si="29">Q28*$C$27*(1+T28)*(1+U28)*V28*(1+W28)*X28*Y28*(1+Z28)*(1+AA28)*(1+AB28)*O28</f>
        <v>2234.59039592366</v>
      </c>
    </row>
    <row r="29" s="1" customFormat="1" ht="15" spans="1:30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162">
        <v>1</v>
      </c>
      <c r="P29" s="158" t="s">
        <v>135</v>
      </c>
      <c r="Q29" s="37">
        <f>22.27%+16.71%*2+23.86%+23.86%+17.9%*4+41.36%+10.34%*6</f>
        <v>2.7841</v>
      </c>
      <c r="R29" s="49" t="s">
        <v>77</v>
      </c>
      <c r="S29" s="163">
        <f t="shared" si="22"/>
        <v>1225</v>
      </c>
      <c r="T29" s="136">
        <f t="shared" si="23"/>
        <v>0.96</v>
      </c>
      <c r="U29" s="136">
        <f t="shared" si="24"/>
        <v>0.24</v>
      </c>
      <c r="V29" s="137">
        <f t="shared" si="25"/>
        <v>1.3752</v>
      </c>
      <c r="W29" s="138">
        <f t="shared" si="26"/>
        <v>0.35</v>
      </c>
      <c r="X29" s="137">
        <f t="shared" si="27"/>
        <v>0.488431876606684</v>
      </c>
      <c r="Y29" s="49">
        <f t="shared" si="28"/>
        <v>0.8</v>
      </c>
      <c r="Z29" s="139">
        <v>0</v>
      </c>
      <c r="AA29" s="139">
        <v>0</v>
      </c>
      <c r="AB29" s="33">
        <v>0</v>
      </c>
      <c r="AC29" s="29">
        <f t="shared" si="29"/>
        <v>3067.86484604323</v>
      </c>
    </row>
    <row r="30" s="1" customFormat="1" ht="15" spans="1:30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24%</f>
        <v>0.24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162">
        <v>1</v>
      </c>
      <c r="P30" s="158" t="s">
        <v>138</v>
      </c>
      <c r="Q30" s="37">
        <f>39.77%*4</f>
        <v>1.5908</v>
      </c>
      <c r="R30" s="49" t="s">
        <v>102</v>
      </c>
      <c r="S30" s="163">
        <f t="shared" si="22"/>
        <v>1225</v>
      </c>
      <c r="T30" s="136">
        <f t="shared" si="23"/>
        <v>0.96</v>
      </c>
      <c r="U30" s="136">
        <f t="shared" si="24"/>
        <v>0.24</v>
      </c>
      <c r="V30" s="137">
        <f t="shared" si="25"/>
        <v>1.3752</v>
      </c>
      <c r="W30" s="138">
        <f t="shared" si="26"/>
        <v>0.35</v>
      </c>
      <c r="X30" s="137">
        <f t="shared" si="27"/>
        <v>0.488431876606684</v>
      </c>
      <c r="Y30" s="49">
        <f t="shared" si="28"/>
        <v>0.8</v>
      </c>
      <c r="Z30" s="139">
        <v>0</v>
      </c>
      <c r="AA30" s="139">
        <v>0</v>
      </c>
      <c r="AB30" s="33">
        <v>0</v>
      </c>
      <c r="AC30" s="29">
        <f t="shared" si="29"/>
        <v>1752.93969221133</v>
      </c>
      <c r="AD30"/>
    </row>
    <row r="31" s="1" customFormat="1" ht="15" spans="1:30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 t="s">
        <v>141</v>
      </c>
      <c r="I31" s="100"/>
      <c r="J31" s="103"/>
      <c r="K31" s="100"/>
      <c r="L31" s="98"/>
      <c r="M31" s="100"/>
      <c r="O31" s="162">
        <v>1</v>
      </c>
      <c r="P31" s="158" t="s">
        <v>142</v>
      </c>
      <c r="Q31" s="37">
        <v>3.51</v>
      </c>
      <c r="R31" s="49" t="s">
        <v>59</v>
      </c>
      <c r="S31" s="163">
        <f t="shared" si="22"/>
        <v>1225</v>
      </c>
      <c r="T31" s="136">
        <f t="shared" si="23"/>
        <v>0.96</v>
      </c>
      <c r="U31" s="136">
        <f t="shared" si="24"/>
        <v>0.24</v>
      </c>
      <c r="V31" s="137">
        <f t="shared" si="25"/>
        <v>1.3752</v>
      </c>
      <c r="W31" s="138">
        <f t="shared" si="26"/>
        <v>0.35</v>
      </c>
      <c r="X31" s="137">
        <f t="shared" si="27"/>
        <v>0.488431876606684</v>
      </c>
      <c r="Y31" s="49">
        <f t="shared" si="28"/>
        <v>0.8</v>
      </c>
      <c r="Z31" s="139">
        <v>0</v>
      </c>
      <c r="AA31" s="139">
        <v>0</v>
      </c>
      <c r="AB31" s="33">
        <v>0</v>
      </c>
      <c r="AC31" s="29">
        <f t="shared" si="29"/>
        <v>3867.75101814293</v>
      </c>
    </row>
    <row r="32" s="1" customFormat="1" ht="15" spans="1:30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1.7</v>
      </c>
      <c r="J32" s="103"/>
      <c r="K32" s="100"/>
      <c r="L32" s="98"/>
      <c r="M32" s="99"/>
      <c r="O32" s="162">
        <v>1</v>
      </c>
      <c r="P32" s="158" t="s">
        <v>144</v>
      </c>
      <c r="Q32" s="37">
        <v>5.2233</v>
      </c>
      <c r="R32" s="49" t="s">
        <v>34</v>
      </c>
      <c r="S32" s="163">
        <f>A34</f>
        <v>3551.269</v>
      </c>
      <c r="T32" s="136">
        <v>0</v>
      </c>
      <c r="U32" s="136">
        <f>E$30+M30</f>
        <v>0.412</v>
      </c>
      <c r="V32" s="137">
        <f>I32+1.6</f>
        <v>3.3</v>
      </c>
      <c r="W32" s="138">
        <f t="shared" si="26"/>
        <v>0.35</v>
      </c>
      <c r="X32" s="137">
        <f t="shared" si="27"/>
        <v>0.488431876606684</v>
      </c>
      <c r="Y32" s="49">
        <f t="shared" si="28"/>
        <v>0.8</v>
      </c>
      <c r="Z32" s="139">
        <v>0</v>
      </c>
      <c r="AA32" s="139">
        <v>0</v>
      </c>
      <c r="AB32" s="33">
        <v>0</v>
      </c>
      <c r="AC32" s="29">
        <f t="shared" si="29"/>
        <v>8024.19324732648</v>
      </c>
    </row>
    <row r="33" s="1" customFormat="1" ht="15" spans="1:29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65">
        <v>1</v>
      </c>
      <c r="P33" s="158" t="s">
        <v>146</v>
      </c>
      <c r="Q33" s="47">
        <f>258.46%</f>
        <v>2.5846</v>
      </c>
      <c r="R33" s="147" t="s">
        <v>102</v>
      </c>
      <c r="S33" s="166">
        <f>C$34</f>
        <v>1225</v>
      </c>
      <c r="T33" s="146">
        <f>S33/$C$27-1</f>
        <v>0.96</v>
      </c>
      <c r="U33" s="146">
        <f>E$30</f>
        <v>0.24</v>
      </c>
      <c r="V33" s="148">
        <f>1+$G$32*($I$32-1)</f>
        <v>1.3752</v>
      </c>
      <c r="W33" s="149">
        <f t="shared" si="26"/>
        <v>0.35</v>
      </c>
      <c r="X33" s="148">
        <f t="shared" si="27"/>
        <v>0.488431876606684</v>
      </c>
      <c r="Y33" s="147">
        <f t="shared" si="28"/>
        <v>0.8</v>
      </c>
      <c r="Z33" s="150">
        <v>0</v>
      </c>
      <c r="AA33" s="150">
        <v>0</v>
      </c>
      <c r="AB33" s="44">
        <v>0</v>
      </c>
      <c r="AC33" s="29">
        <f t="shared" si="29"/>
        <v>2848.03113432827</v>
      </c>
    </row>
    <row r="34" s="1" customFormat="1" spans="1:29">
      <c r="A34" s="94">
        <f>A27*(1+A28+A29+A30+A31)</f>
        <v>3551.269</v>
      </c>
      <c r="B34" s="133"/>
      <c r="C34" s="133">
        <f>C27*(1+C30)+C32</f>
        <v>1225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Q34" s="2"/>
      <c r="U34" s="2"/>
      <c r="V34" s="3"/>
      <c r="AB34" s="4"/>
      <c r="AC34" s="4"/>
    </row>
    <row r="35" s="1" customFormat="1" ht="15" spans="1:29">
      <c r="A35" s="141"/>
      <c r="B35" s="142"/>
      <c r="C35" s="142"/>
      <c r="D35" s="142"/>
      <c r="E35" s="142"/>
      <c r="F35" s="142"/>
      <c r="G35" s="143"/>
      <c r="N35" s="49"/>
      <c r="Q35" s="2"/>
      <c r="U35" s="2"/>
      <c r="V35" s="3"/>
      <c r="AB35" s="4"/>
      <c r="AC35" s="4"/>
    </row>
    <row r="36" s="1" customFormat="1" ht="15" spans="1:29">
      <c r="B36" s="144" t="s">
        <v>148</v>
      </c>
      <c r="G36" s="2"/>
      <c r="N36" s="49"/>
      <c r="Q36" s="2"/>
      <c r="U36" s="2"/>
      <c r="V36" s="3"/>
      <c r="AB36" s="4"/>
      <c r="AC36" s="4"/>
    </row>
    <row r="37" s="1" customFormat="1" spans="1:29">
      <c r="B37" s="152" t="s">
        <v>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N37" s="49"/>
      <c r="Q37" s="2"/>
      <c r="U37" s="2"/>
      <c r="V37" s="3"/>
      <c r="AB37" s="4"/>
      <c r="AC37" s="4"/>
    </row>
    <row r="38" s="1" customFormat="1" ht="15" spans="1:29">
      <c r="B38" s="4" t="s">
        <v>36</v>
      </c>
      <c r="C38" s="154">
        <f>SUM(AC3:AC11)</f>
        <v>972419.920030588</v>
      </c>
      <c r="D38" s="154">
        <f t="shared" ref="D38:D42" si="30">C38/$E$38</f>
        <v>38896.7968012235</v>
      </c>
      <c r="E38" s="155">
        <v>25</v>
      </c>
      <c r="F38" s="156">
        <f t="shared" ref="F38:F42" si="31">C38/$C$44</f>
        <v>0.536514197622476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100</v>
      </c>
      <c r="C39" s="154">
        <f>SUM(AC12:AC20)</f>
        <v>260826.86841684</v>
      </c>
      <c r="D39" s="154">
        <f t="shared" si="30"/>
        <v>10433.0747366736</v>
      </c>
      <c r="E39" s="161"/>
      <c r="F39" s="156">
        <f t="shared" si="31"/>
        <v>0.143906264304666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119</v>
      </c>
      <c r="C40" s="154">
        <f>SUM(AC28:AC33)+AC25</f>
        <v>39321.7827329476</v>
      </c>
      <c r="D40" s="154">
        <f t="shared" si="30"/>
        <v>1572.8713093179</v>
      </c>
      <c r="E40" s="164"/>
      <c r="F40" s="156">
        <f t="shared" si="31"/>
        <v>0.0216950458104449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116</v>
      </c>
      <c r="C41" s="154">
        <f>SUM(AC22:AC25)</f>
        <v>445876.821100257</v>
      </c>
      <c r="D41" s="154">
        <f t="shared" si="30"/>
        <v>17835.0728440103</v>
      </c>
      <c r="E41" s="164"/>
      <c r="F41" s="156">
        <f t="shared" si="31"/>
        <v>0.246004056461061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123</v>
      </c>
      <c r="C42" s="154">
        <f>AC26</f>
        <v>94032.1233933162</v>
      </c>
      <c r="D42" s="154">
        <f t="shared" si="30"/>
        <v>3761.28493573265</v>
      </c>
      <c r="E42" s="164"/>
      <c r="F42" s="156">
        <f t="shared" si="31"/>
        <v>0.051880435801352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54"/>
      <c r="D43" s="154"/>
      <c r="E43" s="164"/>
      <c r="F43" s="156"/>
      <c r="G43" s="2"/>
      <c r="Q43" s="2"/>
      <c r="U43" s="2"/>
      <c r="V43" s="3"/>
      <c r="AB43" s="4"/>
      <c r="AC43" s="4"/>
    </row>
    <row r="44" s="1" customFormat="1" ht="15" spans="1:29">
      <c r="B44" s="4" t="s">
        <v>153</v>
      </c>
      <c r="C44" s="167">
        <f>SUM(C38:C42)</f>
        <v>1812477.51567395</v>
      </c>
      <c r="D44" s="167">
        <f>C44/E38</f>
        <v>72499.100626958</v>
      </c>
      <c r="E44" s="168"/>
      <c r="F44" s="169"/>
      <c r="G44" s="170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95" t="s">
        <v>154</v>
      </c>
      <c r="C46" s="196" t="s">
        <v>155</v>
      </c>
      <c r="D46" s="196" t="s">
        <v>156</v>
      </c>
      <c r="E46" s="196"/>
      <c r="F46" s="197"/>
      <c r="G46" s="2"/>
      <c r="Q46" s="2"/>
      <c r="U46" s="2"/>
      <c r="V46" s="3"/>
      <c r="AB46" s="4"/>
      <c r="AC46" s="4"/>
    </row>
    <row r="47" s="1" customFormat="1" ht="15" spans="1:29">
      <c r="B47" s="198"/>
      <c r="C47" s="199"/>
      <c r="D47" s="199"/>
      <c r="E47" s="199"/>
      <c r="F47" s="200"/>
      <c r="Q47" s="2"/>
      <c r="U47" s="2"/>
      <c r="V47" s="3"/>
      <c r="AB47" s="4"/>
      <c r="AC47" s="4"/>
    </row>
    <row r="48" s="1" customFormat="1" spans="1:29">
      <c r="B48" s="201"/>
      <c r="C48" s="201"/>
      <c r="D48" s="201"/>
      <c r="E48" s="201"/>
      <c r="F48" s="201"/>
      <c r="G48" s="2"/>
      <c r="Q48" s="2"/>
      <c r="U48" s="2"/>
      <c r="V48" s="3"/>
      <c r="AB48" s="4"/>
      <c r="AC48" s="4"/>
    </row>
    <row r="49" s="1" customFormat="1" ht="15" spans="2:29">
      <c r="B49" s="202" t="s">
        <v>157</v>
      </c>
      <c r="C49" s="203" t="s">
        <v>36</v>
      </c>
      <c r="D49" s="203" t="s">
        <v>158</v>
      </c>
      <c r="E49" s="128"/>
      <c r="F49" s="204"/>
      <c r="G49" s="2"/>
      <c r="Q49" s="2"/>
      <c r="U49" s="2"/>
      <c r="V49" s="3"/>
      <c r="AB49" s="4"/>
      <c r="AC49" s="4"/>
    </row>
    <row r="50" s="1" customFormat="1" ht="15" spans="2:29">
      <c r="B50" s="205"/>
      <c r="C50" s="164" t="s">
        <v>100</v>
      </c>
      <c r="D50" s="164" t="s">
        <v>159</v>
      </c>
      <c r="F50" s="206"/>
      <c r="G50" s="2"/>
      <c r="Q50" s="2"/>
      <c r="U50" s="2"/>
      <c r="V50" s="3"/>
      <c r="AB50" s="4"/>
      <c r="AC50" s="4"/>
    </row>
    <row r="51" s="1" customFormat="1" ht="15" spans="2:29">
      <c r="B51" s="207"/>
      <c r="C51" s="208" t="s">
        <v>160</v>
      </c>
      <c r="D51" s="208" t="s">
        <v>161</v>
      </c>
      <c r="E51" s="147"/>
      <c r="F51" s="43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40" workbookViewId="0">
      <selection activeCell="H31" sqref="H31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2882.024</v>
      </c>
      <c r="T3" s="176">
        <f t="shared" ref="T3:T11" si="1">S3/$C$4-1</f>
        <v>1.84784980237154</v>
      </c>
      <c r="U3" s="176">
        <f t="shared" ref="U3:U10" si="2">IF(R3=$C$1,SUM($E$4:$E$9),SUM($E$4:$E$8))</f>
        <v>1.7</v>
      </c>
      <c r="V3" s="177">
        <f t="shared" ref="V3:V11" si="3">1+$G$10*($I$10-1)</f>
        <v>3.2983</v>
      </c>
      <c r="W3" s="178">
        <f t="shared" ref="W3:W9" si="4">IF(R3=$C$1,$K$4+$K$5,$K$4)</f>
        <v>0.4</v>
      </c>
      <c r="X3" s="177">
        <f t="shared" ref="X3:X6" si="5">$AF$3</f>
        <v>0.488431876606684</v>
      </c>
      <c r="Y3" s="174">
        <f t="shared" ref="Y3:Y6" si="6">$AF$14</f>
        <v>0.8</v>
      </c>
      <c r="Z3" s="179">
        <v>0</v>
      </c>
      <c r="AA3" s="179">
        <v>0</v>
      </c>
      <c r="AB3" s="180">
        <v>0</v>
      </c>
      <c r="AC3" s="29">
        <f t="shared" ref="AC3:AC11" si="7">Q3*$C$4*(1+T3)*(1+U3)*V3*(1+W3)*X3*Y3*(1+Z3)*(1+AA3)*(1+AB3)*O3</f>
        <v>38414.0084299952</v>
      </c>
      <c r="AD3" s="16">
        <v>0</v>
      </c>
      <c r="AE3" s="16">
        <v>0</v>
      </c>
      <c r="AF3" s="17">
        <f t="shared" ref="AF3:AF8" si="8"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15%+25%</f>
        <v>0.4</v>
      </c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 t="shared" si="2"/>
        <v>1.7</v>
      </c>
      <c r="V4" s="177">
        <f t="shared" si="3"/>
        <v>3.2983</v>
      </c>
      <c r="W4" s="27">
        <f t="shared" si="4"/>
        <v>0.4</v>
      </c>
      <c r="X4" s="177">
        <f t="shared" si="5"/>
        <v>0.488431876606684</v>
      </c>
      <c r="Y4" s="23">
        <f t="shared" si="6"/>
        <v>0.8</v>
      </c>
      <c r="Z4" s="28">
        <v>0</v>
      </c>
      <c r="AA4" s="28">
        <v>0</v>
      </c>
      <c r="AB4" s="182">
        <v>0</v>
      </c>
      <c r="AC4" s="29">
        <f t="shared" si="7"/>
        <v>18895.3116027367</v>
      </c>
      <c r="AD4" s="16">
        <v>32</v>
      </c>
      <c r="AE4" s="16">
        <v>0</v>
      </c>
      <c r="AF4" s="17">
        <f>1520/(1520+(792+8*AG4)*(1-AE4/100)*(1-AD4/100))</f>
        <v>0.584040329521702</v>
      </c>
      <c r="AG4" s="30">
        <v>100</v>
      </c>
    </row>
    <row r="5" s="1" customFormat="1" ht="15" spans="2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 t="shared" si="2"/>
        <v>2.122</v>
      </c>
      <c r="V5" s="177">
        <f t="shared" si="3"/>
        <v>3.2983</v>
      </c>
      <c r="W5" s="27">
        <f t="shared" si="4"/>
        <v>0.65</v>
      </c>
      <c r="X5" s="26">
        <f t="shared" ref="X5:X11" si="9">$AF$4</f>
        <v>0.584040329521702</v>
      </c>
      <c r="Y5" s="23">
        <f t="shared" ref="Y5:Y11" si="10">$AF$12</f>
        <v>0.9</v>
      </c>
      <c r="Z5" s="28">
        <v>0.4</v>
      </c>
      <c r="AA5" s="28">
        <v>0</v>
      </c>
      <c r="AB5" s="182">
        <v>0</v>
      </c>
      <c r="AC5" s="29">
        <f t="shared" si="7"/>
        <v>361793.147778339</v>
      </c>
      <c r="AD5" s="16">
        <v>0</v>
      </c>
      <c r="AE5" s="16">
        <v>30</v>
      </c>
      <c r="AF5" s="17">
        <f t="shared" si="8"/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si="2"/>
        <v>1.7</v>
      </c>
      <c r="V6" s="177">
        <f t="shared" si="3"/>
        <v>3.2983</v>
      </c>
      <c r="W6" s="27">
        <f t="shared" si="4"/>
        <v>0.4</v>
      </c>
      <c r="X6" s="177">
        <f t="shared" si="5"/>
        <v>0.488431876606684</v>
      </c>
      <c r="Y6" s="23">
        <f t="shared" si="6"/>
        <v>0.8</v>
      </c>
      <c r="Z6" s="28">
        <v>0</v>
      </c>
      <c r="AA6" s="28">
        <v>0</v>
      </c>
      <c r="AB6" s="182">
        <v>0</v>
      </c>
      <c r="AC6" s="29">
        <f t="shared" si="7"/>
        <v>48291.2945888043</v>
      </c>
      <c r="AD6" s="16">
        <v>0</v>
      </c>
      <c r="AE6" s="16">
        <v>21.6</v>
      </c>
      <c r="AF6" s="17">
        <f t="shared" si="8"/>
        <v>0.549107555719967</v>
      </c>
      <c r="AG6" s="30">
        <v>100</v>
      </c>
    </row>
    <row r="7" s="1" customFormat="1" ht="15" spans="2:33">
      <c r="B7" s="31" t="s">
        <v>78</v>
      </c>
      <c r="C7" s="34"/>
      <c r="D7" s="31" t="s">
        <v>79</v>
      </c>
      <c r="E7" s="33">
        <f>58%+40%</f>
        <v>0.98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2"/>
        <v>2.122</v>
      </c>
      <c r="V7" s="177">
        <f t="shared" si="3"/>
        <v>3.2983</v>
      </c>
      <c r="W7" s="27">
        <f t="shared" si="4"/>
        <v>0.65</v>
      </c>
      <c r="X7" s="26">
        <f t="shared" si="9"/>
        <v>0.584040329521702</v>
      </c>
      <c r="Y7" s="23">
        <f t="shared" si="10"/>
        <v>0.9</v>
      </c>
      <c r="Z7" s="28">
        <v>1</v>
      </c>
      <c r="AA7" s="28">
        <v>0</v>
      </c>
      <c r="AB7" s="182">
        <v>0</v>
      </c>
      <c r="AC7" s="29">
        <f t="shared" si="7"/>
        <v>184239.027096597</v>
      </c>
      <c r="AD7" s="16">
        <v>0</v>
      </c>
      <c r="AE7" s="16">
        <v>28.8</v>
      </c>
      <c r="AF7" s="17">
        <f t="shared" si="8"/>
        <v>0.572827476423627</v>
      </c>
      <c r="AG7" s="30">
        <v>100</v>
      </c>
    </row>
    <row r="8" s="1" customFormat="1" ht="15" spans="2:33">
      <c r="B8" s="31" t="s">
        <v>82</v>
      </c>
      <c r="C8" s="39">
        <f>25%+30%</f>
        <v>0.55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2"/>
        <v>1.7</v>
      </c>
      <c r="V8" s="177">
        <f t="shared" si="3"/>
        <v>3.2983</v>
      </c>
      <c r="W8" s="27">
        <f t="shared" si="4"/>
        <v>0.4</v>
      </c>
      <c r="X8" s="177">
        <f t="shared" ref="X8:X20" si="11">$AF$3</f>
        <v>0.488431876606684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7"/>
        <v>48291.2945888043</v>
      </c>
      <c r="AD8" s="16">
        <v>0</v>
      </c>
      <c r="AE8" s="16">
        <v>36</v>
      </c>
      <c r="AF8" s="17">
        <f t="shared" si="8"/>
        <v>0.598689185782707</v>
      </c>
      <c r="AG8" s="30">
        <v>100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2"/>
        <v>2.122</v>
      </c>
      <c r="V9" s="177">
        <f t="shared" si="3"/>
        <v>3.2983</v>
      </c>
      <c r="W9" s="27">
        <f t="shared" si="4"/>
        <v>0.65</v>
      </c>
      <c r="X9" s="26">
        <f t="shared" si="9"/>
        <v>0.584040329521702</v>
      </c>
      <c r="Y9" s="23">
        <f t="shared" si="10"/>
        <v>0.9</v>
      </c>
      <c r="Z9" s="28">
        <v>1</v>
      </c>
      <c r="AA9" s="28">
        <v>0</v>
      </c>
      <c r="AB9" s="182">
        <v>0</v>
      </c>
      <c r="AC9" s="29">
        <f t="shared" si="7"/>
        <v>184239.027096597</v>
      </c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2"/>
        <v>2.122</v>
      </c>
      <c r="V10" s="177">
        <f>1+$G$10*($I$10-1+3)</f>
        <v>6.2323</v>
      </c>
      <c r="W10" s="27">
        <f>IF(R10=$C$1,$K$4+$K$5,$K$4)+2</f>
        <v>2.65</v>
      </c>
      <c r="X10" s="26">
        <f t="shared" si="9"/>
        <v>0.584040329521702</v>
      </c>
      <c r="Y10" s="23">
        <f t="shared" si="10"/>
        <v>0.9</v>
      </c>
      <c r="Z10" s="28">
        <v>0</v>
      </c>
      <c r="AA10" s="28">
        <v>0</v>
      </c>
      <c r="AB10" s="182">
        <v>0</v>
      </c>
      <c r="AC10" s="29">
        <f t="shared" si="7"/>
        <v>249600.262883037</v>
      </c>
    </row>
    <row r="11" s="1" customFormat="1" ht="15" spans="2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2.122</v>
      </c>
      <c r="V11" s="190">
        <f t="shared" si="3"/>
        <v>3.2983</v>
      </c>
      <c r="W11" s="191">
        <f>IF(R11=$C$1,$K$4+$K$5,$K$4)+$K$6+0.25</f>
        <v>0.9</v>
      </c>
      <c r="X11" s="192">
        <f t="shared" si="9"/>
        <v>0.584040329521702</v>
      </c>
      <c r="Y11" s="186">
        <f t="shared" si="10"/>
        <v>0.9</v>
      </c>
      <c r="Z11" s="193">
        <v>1</v>
      </c>
      <c r="AA11" s="193">
        <v>0</v>
      </c>
      <c r="AB11" s="194">
        <v>0</v>
      </c>
      <c r="AC11" s="29">
        <f t="shared" si="7"/>
        <v>1060645.67334362</v>
      </c>
      <c r="AE11"/>
      <c r="AF11"/>
    </row>
    <row r="12" s="1" customFormat="1" ht="15" spans="2:33">
      <c r="B12" s="49"/>
      <c r="C12" s="49"/>
      <c r="E12" s="50"/>
      <c r="G12" s="53"/>
      <c r="J12" s="2"/>
      <c r="K12" s="2"/>
      <c r="O12" s="173">
        <v>1</v>
      </c>
      <c r="P12" s="215" t="s">
        <v>97</v>
      </c>
      <c r="Q12" s="159">
        <v>2.248</v>
      </c>
      <c r="R12" s="128" t="s">
        <v>66</v>
      </c>
      <c r="S12" s="160">
        <f t="shared" ref="S12:S20" si="12">$C$16*(1+$C$17+$C$18+$C$19+$C$20)+($C$21+$C$22)</f>
        <v>2586.086</v>
      </c>
      <c r="T12" s="127">
        <f t="shared" ref="T12:T20" si="13">($C$17+$C$18+$C$19+$C$20)+($C$21+$C$22)/$C$16</f>
        <v>1.68544755970924</v>
      </c>
      <c r="U12" s="127">
        <f>IF(R12=$C$13,SUM($E$16:$E$21),SUM($E$16:$E$20))-12%</f>
        <v>1.41</v>
      </c>
      <c r="V12" s="129">
        <f t="shared" ref="V12:V20" si="14">1+$G$22*($I$22-1)</f>
        <v>2.3615</v>
      </c>
      <c r="W12" s="130">
        <f t="shared" ref="W12:W20" si="15">IF(R12=$C$1,$K$16+$K$17,$K$16)</f>
        <v>0.45</v>
      </c>
      <c r="X12" s="129">
        <f t="shared" si="11"/>
        <v>0.488431876606684</v>
      </c>
      <c r="Y12" s="128">
        <f t="shared" ref="Y12:Y20" si="16">$AF$15</f>
        <v>0.8</v>
      </c>
      <c r="Z12" s="131">
        <v>0</v>
      </c>
      <c r="AA12" s="131">
        <v>0</v>
      </c>
      <c r="AB12" s="36">
        <v>0</v>
      </c>
      <c r="AC12" s="216">
        <f t="shared" ref="AC12:AC20" si="17">Q12*$C$16*(1+T12)*(1+U12)*V12*(1+W12)*X12*Y12*(1+Z12)*(1+AA12)*(1+AB12)*O12</f>
        <v>18745.8980785482</v>
      </c>
      <c r="AE12" s="48" t="s">
        <v>34</v>
      </c>
      <c r="AF12" s="48">
        <v>0.9</v>
      </c>
    </row>
    <row r="13" s="1" customFormat="1" ht="15" spans="2:33">
      <c r="B13" s="5" t="s">
        <v>33</v>
      </c>
      <c r="C13" s="5" t="s">
        <v>77</v>
      </c>
      <c r="D13" s="6" t="s">
        <v>35</v>
      </c>
      <c r="E13" s="6">
        <v>1</v>
      </c>
      <c r="O13" s="181">
        <v>1</v>
      </c>
      <c r="P13" s="215" t="s">
        <v>98</v>
      </c>
      <c r="Q13" s="37">
        <v>8.748</v>
      </c>
      <c r="R13" s="49" t="s">
        <v>34</v>
      </c>
      <c r="S13" s="163">
        <f t="shared" si="12"/>
        <v>2586.086</v>
      </c>
      <c r="T13" s="136">
        <f t="shared" si="13"/>
        <v>1.68544755970924</v>
      </c>
      <c r="U13" s="136">
        <f>IF(R13=$C$13,SUM($E$16:$E$21),SUM($E$16:$E$20))-12%</f>
        <v>1.41</v>
      </c>
      <c r="V13" s="137">
        <f t="shared" si="14"/>
        <v>2.3615</v>
      </c>
      <c r="W13" s="138">
        <f t="shared" si="15"/>
        <v>0.45</v>
      </c>
      <c r="X13" s="137">
        <f t="shared" si="11"/>
        <v>0.488431876606684</v>
      </c>
      <c r="Y13" s="128">
        <f t="shared" si="16"/>
        <v>0.8</v>
      </c>
      <c r="Z13" s="139">
        <v>0</v>
      </c>
      <c r="AA13" s="139">
        <v>0</v>
      </c>
      <c r="AB13" s="33">
        <v>0</v>
      </c>
      <c r="AC13" s="216">
        <f t="shared" si="17"/>
        <v>72948.8951917883</v>
      </c>
      <c r="AE13" s="52" t="s">
        <v>99</v>
      </c>
      <c r="AF13" s="52">
        <v>0.8</v>
      </c>
    </row>
    <row r="14" s="1" customFormat="1" ht="15" spans="2:33">
      <c r="B14" s="217" t="s">
        <v>100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O14" s="181">
        <v>1</v>
      </c>
      <c r="P14" s="215" t="s">
        <v>101</v>
      </c>
      <c r="Q14" s="37">
        <v>2.7863</v>
      </c>
      <c r="R14" s="49" t="s">
        <v>102</v>
      </c>
      <c r="S14" s="163">
        <f t="shared" si="12"/>
        <v>2586.086</v>
      </c>
      <c r="T14" s="136">
        <f t="shared" si="13"/>
        <v>1.68544755970924</v>
      </c>
      <c r="U14" s="136">
        <f>IF(R14=$C$13,SUM($E$16:$E$21),SUM($E$16:$E$20))-6%</f>
        <v>1.47</v>
      </c>
      <c r="V14" s="137">
        <f t="shared" si="14"/>
        <v>2.3615</v>
      </c>
      <c r="W14" s="138">
        <f t="shared" si="15"/>
        <v>0.45</v>
      </c>
      <c r="X14" s="137">
        <f t="shared" si="11"/>
        <v>0.488431876606684</v>
      </c>
      <c r="Y14" s="128">
        <f t="shared" si="16"/>
        <v>0.8</v>
      </c>
      <c r="Z14" s="139">
        <v>0</v>
      </c>
      <c r="AA14" s="139">
        <v>0</v>
      </c>
      <c r="AB14" s="33">
        <v>0</v>
      </c>
      <c r="AC14" s="216">
        <f t="shared" si="17"/>
        <v>23813.1983923302</v>
      </c>
      <c r="AE14" s="54" t="s">
        <v>103</v>
      </c>
      <c r="AF14" s="54">
        <v>0.8</v>
      </c>
    </row>
    <row r="15" s="1" customFormat="1" ht="15" spans="2:33">
      <c r="B15" s="157" t="s">
        <v>55</v>
      </c>
      <c r="C15" s="157"/>
      <c r="D15" s="157" t="s">
        <v>43</v>
      </c>
      <c r="E15" s="157"/>
      <c r="F15" s="157" t="s">
        <v>56</v>
      </c>
      <c r="G15" s="157"/>
      <c r="H15" s="157" t="s">
        <v>57</v>
      </c>
      <c r="I15" s="157"/>
      <c r="J15" s="157" t="s">
        <v>45</v>
      </c>
      <c r="K15" s="157"/>
      <c r="L15" s="157" t="s">
        <v>58</v>
      </c>
      <c r="M15" s="157"/>
      <c r="O15" s="181">
        <v>1</v>
      </c>
      <c r="P15" s="215" t="s">
        <v>104</v>
      </c>
      <c r="Q15" s="37">
        <v>5.5556</v>
      </c>
      <c r="R15" s="49" t="s">
        <v>77</v>
      </c>
      <c r="S15" s="163">
        <f t="shared" si="12"/>
        <v>2586.086</v>
      </c>
      <c r="T15" s="136">
        <f t="shared" si="13"/>
        <v>1.68544755970924</v>
      </c>
      <c r="U15" s="136">
        <f t="shared" ref="U15:U20" si="18">IF(R15=$C$13,SUM($E$16:$E$21),SUM($E$16:$E$20))</f>
        <v>1.976</v>
      </c>
      <c r="V15" s="137">
        <f t="shared" si="14"/>
        <v>2.3615</v>
      </c>
      <c r="W15" s="138">
        <f t="shared" si="15"/>
        <v>0.45</v>
      </c>
      <c r="X15" s="137">
        <f t="shared" si="11"/>
        <v>0.488431876606684</v>
      </c>
      <c r="Y15" s="128">
        <f t="shared" si="16"/>
        <v>0.8</v>
      </c>
      <c r="Z15" s="139">
        <v>0</v>
      </c>
      <c r="AA15" s="139">
        <v>0</v>
      </c>
      <c r="AB15" s="33">
        <v>0</v>
      </c>
      <c r="AC15" s="216">
        <f t="shared" si="17"/>
        <v>57208.0043529303</v>
      </c>
      <c r="AE15" s="55" t="s">
        <v>105</v>
      </c>
      <c r="AF15" s="55">
        <v>0.8</v>
      </c>
    </row>
    <row r="16" s="1" customFormat="1" ht="15" spans="2:33">
      <c r="B16" s="125" t="s">
        <v>60</v>
      </c>
      <c r="C16" s="32">
        <f>375+588</f>
        <v>963</v>
      </c>
      <c r="D16" s="125" t="s">
        <v>61</v>
      </c>
      <c r="E16" s="36">
        <f>E13*30%</f>
        <v>0.3</v>
      </c>
      <c r="F16" s="125" t="s">
        <v>62</v>
      </c>
      <c r="G16" s="218">
        <v>0.13</v>
      </c>
      <c r="H16" s="125" t="s">
        <v>62</v>
      </c>
      <c r="I16" s="218">
        <v>1.5</v>
      </c>
      <c r="J16" s="35" t="s">
        <v>63</v>
      </c>
      <c r="K16" s="36">
        <f>25%+20%</f>
        <v>0.45</v>
      </c>
      <c r="L16" s="125" t="s">
        <v>64</v>
      </c>
      <c r="M16" s="218">
        <f>8.6%*2</f>
        <v>0.172</v>
      </c>
      <c r="O16" s="181">
        <v>1</v>
      </c>
      <c r="P16" s="215" t="s">
        <v>106</v>
      </c>
      <c r="Q16" s="37">
        <v>3.076</v>
      </c>
      <c r="R16" s="49" t="s">
        <v>77</v>
      </c>
      <c r="S16" s="163">
        <f t="shared" si="12"/>
        <v>2586.086</v>
      </c>
      <c r="T16" s="136">
        <f t="shared" si="13"/>
        <v>1.68544755970924</v>
      </c>
      <c r="U16" s="136">
        <f t="shared" si="18"/>
        <v>1.976</v>
      </c>
      <c r="V16" s="137">
        <f t="shared" si="14"/>
        <v>2.3615</v>
      </c>
      <c r="W16" s="138">
        <f t="shared" si="15"/>
        <v>0.45</v>
      </c>
      <c r="X16" s="137">
        <f t="shared" si="11"/>
        <v>0.488431876606684</v>
      </c>
      <c r="Y16" s="128">
        <f t="shared" si="16"/>
        <v>0.8</v>
      </c>
      <c r="Z16" s="139">
        <v>0</v>
      </c>
      <c r="AA16" s="139">
        <v>0</v>
      </c>
      <c r="AB16" s="33">
        <v>0</v>
      </c>
      <c r="AC16" s="216">
        <f t="shared" si="17"/>
        <v>31674.6744527348</v>
      </c>
    </row>
    <row r="17" s="1" customFormat="1" ht="15" spans="1:30">
      <c r="B17" s="31" t="s">
        <v>67</v>
      </c>
      <c r="C17" s="33">
        <v>0.24</v>
      </c>
      <c r="D17" s="31" t="s">
        <v>68</v>
      </c>
      <c r="E17" s="33">
        <v>0.1</v>
      </c>
      <c r="F17" s="31" t="s">
        <v>69</v>
      </c>
      <c r="G17" s="34">
        <v>0.243</v>
      </c>
      <c r="H17" s="31" t="s">
        <v>69</v>
      </c>
      <c r="I17" s="34">
        <v>0</v>
      </c>
      <c r="J17" s="37" t="s">
        <v>107</v>
      </c>
      <c r="K17" s="33"/>
      <c r="L17" s="31" t="s">
        <v>108</v>
      </c>
      <c r="M17" s="34">
        <f>1*8.6%</f>
        <v>0.086</v>
      </c>
      <c r="O17" s="181">
        <v>1</v>
      </c>
      <c r="P17" s="215" t="s">
        <v>109</v>
      </c>
      <c r="Q17" s="37">
        <v>12.1672</v>
      </c>
      <c r="R17" s="49" t="s">
        <v>77</v>
      </c>
      <c r="S17" s="163">
        <f t="shared" si="12"/>
        <v>2586.086</v>
      </c>
      <c r="T17" s="136">
        <f t="shared" si="13"/>
        <v>1.68544755970924</v>
      </c>
      <c r="U17" s="136">
        <f t="shared" si="18"/>
        <v>1.976</v>
      </c>
      <c r="V17" s="137">
        <f t="shared" si="14"/>
        <v>2.3615</v>
      </c>
      <c r="W17" s="138">
        <f t="shared" si="15"/>
        <v>0.45</v>
      </c>
      <c r="X17" s="137">
        <f t="shared" si="11"/>
        <v>0.488431876606684</v>
      </c>
      <c r="Y17" s="128">
        <f t="shared" si="16"/>
        <v>0.8</v>
      </c>
      <c r="Z17" s="139">
        <v>0</v>
      </c>
      <c r="AA17" s="139">
        <v>0</v>
      </c>
      <c r="AB17" s="33">
        <v>0</v>
      </c>
      <c r="AC17" s="216">
        <f t="shared" si="17"/>
        <v>125290.019181182</v>
      </c>
    </row>
    <row r="18" s="1" customFormat="1" ht="15" spans="1:30">
      <c r="B18" s="31" t="s">
        <v>73</v>
      </c>
      <c r="C18" s="33">
        <f>18%+18%+M16+(2-E13)*30%</f>
        <v>0.832</v>
      </c>
      <c r="D18" s="31" t="s">
        <v>74</v>
      </c>
      <c r="E18" s="33">
        <v>0.25</v>
      </c>
      <c r="F18" s="31" t="s">
        <v>75</v>
      </c>
      <c r="G18" s="34"/>
      <c r="H18" s="31" t="s">
        <v>75</v>
      </c>
      <c r="I18" s="34">
        <v>0.44</v>
      </c>
      <c r="J18" s="37"/>
      <c r="K18" s="34"/>
      <c r="L18" s="31" t="s">
        <v>56</v>
      </c>
      <c r="M18" s="34">
        <f>8.1*5%</f>
        <v>0.405</v>
      </c>
      <c r="O18" s="181">
        <v>1</v>
      </c>
      <c r="P18" s="215" t="s">
        <v>110</v>
      </c>
      <c r="Q18" s="37">
        <v>2.3262</v>
      </c>
      <c r="R18" s="49" t="s">
        <v>102</v>
      </c>
      <c r="S18" s="163">
        <f t="shared" si="12"/>
        <v>2586.086</v>
      </c>
      <c r="T18" s="136">
        <f t="shared" si="13"/>
        <v>1.68544755970924</v>
      </c>
      <c r="U18" s="136">
        <f t="shared" si="18"/>
        <v>1.53</v>
      </c>
      <c r="V18" s="137">
        <f t="shared" si="14"/>
        <v>2.3615</v>
      </c>
      <c r="W18" s="138">
        <f t="shared" si="15"/>
        <v>0.45</v>
      </c>
      <c r="X18" s="137">
        <f t="shared" si="11"/>
        <v>0.488431876606684</v>
      </c>
      <c r="Y18" s="128">
        <f t="shared" si="16"/>
        <v>0.8</v>
      </c>
      <c r="Z18" s="139">
        <v>0</v>
      </c>
      <c r="AA18" s="139">
        <v>0</v>
      </c>
      <c r="AB18" s="33">
        <v>0</v>
      </c>
      <c r="AC18" s="216">
        <f t="shared" si="17"/>
        <v>20363.8774381482</v>
      </c>
    </row>
    <row r="19" s="1" customFormat="1" ht="15" spans="1:30">
      <c r="B19" s="31" t="s">
        <v>78</v>
      </c>
      <c r="C19" s="39"/>
      <c r="D19" s="31" t="s">
        <v>79</v>
      </c>
      <c r="E19" s="33">
        <v>0.4</v>
      </c>
      <c r="F19" s="31" t="s">
        <v>73</v>
      </c>
      <c r="G19" s="34">
        <f>M18</f>
        <v>0.405</v>
      </c>
      <c r="H19" s="31" t="s">
        <v>73</v>
      </c>
      <c r="I19" s="34">
        <f>M19</f>
        <v>0.81</v>
      </c>
      <c r="J19" s="37"/>
      <c r="K19" s="34"/>
      <c r="L19" s="31" t="s">
        <v>80</v>
      </c>
      <c r="M19" s="33">
        <f>16.2%*5</f>
        <v>0.81</v>
      </c>
      <c r="O19" s="181">
        <v>1</v>
      </c>
      <c r="P19" s="215" t="s">
        <v>111</v>
      </c>
      <c r="Q19" s="37">
        <v>1</v>
      </c>
      <c r="R19" s="49" t="s">
        <v>112</v>
      </c>
      <c r="S19" s="163">
        <f t="shared" si="12"/>
        <v>2586.086</v>
      </c>
      <c r="T19" s="136">
        <f t="shared" si="13"/>
        <v>1.68544755970924</v>
      </c>
      <c r="U19" s="136">
        <f t="shared" si="18"/>
        <v>1.53</v>
      </c>
      <c r="V19" s="137">
        <f t="shared" si="14"/>
        <v>2.3615</v>
      </c>
      <c r="W19" s="138">
        <f t="shared" si="15"/>
        <v>0.45</v>
      </c>
      <c r="X19" s="137">
        <f t="shared" si="11"/>
        <v>0.488431876606684</v>
      </c>
      <c r="Y19" s="128">
        <f t="shared" si="16"/>
        <v>0.8</v>
      </c>
      <c r="Z19" s="139">
        <v>0</v>
      </c>
      <c r="AA19" s="139">
        <v>0</v>
      </c>
      <c r="AB19" s="33">
        <v>0</v>
      </c>
      <c r="AC19" s="216">
        <f t="shared" si="17"/>
        <v>8754.1386975102</v>
      </c>
    </row>
    <row r="20" s="1" customFormat="1" ht="15" spans="1:30">
      <c r="B20" s="31" t="s">
        <v>82</v>
      </c>
      <c r="C20" s="39">
        <v>0.25</v>
      </c>
      <c r="D20" s="31" t="s">
        <v>83</v>
      </c>
      <c r="E20" s="184">
        <f>24%+24%</f>
        <v>0.48</v>
      </c>
      <c r="F20" s="31" t="s">
        <v>84</v>
      </c>
      <c r="G20" s="34">
        <v>0</v>
      </c>
      <c r="H20" s="31" t="s">
        <v>84</v>
      </c>
      <c r="I20" s="34">
        <v>0</v>
      </c>
      <c r="J20" s="37"/>
      <c r="K20" s="34"/>
      <c r="L20" s="31"/>
      <c r="M20" s="32"/>
      <c r="O20" s="185">
        <v>1</v>
      </c>
      <c r="P20" s="215" t="s">
        <v>113</v>
      </c>
      <c r="Q20" s="47">
        <v>2.736</v>
      </c>
      <c r="R20" s="147" t="s">
        <v>59</v>
      </c>
      <c r="S20" s="166">
        <f t="shared" si="12"/>
        <v>2586.086</v>
      </c>
      <c r="T20" s="146">
        <f t="shared" si="13"/>
        <v>1.68544755970924</v>
      </c>
      <c r="U20" s="146">
        <f t="shared" si="18"/>
        <v>1.53</v>
      </c>
      <c r="V20" s="148">
        <f t="shared" si="14"/>
        <v>2.3615</v>
      </c>
      <c r="W20" s="149">
        <f t="shared" si="15"/>
        <v>0.45</v>
      </c>
      <c r="X20" s="148">
        <f t="shared" si="11"/>
        <v>0.488431876606684</v>
      </c>
      <c r="Y20" s="128">
        <f t="shared" si="16"/>
        <v>0.8</v>
      </c>
      <c r="Z20" s="150">
        <v>0</v>
      </c>
      <c r="AA20" s="150">
        <v>0</v>
      </c>
      <c r="AB20" s="44">
        <v>0</v>
      </c>
      <c r="AC20" s="216">
        <f t="shared" si="17"/>
        <v>23951.3234763879</v>
      </c>
    </row>
    <row r="21" s="1" customFormat="1" spans="1:30">
      <c r="B21" s="31" t="s">
        <v>87</v>
      </c>
      <c r="C21" s="32">
        <v>350</v>
      </c>
      <c r="D21" s="31" t="s">
        <v>114</v>
      </c>
      <c r="E21" s="33">
        <f>36%+M17</f>
        <v>0.446</v>
      </c>
      <c r="F21" s="31" t="s">
        <v>89</v>
      </c>
      <c r="G21" s="34"/>
      <c r="H21" s="31" t="s">
        <v>89</v>
      </c>
      <c r="I21" s="34">
        <v>0</v>
      </c>
      <c r="J21" s="37"/>
      <c r="K21" s="34"/>
      <c r="L21" s="31"/>
      <c r="M21" s="32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42" t="s">
        <v>91</v>
      </c>
      <c r="C22" s="43"/>
      <c r="D22" s="42"/>
      <c r="E22" s="44"/>
      <c r="F22" s="45" t="s">
        <v>92</v>
      </c>
      <c r="G22" s="46">
        <f>MIN(100%,SUM(G16:G21))</f>
        <v>0.778</v>
      </c>
      <c r="H22" s="45" t="s">
        <v>93</v>
      </c>
      <c r="I22" s="46">
        <f>SUM(I16:I21)</f>
        <v>2.75</v>
      </c>
      <c r="J22" s="47"/>
      <c r="K22" s="219"/>
      <c r="L22" s="42"/>
      <c r="M22" s="43"/>
      <c r="O22" s="125">
        <v>20</v>
      </c>
      <c r="P22" s="127" t="s">
        <v>115</v>
      </c>
      <c r="Q22" s="127">
        <v>1.0935</v>
      </c>
      <c r="R22" s="128" t="s">
        <v>116</v>
      </c>
      <c r="S22" s="128">
        <v>10027</v>
      </c>
      <c r="T22" s="127">
        <v>0</v>
      </c>
      <c r="U22" s="127">
        <v>0</v>
      </c>
      <c r="V22" s="129">
        <v>1</v>
      </c>
      <c r="W22" s="130">
        <v>0</v>
      </c>
      <c r="X22" s="129">
        <f t="shared" ref="X22:X26" si="19">$AF$3</f>
        <v>0.488431876606684</v>
      </c>
      <c r="Y22" s="128">
        <f t="shared" ref="Y22:Y26" si="20">$AF$13</f>
        <v>0.8</v>
      </c>
      <c r="Z22" s="131">
        <v>1.2</v>
      </c>
      <c r="AA22" s="131">
        <v>0.8</v>
      </c>
      <c r="AB22" s="131">
        <v>0.5</v>
      </c>
      <c r="AC22" s="132">
        <f t="shared" ref="AC22:AC26" si="21">Q22*$S$26*(1+T22)*(1+U22)*V22*(1+W22)*X22*Y22*(1+Z22)*(1+AA22)*(1+AB22)*O22</f>
        <v>508979.428306427</v>
      </c>
    </row>
    <row r="23" s="1" customFormat="1" ht="15" spans="1:30">
      <c r="B23" s="49"/>
      <c r="C23" s="49"/>
      <c r="E23" s="50"/>
      <c r="F23" s="18" t="s">
        <v>95</v>
      </c>
      <c r="G23" s="51">
        <f>MAX(0,SUM(G16:G21)-1)</f>
        <v>0</v>
      </c>
      <c r="J23" s="2"/>
      <c r="K23" s="2"/>
      <c r="O23" s="31">
        <f t="shared" ref="O23:O25" si="22">$O$26</f>
        <v>1</v>
      </c>
      <c r="P23" s="49" t="s">
        <v>117</v>
      </c>
      <c r="Q23" s="136">
        <v>5.9643</v>
      </c>
      <c r="R23" s="49" t="s">
        <v>116</v>
      </c>
      <c r="S23" s="49">
        <v>10027</v>
      </c>
      <c r="T23" s="136">
        <v>0</v>
      </c>
      <c r="U23" s="136">
        <v>0</v>
      </c>
      <c r="V23" s="137">
        <v>1</v>
      </c>
      <c r="W23" s="138">
        <v>0</v>
      </c>
      <c r="X23" s="137">
        <f t="shared" si="19"/>
        <v>0.488431876606684</v>
      </c>
      <c r="Y23" s="49">
        <f t="shared" si="20"/>
        <v>0.8</v>
      </c>
      <c r="Z23" s="139">
        <v>0</v>
      </c>
      <c r="AA23" s="139">
        <v>0</v>
      </c>
      <c r="AB23" s="139">
        <v>0.5</v>
      </c>
      <c r="AC23" s="140">
        <f t="shared" si="21"/>
        <v>35052.2370971722</v>
      </c>
    </row>
    <row r="24" s="1" customFormat="1" ht="15" spans="1:30">
      <c r="B24" s="49"/>
      <c r="C24" s="49"/>
      <c r="E24" s="50"/>
      <c r="J24" s="2"/>
      <c r="K24" s="2"/>
      <c r="O24" s="31">
        <f t="shared" si="22"/>
        <v>1</v>
      </c>
      <c r="P24" s="49" t="s">
        <v>118</v>
      </c>
      <c r="Q24" s="136">
        <v>18.8075</v>
      </c>
      <c r="R24" s="49" t="s">
        <v>116</v>
      </c>
      <c r="S24" s="49">
        <v>10027</v>
      </c>
      <c r="T24" s="136">
        <v>0</v>
      </c>
      <c r="U24" s="136">
        <v>0</v>
      </c>
      <c r="V24" s="137">
        <v>1</v>
      </c>
      <c r="W24" s="138">
        <v>0</v>
      </c>
      <c r="X24" s="137">
        <f t="shared" si="19"/>
        <v>0.488431876606684</v>
      </c>
      <c r="Y24" s="49">
        <f t="shared" si="20"/>
        <v>0.8</v>
      </c>
      <c r="Z24" s="139">
        <v>0</v>
      </c>
      <c r="AA24" s="139">
        <v>0</v>
      </c>
      <c r="AB24" s="139">
        <v>0.5</v>
      </c>
      <c r="AC24" s="140">
        <f t="shared" si="21"/>
        <v>110531.822544987</v>
      </c>
      <c r="AD24"/>
    </row>
    <row r="25" s="1" customFormat="1" ht="15" spans="1:30">
      <c r="A25" s="94"/>
      <c r="B25" s="95" t="s">
        <v>163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O25" s="31">
        <f t="shared" si="22"/>
        <v>1</v>
      </c>
      <c r="P25" s="49" t="s">
        <v>120</v>
      </c>
      <c r="Q25" s="136">
        <v>2.9822</v>
      </c>
      <c r="R25" s="49" t="s">
        <v>116</v>
      </c>
      <c r="S25" s="49">
        <v>10027</v>
      </c>
      <c r="T25" s="136">
        <v>0</v>
      </c>
      <c r="U25" s="136">
        <v>0</v>
      </c>
      <c r="V25" s="137">
        <v>1</v>
      </c>
      <c r="W25" s="138">
        <v>0</v>
      </c>
      <c r="X25" s="137">
        <f t="shared" si="19"/>
        <v>0.488431876606684</v>
      </c>
      <c r="Y25" s="49">
        <f t="shared" si="20"/>
        <v>0.8</v>
      </c>
      <c r="Z25" s="139">
        <v>0</v>
      </c>
      <c r="AA25" s="139">
        <v>0</v>
      </c>
      <c r="AB25" s="139">
        <v>0.5</v>
      </c>
      <c r="AC25" s="140">
        <f t="shared" si="21"/>
        <v>17526.4123989717</v>
      </c>
      <c r="AD25"/>
    </row>
    <row r="26" s="1" customFormat="1" ht="15" spans="1:30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O26" s="42">
        <v>1</v>
      </c>
      <c r="P26" s="147" t="s">
        <v>123</v>
      </c>
      <c r="Q26" s="146">
        <v>16</v>
      </c>
      <c r="R26" s="147" t="s">
        <v>124</v>
      </c>
      <c r="S26" s="147">
        <v>10027</v>
      </c>
      <c r="T26" s="146">
        <v>0</v>
      </c>
      <c r="U26" s="146">
        <v>0</v>
      </c>
      <c r="V26" s="148">
        <v>1</v>
      </c>
      <c r="W26" s="149">
        <v>0</v>
      </c>
      <c r="X26" s="148">
        <f t="shared" si="19"/>
        <v>0.488431876606684</v>
      </c>
      <c r="Y26" s="147">
        <f t="shared" si="20"/>
        <v>0.8</v>
      </c>
      <c r="Z26" s="150">
        <v>0</v>
      </c>
      <c r="AA26" s="150">
        <v>0</v>
      </c>
      <c r="AB26" s="150">
        <v>0.5</v>
      </c>
      <c r="AC26" s="151">
        <f t="shared" si="21"/>
        <v>94032.1233933162</v>
      </c>
    </row>
    <row r="27" s="1" customFormat="1" spans="1:30">
      <c r="A27" s="94">
        <v>1357</v>
      </c>
      <c r="B27" s="98" t="s">
        <v>60</v>
      </c>
      <c r="C27" s="99">
        <f>288+337</f>
        <v>625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157">
        <v>1</v>
      </c>
      <c r="P28" s="158" t="s">
        <v>130</v>
      </c>
      <c r="Q28" s="159">
        <v>2.0279</v>
      </c>
      <c r="R28" s="128" t="s">
        <v>66</v>
      </c>
      <c r="S28" s="160">
        <f t="shared" ref="S28:S31" si="23">C$34</f>
        <v>1225</v>
      </c>
      <c r="T28" s="127">
        <f t="shared" ref="T28:T31" si="24">S28/$C$27-1</f>
        <v>0.96</v>
      </c>
      <c r="U28" s="127">
        <f t="shared" ref="U28:U31" si="25">E$30</f>
        <v>0.88</v>
      </c>
      <c r="V28" s="129">
        <f t="shared" ref="V28:V31" si="26">1+$G$32*($I$32-1)</f>
        <v>1.3752</v>
      </c>
      <c r="W28" s="130">
        <f t="shared" ref="W28:W33" si="27">K$27</f>
        <v>0.35</v>
      </c>
      <c r="X28" s="129">
        <f t="shared" ref="X28:X33" si="28">$AF$3</f>
        <v>0.488431876606684</v>
      </c>
      <c r="Y28" s="128">
        <f t="shared" ref="Y28:Y33" si="29">$AF$14</f>
        <v>0.8</v>
      </c>
      <c r="Z28" s="131">
        <v>0</v>
      </c>
      <c r="AA28" s="131">
        <v>0</v>
      </c>
      <c r="AB28" s="36">
        <v>0</v>
      </c>
      <c r="AC28" s="29">
        <f t="shared" ref="AC28:AC33" si="30">Q28*$C$27*(1+T28)*(1+U28)*V28*(1+W28)*X28*Y28*(1+Z28)*(1+AA28)*(1+AB28)*O28</f>
        <v>3387.9273744649</v>
      </c>
    </row>
    <row r="29" s="1" customFormat="1" ht="15" spans="1:30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162">
        <v>1</v>
      </c>
      <c r="P29" s="158" t="s">
        <v>135</v>
      </c>
      <c r="Q29" s="37">
        <f>22.27%+16.71%*2+23.86%+23.86%+17.9%*4+41.36%+10.34%*6</f>
        <v>2.7841</v>
      </c>
      <c r="R29" s="49" t="s">
        <v>77</v>
      </c>
      <c r="S29" s="163">
        <f t="shared" si="23"/>
        <v>1225</v>
      </c>
      <c r="T29" s="136">
        <f t="shared" si="24"/>
        <v>0.96</v>
      </c>
      <c r="U29" s="136">
        <f t="shared" si="25"/>
        <v>0.88</v>
      </c>
      <c r="V29" s="137">
        <f t="shared" si="26"/>
        <v>1.3752</v>
      </c>
      <c r="W29" s="138">
        <f t="shared" si="27"/>
        <v>0.35</v>
      </c>
      <c r="X29" s="137">
        <f t="shared" si="28"/>
        <v>0.488431876606684</v>
      </c>
      <c r="Y29" s="49">
        <f t="shared" si="29"/>
        <v>0.8</v>
      </c>
      <c r="Z29" s="139">
        <v>0</v>
      </c>
      <c r="AA29" s="139">
        <v>0</v>
      </c>
      <c r="AB29" s="33">
        <v>0</v>
      </c>
      <c r="AC29" s="29">
        <f t="shared" si="30"/>
        <v>4651.27896013006</v>
      </c>
    </row>
    <row r="30" s="1" customFormat="1" ht="15" spans="1:30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48%+40%</f>
        <v>0.88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162">
        <v>1</v>
      </c>
      <c r="P30" s="158" t="s">
        <v>138</v>
      </c>
      <c r="Q30" s="37">
        <f>39.77%*4</f>
        <v>1.5908</v>
      </c>
      <c r="R30" s="49" t="s">
        <v>102</v>
      </c>
      <c r="S30" s="163">
        <f t="shared" si="23"/>
        <v>1225</v>
      </c>
      <c r="T30" s="136">
        <f t="shared" si="24"/>
        <v>0.96</v>
      </c>
      <c r="U30" s="136">
        <f t="shared" si="25"/>
        <v>0.88</v>
      </c>
      <c r="V30" s="137">
        <f t="shared" si="26"/>
        <v>1.3752</v>
      </c>
      <c r="W30" s="138">
        <f t="shared" si="27"/>
        <v>0.35</v>
      </c>
      <c r="X30" s="137">
        <f t="shared" si="28"/>
        <v>0.488431876606684</v>
      </c>
      <c r="Y30" s="49">
        <f t="shared" si="29"/>
        <v>0.8</v>
      </c>
      <c r="Z30" s="139">
        <v>0</v>
      </c>
      <c r="AA30" s="139">
        <v>0</v>
      </c>
      <c r="AB30" s="33">
        <v>0</v>
      </c>
      <c r="AC30" s="29">
        <f t="shared" si="30"/>
        <v>2657.68275915912</v>
      </c>
      <c r="AD30"/>
    </row>
    <row r="31" s="1" customFormat="1" ht="15" spans="1:30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 t="s">
        <v>141</v>
      </c>
      <c r="I31" s="100"/>
      <c r="J31" s="103"/>
      <c r="K31" s="100"/>
      <c r="L31" s="98"/>
      <c r="M31" s="100"/>
      <c r="O31" s="162">
        <v>1</v>
      </c>
      <c r="P31" s="158" t="s">
        <v>142</v>
      </c>
      <c r="Q31" s="37">
        <v>3.51</v>
      </c>
      <c r="R31" s="49" t="s">
        <v>59</v>
      </c>
      <c r="S31" s="163">
        <f t="shared" si="23"/>
        <v>1225</v>
      </c>
      <c r="T31" s="136">
        <f t="shared" si="24"/>
        <v>0.96</v>
      </c>
      <c r="U31" s="136">
        <f t="shared" si="25"/>
        <v>0.88</v>
      </c>
      <c r="V31" s="137">
        <f t="shared" si="26"/>
        <v>1.3752</v>
      </c>
      <c r="W31" s="138">
        <f t="shared" si="27"/>
        <v>0.35</v>
      </c>
      <c r="X31" s="137">
        <f t="shared" si="28"/>
        <v>0.488431876606684</v>
      </c>
      <c r="Y31" s="49">
        <f t="shared" si="29"/>
        <v>0.8</v>
      </c>
      <c r="Z31" s="139">
        <v>0</v>
      </c>
      <c r="AA31" s="139">
        <v>0</v>
      </c>
      <c r="AB31" s="33">
        <v>0</v>
      </c>
      <c r="AC31" s="29">
        <f t="shared" si="30"/>
        <v>5864.00960815219</v>
      </c>
    </row>
    <row r="32" s="1" customFormat="1" ht="15" spans="1:30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1.7</v>
      </c>
      <c r="J32" s="103"/>
      <c r="K32" s="100"/>
      <c r="L32" s="98"/>
      <c r="M32" s="99"/>
      <c r="O32" s="162">
        <v>1</v>
      </c>
      <c r="P32" s="158" t="s">
        <v>144</v>
      </c>
      <c r="Q32" s="37">
        <v>5.2233</v>
      </c>
      <c r="R32" s="49" t="s">
        <v>34</v>
      </c>
      <c r="S32" s="163">
        <f>A34</f>
        <v>3551.269</v>
      </c>
      <c r="T32" s="136">
        <v>0</v>
      </c>
      <c r="U32" s="136">
        <f>E$30+M30</f>
        <v>1.052</v>
      </c>
      <c r="V32" s="137">
        <f>I32+1.6</f>
        <v>3.3</v>
      </c>
      <c r="W32" s="138">
        <f t="shared" si="27"/>
        <v>0.35</v>
      </c>
      <c r="X32" s="137">
        <f t="shared" si="28"/>
        <v>0.488431876606684</v>
      </c>
      <c r="Y32" s="49">
        <f t="shared" si="29"/>
        <v>0.8</v>
      </c>
      <c r="Z32" s="139">
        <v>0</v>
      </c>
      <c r="AA32" s="139">
        <v>0</v>
      </c>
      <c r="AB32" s="33">
        <v>0</v>
      </c>
      <c r="AC32" s="29">
        <f t="shared" si="30"/>
        <v>11661.2213480977</v>
      </c>
    </row>
    <row r="33" s="1" customFormat="1" ht="15" spans="1:29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65">
        <v>1</v>
      </c>
      <c r="P33" s="158" t="s">
        <v>146</v>
      </c>
      <c r="Q33" s="47">
        <f>258.46%</f>
        <v>2.5846</v>
      </c>
      <c r="R33" s="147" t="s">
        <v>102</v>
      </c>
      <c r="S33" s="166">
        <f>C$34</f>
        <v>1225</v>
      </c>
      <c r="T33" s="146">
        <f>S33/$C$27-1</f>
        <v>0.96</v>
      </c>
      <c r="U33" s="146">
        <f>E$30</f>
        <v>0.88</v>
      </c>
      <c r="V33" s="148">
        <f>1+$G$32*($I$32-1)</f>
        <v>1.3752</v>
      </c>
      <c r="W33" s="149">
        <f t="shared" si="27"/>
        <v>0.35</v>
      </c>
      <c r="X33" s="148">
        <f t="shared" si="28"/>
        <v>0.488431876606684</v>
      </c>
      <c r="Y33" s="147">
        <f t="shared" si="29"/>
        <v>0.8</v>
      </c>
      <c r="Z33" s="150">
        <v>0</v>
      </c>
      <c r="AA33" s="150">
        <v>0</v>
      </c>
      <c r="AB33" s="44">
        <v>0</v>
      </c>
      <c r="AC33" s="29">
        <f t="shared" si="30"/>
        <v>4317.98268752995</v>
      </c>
    </row>
    <row r="34" s="1" customFormat="1" spans="1:29">
      <c r="A34" s="94">
        <f>A27*(1+A28+A29+A30+A31)</f>
        <v>3551.269</v>
      </c>
      <c r="B34" s="133"/>
      <c r="C34" s="133">
        <f>C27*(1+C30)+C32</f>
        <v>1225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Q34" s="2"/>
      <c r="U34" s="2"/>
      <c r="V34" s="3"/>
      <c r="AB34" s="4"/>
      <c r="AC34" s="4"/>
    </row>
    <row r="35" s="1" customFormat="1" ht="15" spans="1:29">
      <c r="A35" s="141"/>
      <c r="B35" s="142"/>
      <c r="C35" s="142"/>
      <c r="D35" s="142"/>
      <c r="E35" s="142"/>
      <c r="F35" s="142"/>
      <c r="G35" s="143"/>
      <c r="N35" s="49"/>
      <c r="Q35" s="2"/>
      <c r="U35" s="2"/>
      <c r="V35" s="3"/>
      <c r="AB35" s="4"/>
      <c r="AC35" s="4"/>
    </row>
    <row r="36" s="1" customFormat="1" ht="15" spans="1:29">
      <c r="B36" s="144" t="s">
        <v>148</v>
      </c>
      <c r="G36" s="2"/>
      <c r="N36" s="49"/>
      <c r="Q36" s="2"/>
      <c r="U36" s="2"/>
      <c r="V36" s="3"/>
      <c r="AB36" s="4"/>
      <c r="AC36" s="4"/>
    </row>
    <row r="37" s="1" customFormat="1" spans="1:29">
      <c r="B37" s="152" t="s">
        <v>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N37" s="49"/>
      <c r="Q37" s="2"/>
      <c r="U37" s="2"/>
      <c r="V37" s="3"/>
      <c r="AB37" s="4"/>
      <c r="AC37" s="4"/>
    </row>
    <row r="38" s="1" customFormat="1" ht="15" spans="1:29">
      <c r="B38" s="4" t="s">
        <v>36</v>
      </c>
      <c r="C38" s="154">
        <f>SUM(AC3:AC11)</f>
        <v>2194409.04740853</v>
      </c>
      <c r="D38" s="154">
        <f t="shared" ref="D38:D42" si="31">C38/$E$38</f>
        <v>87776.3618963411</v>
      </c>
      <c r="E38" s="155">
        <v>25</v>
      </c>
      <c r="F38" s="156">
        <f t="shared" ref="F38:F42" si="32">C38/$C$44</f>
        <v>0.646679708661233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100</v>
      </c>
      <c r="C39" s="154">
        <f>SUM(AC12:AC20)</f>
        <v>382750.02926156</v>
      </c>
      <c r="D39" s="154">
        <f t="shared" si="31"/>
        <v>15310.0011704624</v>
      </c>
      <c r="E39" s="161"/>
      <c r="F39" s="156">
        <f t="shared" si="32"/>
        <v>0.112794229364506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163</v>
      </c>
      <c r="C40" s="154">
        <f>SUM(AC28:AC33)+AC25</f>
        <v>50066.5151365056</v>
      </c>
      <c r="D40" s="154">
        <f t="shared" si="31"/>
        <v>2002.66060546022</v>
      </c>
      <c r="E40" s="164"/>
      <c r="F40" s="156">
        <f t="shared" si="32"/>
        <v>0.0147543136774769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116</v>
      </c>
      <c r="C41" s="154">
        <f>SUM(AC22:AC25)</f>
        <v>672089.900347558</v>
      </c>
      <c r="D41" s="154">
        <f t="shared" si="31"/>
        <v>26883.5960139023</v>
      </c>
      <c r="E41" s="164"/>
      <c r="F41" s="156">
        <f t="shared" si="32"/>
        <v>0.19806102306413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123</v>
      </c>
      <c r="C42" s="154">
        <f>AC26</f>
        <v>94032.1233933162</v>
      </c>
      <c r="D42" s="154">
        <f t="shared" si="31"/>
        <v>3761.28493573265</v>
      </c>
      <c r="E42" s="164"/>
      <c r="F42" s="156">
        <f t="shared" si="32"/>
        <v>0.0277107252326536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54"/>
      <c r="D43" s="154"/>
      <c r="E43" s="164"/>
      <c r="F43" s="156"/>
      <c r="G43" s="2"/>
      <c r="Q43" s="2"/>
      <c r="U43" s="2"/>
      <c r="V43" s="3"/>
      <c r="AB43" s="4"/>
      <c r="AC43" s="4"/>
    </row>
    <row r="44" s="1" customFormat="1" ht="15" spans="1:29">
      <c r="B44" s="4" t="s">
        <v>153</v>
      </c>
      <c r="C44" s="167">
        <f>SUM(C38:C42)</f>
        <v>3393347.61554747</v>
      </c>
      <c r="D44" s="167">
        <f>C44/E38</f>
        <v>135733.904621899</v>
      </c>
      <c r="E44" s="168"/>
      <c r="F44" s="169"/>
      <c r="G44" s="170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95" t="s">
        <v>154</v>
      </c>
      <c r="C46" s="196"/>
      <c r="D46" s="196"/>
      <c r="E46" s="196"/>
      <c r="F46" s="197"/>
      <c r="G46" s="2"/>
      <c r="Q46" s="2"/>
      <c r="U46" s="2"/>
      <c r="V46" s="3"/>
      <c r="AB46" s="4"/>
      <c r="AC46" s="4"/>
    </row>
    <row r="47" s="1" customFormat="1" ht="15" spans="1:29">
      <c r="B47" s="198"/>
      <c r="C47" s="199"/>
      <c r="D47" s="199"/>
      <c r="E47" s="199"/>
      <c r="F47" s="200"/>
      <c r="Q47" s="2"/>
      <c r="U47" s="2"/>
      <c r="V47" s="3"/>
      <c r="AB47" s="4"/>
      <c r="AC47" s="4"/>
    </row>
    <row r="48" s="1" customFormat="1" spans="1:29">
      <c r="B48" s="201"/>
      <c r="C48" s="201"/>
      <c r="D48" s="201"/>
      <c r="E48" s="201"/>
      <c r="F48" s="201"/>
      <c r="G48" s="2"/>
      <c r="Q48" s="2"/>
      <c r="U48" s="2"/>
      <c r="V48" s="3"/>
      <c r="AB48" s="4"/>
      <c r="AC48" s="4"/>
    </row>
    <row r="49" s="1" customFormat="1" ht="15" spans="2:29">
      <c r="B49" s="202" t="s">
        <v>157</v>
      </c>
      <c r="C49" s="203" t="s">
        <v>36</v>
      </c>
      <c r="D49" s="203" t="s">
        <v>158</v>
      </c>
      <c r="E49" s="128"/>
      <c r="F49" s="204"/>
      <c r="G49" s="2"/>
      <c r="Q49" s="2"/>
      <c r="U49" s="2"/>
      <c r="V49" s="3"/>
      <c r="AB49" s="4"/>
      <c r="AC49" s="4"/>
    </row>
    <row r="50" s="1" customFormat="1" ht="15" spans="2:29">
      <c r="B50" s="205"/>
      <c r="C50" s="164" t="s">
        <v>100</v>
      </c>
      <c r="D50" s="164" t="s">
        <v>159</v>
      </c>
      <c r="F50" s="206"/>
      <c r="G50" s="2"/>
      <c r="Q50" s="2"/>
      <c r="U50" s="2"/>
      <c r="V50" s="3"/>
      <c r="AB50" s="4"/>
      <c r="AC50" s="4"/>
    </row>
    <row r="51" s="1" customFormat="1" ht="15" spans="2:29">
      <c r="B51" s="207"/>
      <c r="C51" s="208" t="s">
        <v>160</v>
      </c>
      <c r="D51" s="208" t="s">
        <v>161</v>
      </c>
      <c r="E51" s="147"/>
      <c r="F51" s="43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28" workbookViewId="0">
      <selection activeCell="G47" sqref="G47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11.3636363636364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2882.024</v>
      </c>
      <c r="T3" s="176">
        <f t="shared" ref="T3:T11" si="1">S3/$C$4-1</f>
        <v>1.84784980237154</v>
      </c>
      <c r="U3" s="176">
        <f t="shared" ref="U3:U10" si="2">IF(R3=$C$1,SUM($E$4:$E$9),SUM($E$4:$E$8))</f>
        <v>2.02</v>
      </c>
      <c r="V3" s="177">
        <f t="shared" ref="V3:V9" si="3">1+$G$10*($I$10-1)</f>
        <v>3.2983</v>
      </c>
      <c r="W3" s="178">
        <f t="shared" ref="W3:W9" si="4">IF(R3=$C$1,$K$4+$K$5,$K$4)</f>
        <v>0.4</v>
      </c>
      <c r="X3" s="177">
        <f t="shared" ref="X3:X6" si="5">$AF$3</f>
        <v>0.488431876606684</v>
      </c>
      <c r="Y3" s="174">
        <f t="shared" ref="Y3:Y6" si="6">$AF$14</f>
        <v>0.8</v>
      </c>
      <c r="Z3" s="179">
        <v>0</v>
      </c>
      <c r="AA3" s="179">
        <v>0</v>
      </c>
      <c r="AB3" s="180">
        <v>0</v>
      </c>
      <c r="AC3" s="29">
        <f t="shared" ref="AC3:AC11" si="7">Q3*$C$4*(1+T3)*(1+U3)*V3*(1+W3)*X3*Y3*(1+Z3)*(1+AA3)*(1+AB3)*O3</f>
        <v>42966.7797994761</v>
      </c>
      <c r="AD3" s="16">
        <v>0</v>
      </c>
      <c r="AE3" s="16">
        <v>0</v>
      </c>
      <c r="AF3" s="17">
        <f t="shared" ref="AF3:AF8" si="8"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15%+25%</f>
        <v>0.4</v>
      </c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 t="shared" si="2"/>
        <v>2.02</v>
      </c>
      <c r="V4" s="177">
        <f t="shared" si="3"/>
        <v>3.2983</v>
      </c>
      <c r="W4" s="27">
        <f t="shared" si="4"/>
        <v>0.4</v>
      </c>
      <c r="X4" s="177">
        <f t="shared" si="5"/>
        <v>0.488431876606684</v>
      </c>
      <c r="Y4" s="23">
        <f t="shared" si="6"/>
        <v>0.8</v>
      </c>
      <c r="Z4" s="28">
        <v>0</v>
      </c>
      <c r="AA4" s="28">
        <v>0</v>
      </c>
      <c r="AB4" s="182">
        <v>0</v>
      </c>
      <c r="AC4" s="29">
        <f t="shared" si="7"/>
        <v>21134.7559408388</v>
      </c>
      <c r="AD4" s="16">
        <v>64</v>
      </c>
      <c r="AE4" s="16">
        <v>0</v>
      </c>
      <c r="AF4" s="17">
        <f>1520/(1520+(792+8*AG4)*(1-AE4/100)*(1-AD4/100))</f>
        <v>0.726188656168782</v>
      </c>
      <c r="AG4" s="30">
        <v>100</v>
      </c>
    </row>
    <row r="5" s="1" customFormat="1" ht="15" spans="2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 t="shared" si="2"/>
        <v>2.442</v>
      </c>
      <c r="V5" s="177">
        <f t="shared" si="3"/>
        <v>3.2983</v>
      </c>
      <c r="W5" s="27">
        <f t="shared" si="4"/>
        <v>0.65</v>
      </c>
      <c r="X5" s="26">
        <f t="shared" ref="X5:X11" si="9">$AF$4</f>
        <v>0.726188656168782</v>
      </c>
      <c r="Y5" s="23">
        <f t="shared" ref="Y5:Y11" si="10">$AF$12</f>
        <v>1.05</v>
      </c>
      <c r="Z5" s="28">
        <v>0.4</v>
      </c>
      <c r="AA5" s="28">
        <v>0.4</v>
      </c>
      <c r="AB5" s="182">
        <v>0</v>
      </c>
      <c r="AC5" s="29">
        <f t="shared" si="7"/>
        <v>810064.784942951</v>
      </c>
      <c r="AD5" s="16">
        <v>0</v>
      </c>
      <c r="AE5" s="16">
        <v>30</v>
      </c>
      <c r="AF5" s="17">
        <f t="shared" si="8"/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f>12%*2+20%</f>
        <v>0.44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si="2"/>
        <v>2.02</v>
      </c>
      <c r="V6" s="177">
        <f t="shared" si="3"/>
        <v>3.2983</v>
      </c>
      <c r="W6" s="27">
        <f t="shared" si="4"/>
        <v>0.4</v>
      </c>
      <c r="X6" s="177">
        <f t="shared" si="5"/>
        <v>0.488431876606684</v>
      </c>
      <c r="Y6" s="23">
        <f t="shared" si="6"/>
        <v>0.8</v>
      </c>
      <c r="Z6" s="28">
        <v>0</v>
      </c>
      <c r="AA6" s="28">
        <v>0</v>
      </c>
      <c r="AB6" s="182">
        <v>0</v>
      </c>
      <c r="AC6" s="29">
        <f t="shared" si="7"/>
        <v>54014.7072808107</v>
      </c>
      <c r="AD6" s="16">
        <v>0</v>
      </c>
      <c r="AE6" s="16">
        <v>21.6</v>
      </c>
      <c r="AF6" s="17">
        <f t="shared" si="8"/>
        <v>0.549107555719967</v>
      </c>
      <c r="AG6" s="30">
        <v>100</v>
      </c>
    </row>
    <row r="7" s="1" customFormat="1" ht="15" spans="2:33">
      <c r="B7" s="31" t="s">
        <v>78</v>
      </c>
      <c r="C7" s="34"/>
      <c r="D7" s="31" t="s">
        <v>79</v>
      </c>
      <c r="E7" s="33">
        <f>58%+40%</f>
        <v>0.98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2"/>
        <v>2.442</v>
      </c>
      <c r="V7" s="177">
        <f t="shared" si="3"/>
        <v>3.2983</v>
      </c>
      <c r="W7" s="27">
        <f t="shared" si="4"/>
        <v>0.65</v>
      </c>
      <c r="X7" s="26">
        <f t="shared" si="9"/>
        <v>0.726188656168782</v>
      </c>
      <c r="Y7" s="23">
        <f t="shared" si="10"/>
        <v>1.05</v>
      </c>
      <c r="Z7" s="28">
        <v>1</v>
      </c>
      <c r="AA7" s="28">
        <v>0.4</v>
      </c>
      <c r="AB7" s="182">
        <v>0</v>
      </c>
      <c r="AC7" s="29">
        <f t="shared" si="7"/>
        <v>412516.236914862</v>
      </c>
      <c r="AD7" s="16">
        <v>0</v>
      </c>
      <c r="AE7" s="16">
        <v>28.8</v>
      </c>
      <c r="AF7" s="17">
        <f t="shared" si="8"/>
        <v>0.572827476423627</v>
      </c>
      <c r="AG7" s="30">
        <v>100</v>
      </c>
    </row>
    <row r="8" s="1" customFormat="1" ht="15" spans="2:33">
      <c r="B8" s="31" t="s">
        <v>82</v>
      </c>
      <c r="C8" s="39">
        <f>25%+30%</f>
        <v>0.55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2"/>
        <v>2.02</v>
      </c>
      <c r="V8" s="177">
        <f t="shared" si="3"/>
        <v>3.2983</v>
      </c>
      <c r="W8" s="27">
        <f t="shared" si="4"/>
        <v>0.4</v>
      </c>
      <c r="X8" s="177">
        <f t="shared" ref="X8:X20" si="11">$AF$3</f>
        <v>0.488431876606684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7"/>
        <v>54014.7072808107</v>
      </c>
      <c r="AD8" s="16">
        <v>0</v>
      </c>
      <c r="AE8" s="16">
        <v>36</v>
      </c>
      <c r="AF8" s="17">
        <f t="shared" si="8"/>
        <v>0.598689185782707</v>
      </c>
      <c r="AG8" s="30">
        <v>100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2"/>
        <v>2.442</v>
      </c>
      <c r="V9" s="177">
        <f t="shared" si="3"/>
        <v>3.2983</v>
      </c>
      <c r="W9" s="27">
        <f t="shared" si="4"/>
        <v>0.65</v>
      </c>
      <c r="X9" s="26">
        <f t="shared" si="9"/>
        <v>0.726188656168782</v>
      </c>
      <c r="Y9" s="23">
        <f t="shared" si="10"/>
        <v>1.05</v>
      </c>
      <c r="Z9" s="28">
        <v>1</v>
      </c>
      <c r="AA9" s="28">
        <v>0.4</v>
      </c>
      <c r="AB9" s="182">
        <v>0</v>
      </c>
      <c r="AC9" s="29">
        <f t="shared" si="7"/>
        <v>412516.236914862</v>
      </c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2"/>
        <v>2.442</v>
      </c>
      <c r="V10" s="177">
        <f>1+$G$10*($I$10-1+3)</f>
        <v>6.2323</v>
      </c>
      <c r="W10" s="27">
        <f>IF(R10=$C$1,$K$4+$K$5,$K$4)+2</f>
        <v>2.65</v>
      </c>
      <c r="X10" s="26">
        <f t="shared" si="9"/>
        <v>0.726188656168782</v>
      </c>
      <c r="Y10" s="23">
        <f t="shared" si="10"/>
        <v>1.05</v>
      </c>
      <c r="Z10" s="28">
        <v>0</v>
      </c>
      <c r="AA10" s="28">
        <v>0.4</v>
      </c>
      <c r="AB10" s="182">
        <v>0</v>
      </c>
      <c r="AC10" s="29">
        <f t="shared" si="7"/>
        <v>558861.837256048</v>
      </c>
    </row>
    <row r="11" s="1" customFormat="1" ht="15" spans="2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2.442</v>
      </c>
      <c r="V11" s="190">
        <f>1+$G$10*($I$10-1)</f>
        <v>3.2983</v>
      </c>
      <c r="W11" s="191">
        <f>IF(R11=$C$1,$K$4+$K$5,$K$4)+$K$6+0.25</f>
        <v>0.9</v>
      </c>
      <c r="X11" s="192">
        <f t="shared" si="9"/>
        <v>0.726188656168782</v>
      </c>
      <c r="Y11" s="186">
        <f t="shared" si="10"/>
        <v>1.05</v>
      </c>
      <c r="Z11" s="193">
        <v>1</v>
      </c>
      <c r="AA11" s="193">
        <v>0.4</v>
      </c>
      <c r="AB11" s="194">
        <v>0</v>
      </c>
      <c r="AC11" s="29">
        <f t="shared" si="7"/>
        <v>2374814.76516015</v>
      </c>
      <c r="AE11"/>
      <c r="AF11"/>
    </row>
    <row r="12" s="1" customFormat="1" ht="15" spans="2:33">
      <c r="B12" s="49"/>
      <c r="C12" s="49"/>
      <c r="E12" s="50"/>
      <c r="G12" s="53"/>
      <c r="J12" s="2"/>
      <c r="K12" s="2"/>
      <c r="O12" s="173">
        <v>1</v>
      </c>
      <c r="P12" s="215" t="s">
        <v>97</v>
      </c>
      <c r="Q12" s="159">
        <v>2.248</v>
      </c>
      <c r="R12" s="128" t="s">
        <v>66</v>
      </c>
      <c r="S12" s="160">
        <f t="shared" ref="S12:S20" si="12">$C$16*(1+$C$17+$C$18+$C$19+$C$20)+($C$21+$C$22)</f>
        <v>2586.086</v>
      </c>
      <c r="T12" s="127">
        <f t="shared" ref="T12:T20" si="13">($C$17+$C$18+$C$19+$C$20)+($C$21+$C$22)/$C$16</f>
        <v>1.68544755970924</v>
      </c>
      <c r="U12" s="127">
        <f>IF(R12=$C$13,SUM($E$16:$E$21),SUM($E$16:$E$20))-12%</f>
        <v>1.61</v>
      </c>
      <c r="V12" s="129">
        <f t="shared" ref="V12:V20" si="14">1+$G$22*($I$22-1)</f>
        <v>2.3615</v>
      </c>
      <c r="W12" s="130">
        <f t="shared" ref="W12:W20" si="15">IF(R12=$C$1,$K$16+$K$17,$K$16)</f>
        <v>0.45</v>
      </c>
      <c r="X12" s="129">
        <f t="shared" si="11"/>
        <v>0.488431876606684</v>
      </c>
      <c r="Y12" s="128">
        <f t="shared" ref="Y12:Y20" si="16">$AF$15</f>
        <v>0.8</v>
      </c>
      <c r="Z12" s="131">
        <v>0</v>
      </c>
      <c r="AA12" s="131">
        <v>0</v>
      </c>
      <c r="AB12" s="36">
        <v>0</v>
      </c>
      <c r="AC12" s="216">
        <f t="shared" ref="AC12:AC20" si="17">Q12*$C$16*(1+T12)*(1+U12)*V12*(1+W12)*X12*Y12*(1+Z12)*(1+AA12)*(1+AB12)*O12</f>
        <v>20301.5742676394</v>
      </c>
      <c r="AE12" s="48" t="s">
        <v>34</v>
      </c>
      <c r="AF12" s="48">
        <v>1.05</v>
      </c>
    </row>
    <row r="13" s="1" customFormat="1" ht="15" spans="2:33">
      <c r="B13" s="5" t="s">
        <v>33</v>
      </c>
      <c r="C13" s="5" t="s">
        <v>77</v>
      </c>
      <c r="D13" s="6" t="s">
        <v>35</v>
      </c>
      <c r="E13" s="6">
        <v>1</v>
      </c>
      <c r="O13" s="181">
        <v>1</v>
      </c>
      <c r="P13" s="215" t="s">
        <v>98</v>
      </c>
      <c r="Q13" s="37">
        <v>8.748</v>
      </c>
      <c r="R13" s="49" t="s">
        <v>34</v>
      </c>
      <c r="S13" s="163">
        <f t="shared" si="12"/>
        <v>2586.086</v>
      </c>
      <c r="T13" s="136">
        <f t="shared" si="13"/>
        <v>1.68544755970924</v>
      </c>
      <c r="U13" s="136">
        <f>IF(R13=$C$13,SUM($E$16:$E$21),SUM($E$16:$E$20))-12%</f>
        <v>1.61</v>
      </c>
      <c r="V13" s="137">
        <f t="shared" si="14"/>
        <v>2.3615</v>
      </c>
      <c r="W13" s="138">
        <f t="shared" si="15"/>
        <v>0.45</v>
      </c>
      <c r="X13" s="137">
        <f t="shared" si="11"/>
        <v>0.488431876606684</v>
      </c>
      <c r="Y13" s="128">
        <f t="shared" si="16"/>
        <v>0.8</v>
      </c>
      <c r="Z13" s="139">
        <v>0</v>
      </c>
      <c r="AA13" s="139">
        <v>0</v>
      </c>
      <c r="AB13" s="33">
        <v>0</v>
      </c>
      <c r="AC13" s="216">
        <f t="shared" si="17"/>
        <v>79002.7454151732</v>
      </c>
      <c r="AE13" s="52" t="s">
        <v>99</v>
      </c>
      <c r="AF13" s="52">
        <v>0.8</v>
      </c>
    </row>
    <row r="14" s="1" customFormat="1" ht="15" spans="2:33">
      <c r="B14" s="217" t="s">
        <v>100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O14" s="181">
        <v>1</v>
      </c>
      <c r="P14" s="215" t="s">
        <v>101</v>
      </c>
      <c r="Q14" s="37">
        <v>2.7863</v>
      </c>
      <c r="R14" s="49" t="s">
        <v>102</v>
      </c>
      <c r="S14" s="163">
        <f t="shared" si="12"/>
        <v>2586.086</v>
      </c>
      <c r="T14" s="136">
        <f t="shared" si="13"/>
        <v>1.68544755970924</v>
      </c>
      <c r="U14" s="136">
        <f>IF(R14=$C$13,SUM($E$16:$E$21),SUM($E$16:$E$20))-6%</f>
        <v>1.67</v>
      </c>
      <c r="V14" s="137">
        <f t="shared" si="14"/>
        <v>2.3615</v>
      </c>
      <c r="W14" s="138">
        <f t="shared" si="15"/>
        <v>0.45</v>
      </c>
      <c r="X14" s="137">
        <f t="shared" si="11"/>
        <v>0.488431876606684</v>
      </c>
      <c r="Y14" s="128">
        <f t="shared" si="16"/>
        <v>0.8</v>
      </c>
      <c r="Z14" s="139">
        <v>0</v>
      </c>
      <c r="AA14" s="139">
        <v>0</v>
      </c>
      <c r="AB14" s="33">
        <v>0</v>
      </c>
      <c r="AC14" s="216">
        <f t="shared" si="17"/>
        <v>25741.3925941384</v>
      </c>
      <c r="AE14" s="54" t="s">
        <v>103</v>
      </c>
      <c r="AF14" s="54">
        <v>0.8</v>
      </c>
    </row>
    <row r="15" s="1" customFormat="1" ht="15" spans="2:33">
      <c r="B15" s="157" t="s">
        <v>55</v>
      </c>
      <c r="C15" s="157"/>
      <c r="D15" s="157" t="s">
        <v>43</v>
      </c>
      <c r="E15" s="157"/>
      <c r="F15" s="157" t="s">
        <v>56</v>
      </c>
      <c r="G15" s="157"/>
      <c r="H15" s="157" t="s">
        <v>57</v>
      </c>
      <c r="I15" s="157"/>
      <c r="J15" s="157" t="s">
        <v>45</v>
      </c>
      <c r="K15" s="157"/>
      <c r="L15" s="157" t="s">
        <v>58</v>
      </c>
      <c r="M15" s="157"/>
      <c r="O15" s="181">
        <v>1</v>
      </c>
      <c r="P15" s="215" t="s">
        <v>104</v>
      </c>
      <c r="Q15" s="37">
        <v>5.5556</v>
      </c>
      <c r="R15" s="49" t="s">
        <v>77</v>
      </c>
      <c r="S15" s="163">
        <f t="shared" si="12"/>
        <v>2586.086</v>
      </c>
      <c r="T15" s="136">
        <f t="shared" si="13"/>
        <v>1.68544755970924</v>
      </c>
      <c r="U15" s="136">
        <f t="shared" ref="U15:U20" si="18">IF(R15=$C$13,SUM($E$16:$E$21),SUM($E$16:$E$20))</f>
        <v>2.176</v>
      </c>
      <c r="V15" s="137">
        <f t="shared" si="14"/>
        <v>2.3615</v>
      </c>
      <c r="W15" s="138">
        <f t="shared" si="15"/>
        <v>0.45</v>
      </c>
      <c r="X15" s="137">
        <f t="shared" si="11"/>
        <v>0.488431876606684</v>
      </c>
      <c r="Y15" s="128">
        <f t="shared" si="16"/>
        <v>0.8</v>
      </c>
      <c r="Z15" s="139">
        <v>0</v>
      </c>
      <c r="AA15" s="139">
        <v>0</v>
      </c>
      <c r="AB15" s="33">
        <v>0</v>
      </c>
      <c r="AC15" s="216">
        <f t="shared" si="17"/>
        <v>61052.6283013799</v>
      </c>
      <c r="AE15" s="55" t="s">
        <v>105</v>
      </c>
      <c r="AF15" s="55">
        <v>0.8</v>
      </c>
    </row>
    <row r="16" s="1" customFormat="1" ht="15" spans="2:33">
      <c r="B16" s="125" t="s">
        <v>60</v>
      </c>
      <c r="C16" s="32">
        <f>375+588</f>
        <v>963</v>
      </c>
      <c r="D16" s="125" t="s">
        <v>61</v>
      </c>
      <c r="E16" s="36">
        <f>E13*30%</f>
        <v>0.3</v>
      </c>
      <c r="F16" s="125" t="s">
        <v>62</v>
      </c>
      <c r="G16" s="218">
        <v>0.13</v>
      </c>
      <c r="H16" s="125" t="s">
        <v>62</v>
      </c>
      <c r="I16" s="218">
        <v>1.5</v>
      </c>
      <c r="J16" s="35" t="s">
        <v>63</v>
      </c>
      <c r="K16" s="36">
        <f>25%+20%</f>
        <v>0.45</v>
      </c>
      <c r="L16" s="125" t="s">
        <v>64</v>
      </c>
      <c r="M16" s="218">
        <f>8.6%*2</f>
        <v>0.172</v>
      </c>
      <c r="O16" s="181">
        <v>1</v>
      </c>
      <c r="P16" s="215" t="s">
        <v>106</v>
      </c>
      <c r="Q16" s="37">
        <v>3.076</v>
      </c>
      <c r="R16" s="49" t="s">
        <v>77</v>
      </c>
      <c r="S16" s="163">
        <f t="shared" si="12"/>
        <v>2586.086</v>
      </c>
      <c r="T16" s="136">
        <f t="shared" si="13"/>
        <v>1.68544755970924</v>
      </c>
      <c r="U16" s="136">
        <f t="shared" si="18"/>
        <v>2.176</v>
      </c>
      <c r="V16" s="137">
        <f t="shared" si="14"/>
        <v>2.3615</v>
      </c>
      <c r="W16" s="138">
        <f t="shared" si="15"/>
        <v>0.45</v>
      </c>
      <c r="X16" s="137">
        <f t="shared" si="11"/>
        <v>0.488431876606684</v>
      </c>
      <c r="Y16" s="128">
        <f t="shared" si="16"/>
        <v>0.8</v>
      </c>
      <c r="Z16" s="139">
        <v>0</v>
      </c>
      <c r="AA16" s="139">
        <v>0</v>
      </c>
      <c r="AB16" s="33">
        <v>0</v>
      </c>
      <c r="AC16" s="216">
        <f t="shared" si="17"/>
        <v>33803.3488111176</v>
      </c>
    </row>
    <row r="17" s="1" customFormat="1" ht="15" spans="1:30">
      <c r="B17" s="31" t="s">
        <v>67</v>
      </c>
      <c r="C17" s="33">
        <v>0.24</v>
      </c>
      <c r="D17" s="31" t="s">
        <v>68</v>
      </c>
      <c r="E17" s="33">
        <v>0.1</v>
      </c>
      <c r="F17" s="31" t="s">
        <v>69</v>
      </c>
      <c r="G17" s="34">
        <v>0.243</v>
      </c>
      <c r="H17" s="31" t="s">
        <v>69</v>
      </c>
      <c r="I17" s="34">
        <v>0</v>
      </c>
      <c r="J17" s="37" t="s">
        <v>107</v>
      </c>
      <c r="K17" s="33"/>
      <c r="L17" s="31" t="s">
        <v>108</v>
      </c>
      <c r="M17" s="34">
        <f>1*8.6%</f>
        <v>0.086</v>
      </c>
      <c r="O17" s="181">
        <v>1</v>
      </c>
      <c r="P17" s="215" t="s">
        <v>109</v>
      </c>
      <c r="Q17" s="37">
        <v>12.1672</v>
      </c>
      <c r="R17" s="49" t="s">
        <v>77</v>
      </c>
      <c r="S17" s="163">
        <f t="shared" si="12"/>
        <v>2586.086</v>
      </c>
      <c r="T17" s="136">
        <f t="shared" si="13"/>
        <v>1.68544755970924</v>
      </c>
      <c r="U17" s="136">
        <f t="shared" si="18"/>
        <v>2.176</v>
      </c>
      <c r="V17" s="137">
        <f t="shared" si="14"/>
        <v>2.3615</v>
      </c>
      <c r="W17" s="138">
        <f t="shared" si="15"/>
        <v>0.45</v>
      </c>
      <c r="X17" s="137">
        <f t="shared" si="11"/>
        <v>0.488431876606684</v>
      </c>
      <c r="Y17" s="128">
        <f t="shared" si="16"/>
        <v>0.8</v>
      </c>
      <c r="Z17" s="139">
        <v>0</v>
      </c>
      <c r="AA17" s="139">
        <v>0</v>
      </c>
      <c r="AB17" s="33">
        <v>0</v>
      </c>
      <c r="AC17" s="216">
        <f t="shared" si="17"/>
        <v>133710.04735196</v>
      </c>
    </row>
    <row r="18" s="1" customFormat="1" ht="15" spans="1:30">
      <c r="B18" s="31" t="s">
        <v>73</v>
      </c>
      <c r="C18" s="33">
        <f>18%+18%+M16+(2-E13)*30%</f>
        <v>0.832</v>
      </c>
      <c r="D18" s="31" t="s">
        <v>74</v>
      </c>
      <c r="E18" s="33">
        <v>0.25</v>
      </c>
      <c r="F18" s="31" t="s">
        <v>75</v>
      </c>
      <c r="G18" s="34"/>
      <c r="H18" s="31" t="s">
        <v>75</v>
      </c>
      <c r="I18" s="34">
        <v>0.44</v>
      </c>
      <c r="J18" s="37"/>
      <c r="K18" s="34"/>
      <c r="L18" s="31" t="s">
        <v>56</v>
      </c>
      <c r="M18" s="34">
        <f>8.1*5%</f>
        <v>0.405</v>
      </c>
      <c r="O18" s="181">
        <v>1</v>
      </c>
      <c r="P18" s="215" t="s">
        <v>110</v>
      </c>
      <c r="Q18" s="37">
        <v>2.3262</v>
      </c>
      <c r="R18" s="49" t="s">
        <v>102</v>
      </c>
      <c r="S18" s="163">
        <f t="shared" si="12"/>
        <v>2586.086</v>
      </c>
      <c r="T18" s="136">
        <f t="shared" si="13"/>
        <v>1.68544755970924</v>
      </c>
      <c r="U18" s="136">
        <f t="shared" si="18"/>
        <v>1.73</v>
      </c>
      <c r="V18" s="137">
        <f t="shared" si="14"/>
        <v>2.3615</v>
      </c>
      <c r="W18" s="138">
        <f t="shared" si="15"/>
        <v>0.45</v>
      </c>
      <c r="X18" s="137">
        <f t="shared" si="11"/>
        <v>0.488431876606684</v>
      </c>
      <c r="Y18" s="128">
        <f t="shared" si="16"/>
        <v>0.8</v>
      </c>
      <c r="Z18" s="139">
        <v>0</v>
      </c>
      <c r="AA18" s="139">
        <v>0</v>
      </c>
      <c r="AB18" s="33">
        <v>0</v>
      </c>
      <c r="AC18" s="216">
        <f t="shared" si="17"/>
        <v>21973.6701210058</v>
      </c>
    </row>
    <row r="19" s="1" customFormat="1" ht="15" spans="1:30">
      <c r="B19" s="31" t="s">
        <v>78</v>
      </c>
      <c r="C19" s="39"/>
      <c r="D19" s="31" t="s">
        <v>79</v>
      </c>
      <c r="E19" s="33">
        <f>40%+20%</f>
        <v>0.6</v>
      </c>
      <c r="F19" s="31" t="s">
        <v>73</v>
      </c>
      <c r="G19" s="34">
        <f>M18</f>
        <v>0.405</v>
      </c>
      <c r="H19" s="31" t="s">
        <v>73</v>
      </c>
      <c r="I19" s="34">
        <f>M19</f>
        <v>0.81</v>
      </c>
      <c r="J19" s="37"/>
      <c r="K19" s="34"/>
      <c r="L19" s="31" t="s">
        <v>80</v>
      </c>
      <c r="M19" s="33">
        <f>16.2%*5</f>
        <v>0.81</v>
      </c>
      <c r="O19" s="181">
        <v>1</v>
      </c>
      <c r="P19" s="215" t="s">
        <v>111</v>
      </c>
      <c r="Q19" s="37">
        <v>1</v>
      </c>
      <c r="R19" s="49" t="s">
        <v>112</v>
      </c>
      <c r="S19" s="163">
        <f t="shared" si="12"/>
        <v>2586.086</v>
      </c>
      <c r="T19" s="136">
        <f t="shared" si="13"/>
        <v>1.68544755970924</v>
      </c>
      <c r="U19" s="136">
        <f t="shared" si="18"/>
        <v>1.73</v>
      </c>
      <c r="V19" s="137">
        <f t="shared" si="14"/>
        <v>2.3615</v>
      </c>
      <c r="W19" s="138">
        <f t="shared" si="15"/>
        <v>0.45</v>
      </c>
      <c r="X19" s="137">
        <f t="shared" si="11"/>
        <v>0.488431876606684</v>
      </c>
      <c r="Y19" s="128">
        <f t="shared" si="16"/>
        <v>0.8</v>
      </c>
      <c r="Z19" s="139">
        <v>0</v>
      </c>
      <c r="AA19" s="139">
        <v>0</v>
      </c>
      <c r="AB19" s="33">
        <v>0</v>
      </c>
      <c r="AC19" s="216">
        <f t="shared" si="17"/>
        <v>9446.16547201694</v>
      </c>
    </row>
    <row r="20" s="1" customFormat="1" ht="15" spans="1:30">
      <c r="B20" s="31" t="s">
        <v>82</v>
      </c>
      <c r="C20" s="39">
        <v>0.25</v>
      </c>
      <c r="D20" s="31" t="s">
        <v>83</v>
      </c>
      <c r="E20" s="184">
        <f>24%+24%</f>
        <v>0.48</v>
      </c>
      <c r="F20" s="31" t="s">
        <v>84</v>
      </c>
      <c r="G20" s="34">
        <v>0</v>
      </c>
      <c r="H20" s="31" t="s">
        <v>84</v>
      </c>
      <c r="I20" s="34">
        <v>0</v>
      </c>
      <c r="J20" s="37"/>
      <c r="K20" s="34"/>
      <c r="L20" s="31"/>
      <c r="M20" s="32"/>
      <c r="O20" s="185">
        <v>1</v>
      </c>
      <c r="P20" s="215" t="s">
        <v>113</v>
      </c>
      <c r="Q20" s="47">
        <v>2.736</v>
      </c>
      <c r="R20" s="147" t="s">
        <v>59</v>
      </c>
      <c r="S20" s="166">
        <f t="shared" si="12"/>
        <v>2586.086</v>
      </c>
      <c r="T20" s="146">
        <f t="shared" si="13"/>
        <v>1.68544755970924</v>
      </c>
      <c r="U20" s="146">
        <f t="shared" si="18"/>
        <v>1.73</v>
      </c>
      <c r="V20" s="148">
        <f t="shared" si="14"/>
        <v>2.3615</v>
      </c>
      <c r="W20" s="149">
        <f t="shared" si="15"/>
        <v>0.45</v>
      </c>
      <c r="X20" s="148">
        <f t="shared" si="11"/>
        <v>0.488431876606684</v>
      </c>
      <c r="Y20" s="128">
        <f t="shared" si="16"/>
        <v>0.8</v>
      </c>
      <c r="Z20" s="150">
        <v>0</v>
      </c>
      <c r="AA20" s="150">
        <v>0</v>
      </c>
      <c r="AB20" s="44">
        <v>0</v>
      </c>
      <c r="AC20" s="216">
        <f t="shared" si="17"/>
        <v>25844.7087314383</v>
      </c>
    </row>
    <row r="21" s="1" customFormat="1" spans="1:30">
      <c r="B21" s="31" t="s">
        <v>87</v>
      </c>
      <c r="C21" s="32">
        <v>350</v>
      </c>
      <c r="D21" s="31" t="s">
        <v>114</v>
      </c>
      <c r="E21" s="33">
        <f>36%+M17</f>
        <v>0.446</v>
      </c>
      <c r="F21" s="31" t="s">
        <v>89</v>
      </c>
      <c r="G21" s="34"/>
      <c r="H21" s="31" t="s">
        <v>89</v>
      </c>
      <c r="I21" s="34">
        <v>0</v>
      </c>
      <c r="J21" s="37"/>
      <c r="K21" s="34"/>
      <c r="L21" s="31"/>
      <c r="M21" s="32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42" t="s">
        <v>91</v>
      </c>
      <c r="C22" s="43"/>
      <c r="D22" s="42"/>
      <c r="E22" s="44"/>
      <c r="F22" s="45" t="s">
        <v>92</v>
      </c>
      <c r="G22" s="46">
        <f>MIN(100%,SUM(G16:G21))</f>
        <v>0.778</v>
      </c>
      <c r="H22" s="45" t="s">
        <v>93</v>
      </c>
      <c r="I22" s="46">
        <f>SUM(I16:I21)</f>
        <v>2.75</v>
      </c>
      <c r="J22" s="47"/>
      <c r="K22" s="219"/>
      <c r="L22" s="42"/>
      <c r="M22" s="43"/>
      <c r="O22" s="125">
        <v>20</v>
      </c>
      <c r="P22" s="127" t="s">
        <v>115</v>
      </c>
      <c r="Q22" s="127">
        <v>1.0935</v>
      </c>
      <c r="R22" s="128" t="s">
        <v>116</v>
      </c>
      <c r="S22" s="128">
        <v>10027</v>
      </c>
      <c r="T22" s="127">
        <v>0</v>
      </c>
      <c r="U22" s="127">
        <v>0</v>
      </c>
      <c r="V22" s="129">
        <v>2.4</v>
      </c>
      <c r="W22" s="130">
        <v>0</v>
      </c>
      <c r="X22" s="129">
        <f t="shared" ref="X22:X26" si="19">$AF$3</f>
        <v>0.488431876606684</v>
      </c>
      <c r="Y22" s="128">
        <f t="shared" ref="Y22:Y26" si="20">$AF$13</f>
        <v>0.8</v>
      </c>
      <c r="Z22" s="131">
        <v>2.4</v>
      </c>
      <c r="AA22" s="131">
        <v>0.8</v>
      </c>
      <c r="AB22" s="131">
        <v>0.5</v>
      </c>
      <c r="AC22" s="132">
        <f t="shared" ref="AC22:AC26" si="21">Q22*$S$26*(1+T22)*(1+U22)*V22*(1+W22)*X22*Y22*(1+Z22)*(1+AA22)*(1+AB22)*O22</f>
        <v>1887850.97044566</v>
      </c>
    </row>
    <row r="23" s="1" customFormat="1" ht="15" spans="1:30">
      <c r="B23" s="49"/>
      <c r="C23" s="49"/>
      <c r="E23" s="50"/>
      <c r="F23" s="18" t="s">
        <v>95</v>
      </c>
      <c r="G23" s="51">
        <f>MAX(0,SUM(G16:G21)-1)</f>
        <v>0</v>
      </c>
      <c r="J23" s="2"/>
      <c r="K23" s="2"/>
      <c r="O23" s="31">
        <f t="shared" ref="O23:O25" si="22">$O$26</f>
        <v>1</v>
      </c>
      <c r="P23" s="49" t="s">
        <v>117</v>
      </c>
      <c r="Q23" s="136">
        <v>5.9643</v>
      </c>
      <c r="R23" s="49" t="s">
        <v>116</v>
      </c>
      <c r="S23" s="49">
        <v>10027</v>
      </c>
      <c r="T23" s="136">
        <v>0</v>
      </c>
      <c r="U23" s="136">
        <v>0</v>
      </c>
      <c r="V23" s="137">
        <v>2.4</v>
      </c>
      <c r="W23" s="138">
        <v>0</v>
      </c>
      <c r="X23" s="137">
        <f t="shared" si="19"/>
        <v>0.488431876606684</v>
      </c>
      <c r="Y23" s="49">
        <f t="shared" si="20"/>
        <v>0.8</v>
      </c>
      <c r="Z23" s="139">
        <v>0</v>
      </c>
      <c r="AA23" s="139">
        <v>0</v>
      </c>
      <c r="AB23" s="139">
        <v>0.5</v>
      </c>
      <c r="AC23" s="140">
        <f t="shared" si="21"/>
        <v>84125.3690332134</v>
      </c>
    </row>
    <row r="24" s="1" customFormat="1" ht="15" spans="1:30">
      <c r="B24" s="49"/>
      <c r="C24" s="49"/>
      <c r="E24" s="50"/>
      <c r="J24" s="2"/>
      <c r="K24" s="2"/>
      <c r="O24" s="31">
        <f t="shared" si="22"/>
        <v>1</v>
      </c>
      <c r="P24" s="49" t="s">
        <v>118</v>
      </c>
      <c r="Q24" s="136">
        <v>18.8075</v>
      </c>
      <c r="R24" s="49" t="s">
        <v>116</v>
      </c>
      <c r="S24" s="49">
        <v>10027</v>
      </c>
      <c r="T24" s="136">
        <v>0</v>
      </c>
      <c r="U24" s="136">
        <v>0</v>
      </c>
      <c r="V24" s="137">
        <v>1</v>
      </c>
      <c r="W24" s="138">
        <v>0</v>
      </c>
      <c r="X24" s="137">
        <f t="shared" si="19"/>
        <v>0.488431876606684</v>
      </c>
      <c r="Y24" s="49">
        <f t="shared" si="20"/>
        <v>0.8</v>
      </c>
      <c r="Z24" s="139">
        <v>0</v>
      </c>
      <c r="AA24" s="139">
        <v>0</v>
      </c>
      <c r="AB24" s="139">
        <v>0.5</v>
      </c>
      <c r="AC24" s="140">
        <f t="shared" si="21"/>
        <v>110531.822544987</v>
      </c>
      <c r="AD24"/>
    </row>
    <row r="25" s="1" customFormat="1" ht="15" spans="1:30">
      <c r="A25" s="94"/>
      <c r="B25" s="95" t="s">
        <v>163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O25" s="31">
        <f t="shared" si="22"/>
        <v>1</v>
      </c>
      <c r="P25" s="49" t="s">
        <v>120</v>
      </c>
      <c r="Q25" s="136">
        <v>2.9822</v>
      </c>
      <c r="R25" s="49" t="s">
        <v>116</v>
      </c>
      <c r="S25" s="49">
        <v>10027</v>
      </c>
      <c r="T25" s="136">
        <v>0</v>
      </c>
      <c r="U25" s="136">
        <v>0</v>
      </c>
      <c r="V25" s="137">
        <v>1</v>
      </c>
      <c r="W25" s="138">
        <v>0</v>
      </c>
      <c r="X25" s="137">
        <f t="shared" si="19"/>
        <v>0.488431876606684</v>
      </c>
      <c r="Y25" s="49">
        <f t="shared" si="20"/>
        <v>0.8</v>
      </c>
      <c r="Z25" s="139">
        <v>0</v>
      </c>
      <c r="AA25" s="139">
        <v>0</v>
      </c>
      <c r="AB25" s="139">
        <v>0.5</v>
      </c>
      <c r="AC25" s="140">
        <f t="shared" si="21"/>
        <v>17526.4123989717</v>
      </c>
      <c r="AD25"/>
    </row>
    <row r="26" s="1" customFormat="1" ht="15" spans="1:30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O26" s="42">
        <v>1</v>
      </c>
      <c r="P26" s="147" t="s">
        <v>123</v>
      </c>
      <c r="Q26" s="146">
        <v>16</v>
      </c>
      <c r="R26" s="147" t="s">
        <v>124</v>
      </c>
      <c r="S26" s="147">
        <v>10027</v>
      </c>
      <c r="T26" s="146">
        <v>0</v>
      </c>
      <c r="U26" s="146">
        <v>0</v>
      </c>
      <c r="V26" s="148">
        <v>1</v>
      </c>
      <c r="W26" s="149">
        <v>0</v>
      </c>
      <c r="X26" s="148">
        <f t="shared" si="19"/>
        <v>0.488431876606684</v>
      </c>
      <c r="Y26" s="147">
        <f t="shared" si="20"/>
        <v>0.8</v>
      </c>
      <c r="Z26" s="150">
        <v>0</v>
      </c>
      <c r="AA26" s="150">
        <v>0</v>
      </c>
      <c r="AB26" s="150">
        <v>0.5</v>
      </c>
      <c r="AC26" s="151">
        <f t="shared" si="21"/>
        <v>94032.1233933162</v>
      </c>
    </row>
    <row r="27" s="1" customFormat="1" spans="1:30">
      <c r="A27" s="94">
        <v>1357</v>
      </c>
      <c r="B27" s="98" t="s">
        <v>60</v>
      </c>
      <c r="C27" s="99">
        <f>288+337</f>
        <v>625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157">
        <v>1</v>
      </c>
      <c r="P28" s="158" t="s">
        <v>130</v>
      </c>
      <c r="Q28" s="159">
        <v>2.0279</v>
      </c>
      <c r="R28" s="128" t="s">
        <v>66</v>
      </c>
      <c r="S28" s="160">
        <f t="shared" ref="S28:S31" si="23">C$34</f>
        <v>1225</v>
      </c>
      <c r="T28" s="127">
        <f t="shared" ref="T28:T31" si="24">S28/$C$27-1</f>
        <v>0.96</v>
      </c>
      <c r="U28" s="127">
        <f t="shared" ref="U28:U31" si="25">E$30</f>
        <v>1.08</v>
      </c>
      <c r="V28" s="129">
        <f t="shared" ref="V28:V31" si="26">1+$G$32*($I$32-1)</f>
        <v>1.3752</v>
      </c>
      <c r="W28" s="130">
        <f t="shared" ref="W28:W33" si="27">K$27</f>
        <v>0.35</v>
      </c>
      <c r="X28" s="129">
        <f t="shared" ref="X28:X33" si="28">$AF$3</f>
        <v>0.488431876606684</v>
      </c>
      <c r="Y28" s="128">
        <f t="shared" ref="Y28:Y33" si="29">$AF$14</f>
        <v>0.8</v>
      </c>
      <c r="Z28" s="131">
        <v>0</v>
      </c>
      <c r="AA28" s="131">
        <v>0</v>
      </c>
      <c r="AB28" s="36">
        <v>0</v>
      </c>
      <c r="AC28" s="29">
        <f t="shared" ref="AC28:AC33" si="30">Q28*$C$27*(1+T28)*(1+U28)*V28*(1+W28)*X28*Y28*(1+Z28)*(1+AA28)*(1+AB28)*O28</f>
        <v>3748.34518025904</v>
      </c>
    </row>
    <row r="29" s="1" customFormat="1" ht="15" spans="1:30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162">
        <v>1</v>
      </c>
      <c r="P29" s="158" t="s">
        <v>135</v>
      </c>
      <c r="Q29" s="37">
        <f>22.27%+16.71%*2+23.86%+23.86%+17.9%*4+41.36%+10.34%*6</f>
        <v>2.7841</v>
      </c>
      <c r="R29" s="49" t="s">
        <v>77</v>
      </c>
      <c r="S29" s="163">
        <f t="shared" si="23"/>
        <v>1225</v>
      </c>
      <c r="T29" s="136">
        <f t="shared" si="24"/>
        <v>0.96</v>
      </c>
      <c r="U29" s="136">
        <f t="shared" si="25"/>
        <v>1.08</v>
      </c>
      <c r="V29" s="137">
        <f t="shared" si="26"/>
        <v>1.3752</v>
      </c>
      <c r="W29" s="138">
        <f t="shared" si="27"/>
        <v>0.35</v>
      </c>
      <c r="X29" s="137">
        <f t="shared" si="28"/>
        <v>0.488431876606684</v>
      </c>
      <c r="Y29" s="49">
        <f t="shared" si="29"/>
        <v>0.8</v>
      </c>
      <c r="Z29" s="139">
        <v>0</v>
      </c>
      <c r="AA29" s="139">
        <v>0</v>
      </c>
      <c r="AB29" s="33">
        <v>0</v>
      </c>
      <c r="AC29" s="29">
        <f t="shared" si="30"/>
        <v>5146.09587078219</v>
      </c>
    </row>
    <row r="30" s="1" customFormat="1" ht="15" spans="1:30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48%+40%+20%</f>
        <v>1.08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162">
        <v>1</v>
      </c>
      <c r="P30" s="158" t="s">
        <v>138</v>
      </c>
      <c r="Q30" s="37">
        <f>39.77%*4</f>
        <v>1.5908</v>
      </c>
      <c r="R30" s="49" t="s">
        <v>102</v>
      </c>
      <c r="S30" s="163">
        <f t="shared" si="23"/>
        <v>1225</v>
      </c>
      <c r="T30" s="136">
        <f t="shared" si="24"/>
        <v>0.96</v>
      </c>
      <c r="U30" s="136">
        <f t="shared" si="25"/>
        <v>1.08</v>
      </c>
      <c r="V30" s="137">
        <f t="shared" si="26"/>
        <v>1.3752</v>
      </c>
      <c r="W30" s="138">
        <f t="shared" si="27"/>
        <v>0.35</v>
      </c>
      <c r="X30" s="137">
        <f t="shared" si="28"/>
        <v>0.488431876606684</v>
      </c>
      <c r="Y30" s="49">
        <f t="shared" si="29"/>
        <v>0.8</v>
      </c>
      <c r="Z30" s="139">
        <v>0</v>
      </c>
      <c r="AA30" s="139">
        <v>0</v>
      </c>
      <c r="AB30" s="33">
        <v>0</v>
      </c>
      <c r="AC30" s="29">
        <f t="shared" si="30"/>
        <v>2940.4149675803</v>
      </c>
      <c r="AD30"/>
    </row>
    <row r="31" s="1" customFormat="1" ht="15" spans="1:30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 t="s">
        <v>141</v>
      </c>
      <c r="I31" s="100"/>
      <c r="J31" s="103"/>
      <c r="K31" s="100"/>
      <c r="L31" s="98"/>
      <c r="M31" s="100"/>
      <c r="O31" s="162">
        <v>1</v>
      </c>
      <c r="P31" s="158" t="s">
        <v>142</v>
      </c>
      <c r="Q31" s="37">
        <v>3.51</v>
      </c>
      <c r="R31" s="49" t="s">
        <v>59</v>
      </c>
      <c r="S31" s="163">
        <f t="shared" si="23"/>
        <v>1225</v>
      </c>
      <c r="T31" s="136">
        <f t="shared" si="24"/>
        <v>0.96</v>
      </c>
      <c r="U31" s="136">
        <f t="shared" si="25"/>
        <v>1.08</v>
      </c>
      <c r="V31" s="137">
        <f t="shared" si="26"/>
        <v>1.3752</v>
      </c>
      <c r="W31" s="138">
        <f t="shared" si="27"/>
        <v>0.35</v>
      </c>
      <c r="X31" s="137">
        <f t="shared" si="28"/>
        <v>0.488431876606684</v>
      </c>
      <c r="Y31" s="49">
        <f t="shared" si="29"/>
        <v>0.8</v>
      </c>
      <c r="Z31" s="139">
        <v>0</v>
      </c>
      <c r="AA31" s="139">
        <v>0</v>
      </c>
      <c r="AB31" s="33">
        <v>0</v>
      </c>
      <c r="AC31" s="29">
        <f t="shared" si="30"/>
        <v>6487.84041753008</v>
      </c>
    </row>
    <row r="32" s="1" customFormat="1" ht="15" spans="1:30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1.7</v>
      </c>
      <c r="J32" s="103"/>
      <c r="K32" s="100"/>
      <c r="L32" s="98"/>
      <c r="M32" s="99"/>
      <c r="O32" s="162">
        <v>1</v>
      </c>
      <c r="P32" s="158" t="s">
        <v>144</v>
      </c>
      <c r="Q32" s="37">
        <v>5.2233</v>
      </c>
      <c r="R32" s="49" t="s">
        <v>34</v>
      </c>
      <c r="S32" s="163">
        <f>A34</f>
        <v>3551.269</v>
      </c>
      <c r="T32" s="136">
        <v>0</v>
      </c>
      <c r="U32" s="136">
        <f>E$30+M30</f>
        <v>1.252</v>
      </c>
      <c r="V32" s="137">
        <f>I32+1.6</f>
        <v>3.3</v>
      </c>
      <c r="W32" s="138">
        <f t="shared" si="27"/>
        <v>0.35</v>
      </c>
      <c r="X32" s="137">
        <f t="shared" si="28"/>
        <v>0.488431876606684</v>
      </c>
      <c r="Y32" s="49">
        <f t="shared" si="29"/>
        <v>0.8</v>
      </c>
      <c r="Z32" s="139">
        <v>0</v>
      </c>
      <c r="AA32" s="139">
        <v>0</v>
      </c>
      <c r="AB32" s="33">
        <v>0</v>
      </c>
      <c r="AC32" s="29">
        <f t="shared" si="30"/>
        <v>12797.7926295887</v>
      </c>
    </row>
    <row r="33" s="1" customFormat="1" ht="15" spans="1:29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65">
        <v>1</v>
      </c>
      <c r="P33" s="158" t="s">
        <v>146</v>
      </c>
      <c r="Q33" s="47">
        <f>258.46%</f>
        <v>2.5846</v>
      </c>
      <c r="R33" s="147" t="s">
        <v>102</v>
      </c>
      <c r="S33" s="166">
        <f>C$34</f>
        <v>1225</v>
      </c>
      <c r="T33" s="146">
        <f>S33/$C$27-1</f>
        <v>0.96</v>
      </c>
      <c r="U33" s="146">
        <f>E$30</f>
        <v>1.08</v>
      </c>
      <c r="V33" s="148">
        <f>1+$G$32*($I$32-1)</f>
        <v>1.3752</v>
      </c>
      <c r="W33" s="149">
        <f t="shared" si="27"/>
        <v>0.35</v>
      </c>
      <c r="X33" s="148">
        <f t="shared" si="28"/>
        <v>0.488431876606684</v>
      </c>
      <c r="Y33" s="147">
        <f t="shared" si="29"/>
        <v>0.8</v>
      </c>
      <c r="Z33" s="150">
        <v>0</v>
      </c>
      <c r="AA33" s="150">
        <v>0</v>
      </c>
      <c r="AB33" s="44">
        <v>0</v>
      </c>
      <c r="AC33" s="29">
        <f t="shared" si="30"/>
        <v>4777.34254790548</v>
      </c>
    </row>
    <row r="34" s="1" customFormat="1" spans="1:29">
      <c r="A34" s="94">
        <f>A27*(1+A28+A29+A30+A31)</f>
        <v>3551.269</v>
      </c>
      <c r="B34" s="133"/>
      <c r="C34" s="133">
        <f>C27*(1+C30)+C32</f>
        <v>1225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Q34" s="2"/>
      <c r="U34" s="2"/>
      <c r="V34" s="3"/>
      <c r="AB34" s="4"/>
      <c r="AC34" s="4"/>
    </row>
    <row r="35" s="1" customFormat="1" ht="15" spans="1:29">
      <c r="A35" s="141"/>
      <c r="B35" s="142"/>
      <c r="C35" s="142"/>
      <c r="D35" s="142"/>
      <c r="E35" s="142"/>
      <c r="F35" s="142"/>
      <c r="G35" s="143"/>
      <c r="N35" s="49"/>
      <c r="Q35" s="2"/>
      <c r="U35" s="2"/>
      <c r="V35" s="3"/>
      <c r="AB35" s="4"/>
      <c r="AC35" s="4"/>
    </row>
    <row r="36" s="1" customFormat="1" ht="15" spans="1:29">
      <c r="B36" s="144" t="s">
        <v>148</v>
      </c>
      <c r="G36" s="2"/>
      <c r="N36" s="49"/>
      <c r="Q36" s="2"/>
      <c r="U36" s="2"/>
      <c r="V36" s="3"/>
      <c r="AB36" s="4"/>
      <c r="AC36" s="4"/>
    </row>
    <row r="37" s="1" customFormat="1" spans="1:29">
      <c r="B37" s="152" t="s">
        <v>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N37" s="49"/>
      <c r="Q37" s="2"/>
      <c r="U37" s="2"/>
      <c r="V37" s="3"/>
      <c r="AB37" s="4"/>
      <c r="AC37" s="4"/>
    </row>
    <row r="38" s="1" customFormat="1" ht="15" spans="1:29">
      <c r="B38" s="4" t="s">
        <v>36</v>
      </c>
      <c r="C38" s="154">
        <f>SUM(AC3:AC11)</f>
        <v>4740904.81149081</v>
      </c>
      <c r="D38" s="154">
        <f t="shared" ref="D38:D42" si="31">C38/$E$38</f>
        <v>189636.192459632</v>
      </c>
      <c r="E38" s="155">
        <v>25</v>
      </c>
      <c r="F38" s="156">
        <f t="shared" ref="F38:F42" si="32">C38/$C$44</f>
        <v>0.640725842955789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100</v>
      </c>
      <c r="C39" s="154">
        <f>SUM(AC12:AC20)</f>
        <v>410876.28106587</v>
      </c>
      <c r="D39" s="154">
        <f t="shared" si="31"/>
        <v>16435.0512426348</v>
      </c>
      <c r="E39" s="161"/>
      <c r="F39" s="156">
        <f t="shared" si="32"/>
        <v>0.0555292843885818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163</v>
      </c>
      <c r="C40" s="154">
        <f>SUM(AC28:AC33)+AC25</f>
        <v>53424.2440126175</v>
      </c>
      <c r="D40" s="154">
        <f t="shared" si="31"/>
        <v>2136.9697605047</v>
      </c>
      <c r="E40" s="164"/>
      <c r="F40" s="156">
        <f t="shared" si="32"/>
        <v>0.00722020271242193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116</v>
      </c>
      <c r="C41" s="154">
        <f>SUM(AC22:AC25)</f>
        <v>2100034.57442283</v>
      </c>
      <c r="D41" s="154">
        <f t="shared" si="31"/>
        <v>84001.3829769131</v>
      </c>
      <c r="E41" s="164"/>
      <c r="F41" s="156">
        <f t="shared" si="32"/>
        <v>0.283816376079117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123</v>
      </c>
      <c r="C42" s="154">
        <f>AC26</f>
        <v>94032.1233933162</v>
      </c>
      <c r="D42" s="154">
        <f t="shared" si="31"/>
        <v>3761.28493573265</v>
      </c>
      <c r="E42" s="164"/>
      <c r="F42" s="156">
        <f t="shared" si="32"/>
        <v>0.0127082938640904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54"/>
      <c r="D43" s="154"/>
      <c r="E43" s="164"/>
      <c r="F43" s="156"/>
      <c r="G43" s="2"/>
      <c r="Q43" s="2"/>
      <c r="U43" s="2"/>
      <c r="V43" s="3"/>
      <c r="AB43" s="4"/>
      <c r="AC43" s="4"/>
    </row>
    <row r="44" s="1" customFormat="1" ht="15" spans="1:29">
      <c r="B44" s="4" t="s">
        <v>153</v>
      </c>
      <c r="C44" s="167">
        <f>SUM(C38:C42)</f>
        <v>7399272.03438544</v>
      </c>
      <c r="D44" s="167">
        <f>C44/E38</f>
        <v>295970.881375418</v>
      </c>
      <c r="E44" s="168"/>
      <c r="F44" s="169"/>
      <c r="G44" s="170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95" t="s">
        <v>154</v>
      </c>
      <c r="C46" s="196"/>
      <c r="D46" s="196"/>
      <c r="E46" s="196"/>
      <c r="F46" s="197"/>
      <c r="G46" s="2"/>
      <c r="Q46" s="2"/>
      <c r="U46" s="2"/>
      <c r="V46" s="3"/>
      <c r="AB46" s="4"/>
      <c r="AC46" s="4"/>
    </row>
    <row r="47" s="1" customFormat="1" ht="15" spans="1:29">
      <c r="B47" s="198"/>
      <c r="C47" s="199"/>
      <c r="D47" s="199"/>
      <c r="E47" s="199"/>
      <c r="F47" s="200"/>
      <c r="Q47" s="2"/>
      <c r="U47" s="2"/>
      <c r="V47" s="3"/>
      <c r="AB47" s="4"/>
      <c r="AC47" s="4"/>
    </row>
    <row r="48" s="1" customFormat="1" spans="1:29">
      <c r="B48" s="201"/>
      <c r="C48" s="201"/>
      <c r="D48" s="201"/>
      <c r="E48" s="201"/>
      <c r="F48" s="201"/>
      <c r="G48" s="2"/>
      <c r="Q48" s="2"/>
      <c r="U48" s="2"/>
      <c r="V48" s="3"/>
      <c r="AB48" s="4"/>
      <c r="AC48" s="4"/>
    </row>
    <row r="49" s="1" customFormat="1" ht="15" spans="2:29">
      <c r="B49" s="202" t="s">
        <v>157</v>
      </c>
      <c r="C49" s="203" t="s">
        <v>36</v>
      </c>
      <c r="D49" s="203" t="s">
        <v>158</v>
      </c>
      <c r="E49" s="128"/>
      <c r="F49" s="204"/>
      <c r="G49" s="2"/>
      <c r="Q49" s="2"/>
      <c r="U49" s="2"/>
      <c r="V49" s="3"/>
      <c r="AB49" s="4"/>
      <c r="AC49" s="4"/>
    </row>
    <row r="50" s="1" customFormat="1" ht="15" spans="2:29">
      <c r="B50" s="205"/>
      <c r="C50" s="164" t="s">
        <v>100</v>
      </c>
      <c r="D50" s="164" t="s">
        <v>159</v>
      </c>
      <c r="F50" s="206"/>
      <c r="G50" s="2"/>
      <c r="Q50" s="2"/>
      <c r="U50" s="2"/>
      <c r="V50" s="3"/>
      <c r="AB50" s="4"/>
      <c r="AC50" s="4"/>
    </row>
    <row r="51" s="1" customFormat="1" ht="15" spans="2:29">
      <c r="B51" s="207"/>
      <c r="C51" s="208" t="s">
        <v>160</v>
      </c>
      <c r="D51" s="208" t="s">
        <v>161</v>
      </c>
      <c r="E51" s="147"/>
      <c r="F51" s="43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16" workbookViewId="0">
      <selection activeCell="F31" sqref="F31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11.3636363636364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2882.024</v>
      </c>
      <c r="T3" s="176">
        <f t="shared" ref="T3:T11" si="1">S3/$C$4-1</f>
        <v>1.84784980237154</v>
      </c>
      <c r="U3" s="176">
        <f t="shared" ref="U3:U10" si="2">IF(R3=$C$1,SUM($E$4:$E$9),SUM($E$4:$E$8))</f>
        <v>2.26</v>
      </c>
      <c r="V3" s="177">
        <f t="shared" ref="V3:V9" si="3">1+$G$10*($I$10-1)</f>
        <v>4.00246</v>
      </c>
      <c r="W3" s="178">
        <f t="shared" ref="W3:W9" si="4">IF(R3=$C$1,$K$4+$K$5,$K$4)</f>
        <v>0.65</v>
      </c>
      <c r="X3" s="177">
        <f t="shared" ref="X3:X6" si="5">$AF$3</f>
        <v>0.488431876606684</v>
      </c>
      <c r="Y3" s="174">
        <f t="shared" ref="Y3:Y6" si="6">$AF$14</f>
        <v>0.8</v>
      </c>
      <c r="Z3" s="179">
        <v>0</v>
      </c>
      <c r="AA3" s="179">
        <v>0</v>
      </c>
      <c r="AB3" s="180">
        <v>0</v>
      </c>
      <c r="AC3" s="29">
        <f t="shared" ref="AC3:AC11" si="7">Q3*$C$4*(1+T3)*(1+U3)*V3*(1+W3)*X3*Y3*(1+Z3)*(1+AA3)*(1+AB3)*O3</f>
        <v>66334.0047229786</v>
      </c>
      <c r="AD3" s="16">
        <v>0</v>
      </c>
      <c r="AE3" s="16">
        <v>0</v>
      </c>
      <c r="AF3" s="17">
        <f t="shared" ref="AF3:AF8" si="8"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15%+25%+25%</f>
        <v>0.65</v>
      </c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 t="shared" si="2"/>
        <v>2.26</v>
      </c>
      <c r="V4" s="177">
        <f t="shared" si="3"/>
        <v>4.00246</v>
      </c>
      <c r="W4" s="27">
        <f t="shared" si="4"/>
        <v>0.65</v>
      </c>
      <c r="X4" s="177">
        <f t="shared" si="5"/>
        <v>0.488431876606684</v>
      </c>
      <c r="Y4" s="23">
        <f t="shared" si="6"/>
        <v>0.8</v>
      </c>
      <c r="Z4" s="28">
        <v>0</v>
      </c>
      <c r="AA4" s="28">
        <v>0</v>
      </c>
      <c r="AB4" s="182">
        <v>0</v>
      </c>
      <c r="AC4" s="29">
        <f t="shared" si="7"/>
        <v>32628.7659196581</v>
      </c>
      <c r="AD4" s="16">
        <v>64</v>
      </c>
      <c r="AE4" s="16">
        <v>0</v>
      </c>
      <c r="AF4" s="17">
        <f>1520/(1520+(792+8*AG4)*(1-AE4/100)*(1-AD4/100))</f>
        <v>0.726188656168782</v>
      </c>
      <c r="AG4" s="30">
        <v>100</v>
      </c>
    </row>
    <row r="5" s="1" customFormat="1" ht="15" spans="2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 t="shared" si="2"/>
        <v>2.682</v>
      </c>
      <c r="V5" s="177">
        <f t="shared" si="3"/>
        <v>4.00246</v>
      </c>
      <c r="W5" s="27">
        <f t="shared" si="4"/>
        <v>0.9</v>
      </c>
      <c r="X5" s="26">
        <f t="shared" ref="X5:X11" si="9">$AF$4</f>
        <v>0.726188656168782</v>
      </c>
      <c r="Y5" s="23">
        <f t="shared" ref="Y5:Y11" si="10">$AF$12</f>
        <v>1.05</v>
      </c>
      <c r="Z5" s="28">
        <v>0.4</v>
      </c>
      <c r="AA5" s="28">
        <v>0.4</v>
      </c>
      <c r="AB5" s="182">
        <v>0</v>
      </c>
      <c r="AC5" s="29">
        <f t="shared" si="7"/>
        <v>1210874.6116456</v>
      </c>
      <c r="AD5" s="16">
        <v>0</v>
      </c>
      <c r="AE5" s="16">
        <v>30</v>
      </c>
      <c r="AF5" s="17">
        <f t="shared" si="8"/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f>12%*2+20%</f>
        <v>0.44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si="2"/>
        <v>2.26</v>
      </c>
      <c r="V6" s="177">
        <f t="shared" si="3"/>
        <v>4.00246</v>
      </c>
      <c r="W6" s="27">
        <f t="shared" si="4"/>
        <v>0.65</v>
      </c>
      <c r="X6" s="177">
        <f t="shared" si="5"/>
        <v>0.488431876606684</v>
      </c>
      <c r="Y6" s="23">
        <f t="shared" si="6"/>
        <v>0.8</v>
      </c>
      <c r="Z6" s="28">
        <v>0</v>
      </c>
      <c r="AA6" s="28">
        <v>0</v>
      </c>
      <c r="AB6" s="182">
        <v>0</v>
      </c>
      <c r="AC6" s="29">
        <f t="shared" si="7"/>
        <v>83390.281156683</v>
      </c>
      <c r="AD6" s="16">
        <v>0</v>
      </c>
      <c r="AE6" s="16">
        <v>21.6</v>
      </c>
      <c r="AF6" s="17">
        <f t="shared" si="8"/>
        <v>0.549107555719967</v>
      </c>
      <c r="AG6" s="30">
        <v>100</v>
      </c>
    </row>
    <row r="7" s="1" customFormat="1" ht="15" spans="2:33">
      <c r="B7" s="31" t="s">
        <v>78</v>
      </c>
      <c r="C7" s="34"/>
      <c r="D7" s="31" t="s">
        <v>79</v>
      </c>
      <c r="E7" s="33">
        <f>58%+40%+24%</f>
        <v>1.22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2"/>
        <v>2.682</v>
      </c>
      <c r="V7" s="177">
        <f t="shared" si="3"/>
        <v>4.00246</v>
      </c>
      <c r="W7" s="27">
        <f t="shared" si="4"/>
        <v>0.9</v>
      </c>
      <c r="X7" s="26">
        <f t="shared" si="9"/>
        <v>0.726188656168782</v>
      </c>
      <c r="Y7" s="23">
        <f t="shared" si="10"/>
        <v>1.05</v>
      </c>
      <c r="Z7" s="28">
        <v>1</v>
      </c>
      <c r="AA7" s="28">
        <v>0.4</v>
      </c>
      <c r="AB7" s="182">
        <v>0</v>
      </c>
      <c r="AC7" s="29">
        <f t="shared" si="7"/>
        <v>616624.061996431</v>
      </c>
      <c r="AD7" s="16">
        <v>0</v>
      </c>
      <c r="AE7" s="16">
        <v>28.8</v>
      </c>
      <c r="AF7" s="17">
        <f t="shared" si="8"/>
        <v>0.572827476423627</v>
      </c>
      <c r="AG7" s="30">
        <v>100</v>
      </c>
    </row>
    <row r="8" s="1" customFormat="1" ht="15" spans="2:33">
      <c r="B8" s="31" t="s">
        <v>82</v>
      </c>
      <c r="C8" s="39">
        <f>25%+30%</f>
        <v>0.55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2"/>
        <v>2.26</v>
      </c>
      <c r="V8" s="177">
        <f t="shared" si="3"/>
        <v>4.00246</v>
      </c>
      <c r="W8" s="27">
        <f t="shared" si="4"/>
        <v>0.65</v>
      </c>
      <c r="X8" s="177">
        <f t="shared" ref="X8:X20" si="11">$AF$3</f>
        <v>0.488431876606684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7"/>
        <v>83390.281156683</v>
      </c>
      <c r="AD8" s="16">
        <v>0</v>
      </c>
      <c r="AE8" s="16">
        <v>36</v>
      </c>
      <c r="AF8" s="17">
        <f t="shared" si="8"/>
        <v>0.598689185782707</v>
      </c>
      <c r="AG8" s="30">
        <v>100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>
        <f>32%+40%</f>
        <v>0.72</v>
      </c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2"/>
        <v>2.682</v>
      </c>
      <c r="V9" s="177">
        <f t="shared" si="3"/>
        <v>4.00246</v>
      </c>
      <c r="W9" s="27">
        <f t="shared" si="4"/>
        <v>0.9</v>
      </c>
      <c r="X9" s="26">
        <f t="shared" si="9"/>
        <v>0.726188656168782</v>
      </c>
      <c r="Y9" s="23">
        <f t="shared" si="10"/>
        <v>1.05</v>
      </c>
      <c r="Z9" s="28">
        <v>1</v>
      </c>
      <c r="AA9" s="28">
        <v>0.4</v>
      </c>
      <c r="AB9" s="182">
        <v>0</v>
      </c>
      <c r="AC9" s="29">
        <f t="shared" si="7"/>
        <v>616624.061996431</v>
      </c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4.07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2"/>
        <v>2.682</v>
      </c>
      <c r="V10" s="177">
        <f>1+$G$10*($I$10-1+3)</f>
        <v>6.93646</v>
      </c>
      <c r="W10" s="27">
        <f>IF(R10=$C$1,$K$4+$K$5,$K$4)+2</f>
        <v>2.9</v>
      </c>
      <c r="X10" s="26">
        <f t="shared" si="9"/>
        <v>0.726188656168782</v>
      </c>
      <c r="Y10" s="23">
        <f t="shared" si="10"/>
        <v>1.05</v>
      </c>
      <c r="Z10" s="28">
        <v>0</v>
      </c>
      <c r="AA10" s="28">
        <v>0.4</v>
      </c>
      <c r="AB10" s="182">
        <v>0</v>
      </c>
      <c r="AC10" s="29">
        <f t="shared" si="7"/>
        <v>710949.332175431</v>
      </c>
    </row>
    <row r="11" s="1" customFormat="1" ht="15" spans="2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2.682</v>
      </c>
      <c r="V11" s="190">
        <f>1+$G$10*($I$10-1)</f>
        <v>4.00246</v>
      </c>
      <c r="W11" s="191">
        <f>IF(R11=$C$1,$K$4+$K$5,$K$4)+$K$6+0.25</f>
        <v>1.15</v>
      </c>
      <c r="X11" s="192">
        <f t="shared" si="9"/>
        <v>0.726188656168782</v>
      </c>
      <c r="Y11" s="186">
        <f t="shared" si="10"/>
        <v>1.05</v>
      </c>
      <c r="Z11" s="193">
        <v>1</v>
      </c>
      <c r="AA11" s="193">
        <v>0.4</v>
      </c>
      <c r="AB11" s="194">
        <v>0</v>
      </c>
      <c r="AC11" s="29">
        <f t="shared" si="7"/>
        <v>3488384.62075944</v>
      </c>
      <c r="AE11"/>
      <c r="AF11"/>
    </row>
    <row r="12" s="1" customFormat="1" ht="15" spans="2:33">
      <c r="B12" s="49"/>
      <c r="C12" s="49"/>
      <c r="E12" s="50"/>
      <c r="G12" s="53"/>
      <c r="J12" s="2"/>
      <c r="K12" s="2"/>
      <c r="O12" s="173">
        <v>1</v>
      </c>
      <c r="P12" s="215" t="s">
        <v>97</v>
      </c>
      <c r="Q12" s="159">
        <v>2.248</v>
      </c>
      <c r="R12" s="128" t="s">
        <v>66</v>
      </c>
      <c r="S12" s="160">
        <f t="shared" ref="S12:S20" si="12">$C$16*(1+$C$17+$C$18+$C$19+$C$20)+($C$21+$C$22)</f>
        <v>2586.086</v>
      </c>
      <c r="T12" s="127">
        <f t="shared" ref="T12:T20" si="13">($C$17+$C$18+$C$19+$C$20)+($C$21+$C$22)/$C$16</f>
        <v>1.68544755970924</v>
      </c>
      <c r="U12" s="127">
        <f>IF(R12=$C$13,SUM($E$16:$E$21),SUM($E$16:$E$20))-12%</f>
        <v>1.85</v>
      </c>
      <c r="V12" s="129">
        <f t="shared" ref="V12:V20" si="14">1+$G$22*($I$22-1)</f>
        <v>2.92166</v>
      </c>
      <c r="W12" s="130">
        <f t="shared" ref="W12:W20" si="15">IF(R12=$C$1,$K$16+$K$17,$K$16)</f>
        <v>0.45</v>
      </c>
      <c r="X12" s="129">
        <f t="shared" si="11"/>
        <v>0.488431876606684</v>
      </c>
      <c r="Y12" s="128">
        <f t="shared" ref="Y12:Y20" si="16">$AF$15</f>
        <v>0.8</v>
      </c>
      <c r="Z12" s="131">
        <v>0</v>
      </c>
      <c r="AA12" s="131">
        <v>0</v>
      </c>
      <c r="AB12" s="36">
        <v>0</v>
      </c>
      <c r="AC12" s="216">
        <f t="shared" ref="AC12:AC20" si="17">Q12*$C$16*(1+T12)*(1+U12)*V12*(1+W12)*X12*Y12*(1+Z12)*(1+AA12)*(1+AB12)*O12</f>
        <v>27426.8413077854</v>
      </c>
      <c r="AE12" s="48" t="s">
        <v>34</v>
      </c>
      <c r="AF12" s="48">
        <v>1.05</v>
      </c>
    </row>
    <row r="13" s="1" customFormat="1" ht="15" spans="2:33">
      <c r="B13" s="5" t="s">
        <v>33</v>
      </c>
      <c r="C13" s="5" t="s">
        <v>77</v>
      </c>
      <c r="D13" s="6" t="s">
        <v>35</v>
      </c>
      <c r="E13" s="6">
        <v>1</v>
      </c>
      <c r="O13" s="181">
        <v>1</v>
      </c>
      <c r="P13" s="215" t="s">
        <v>98</v>
      </c>
      <c r="Q13" s="37">
        <v>8.748</v>
      </c>
      <c r="R13" s="49" t="s">
        <v>34</v>
      </c>
      <c r="S13" s="163">
        <f t="shared" si="12"/>
        <v>2586.086</v>
      </c>
      <c r="T13" s="136">
        <f t="shared" si="13"/>
        <v>1.68544755970924</v>
      </c>
      <c r="U13" s="136">
        <f>IF(R13=$C$13,SUM($E$16:$E$21),SUM($E$16:$E$20))-12%</f>
        <v>1.85</v>
      </c>
      <c r="V13" s="137">
        <f t="shared" si="14"/>
        <v>2.92166</v>
      </c>
      <c r="W13" s="138">
        <f t="shared" si="15"/>
        <v>0.45</v>
      </c>
      <c r="X13" s="137">
        <f t="shared" si="11"/>
        <v>0.488431876606684</v>
      </c>
      <c r="Y13" s="128">
        <f t="shared" si="16"/>
        <v>0.8</v>
      </c>
      <c r="Z13" s="139">
        <v>0</v>
      </c>
      <c r="AA13" s="139">
        <v>0</v>
      </c>
      <c r="AB13" s="33">
        <v>0</v>
      </c>
      <c r="AC13" s="216">
        <f t="shared" si="17"/>
        <v>106730.430498446</v>
      </c>
      <c r="AE13" s="52" t="s">
        <v>99</v>
      </c>
      <c r="AF13" s="52">
        <v>0.8</v>
      </c>
    </row>
    <row r="14" s="1" customFormat="1" ht="15" spans="2:33">
      <c r="B14" s="217" t="s">
        <v>100</v>
      </c>
      <c r="C14" s="217"/>
      <c r="D14" s="217"/>
      <c r="E14" s="217"/>
      <c r="F14" s="217"/>
      <c r="G14" s="217"/>
      <c r="H14" s="217"/>
      <c r="I14" s="217"/>
      <c r="J14" s="217"/>
      <c r="K14" s="217"/>
      <c r="L14" s="217"/>
      <c r="M14" s="217"/>
      <c r="O14" s="181">
        <v>1</v>
      </c>
      <c r="P14" s="215" t="s">
        <v>101</v>
      </c>
      <c r="Q14" s="37">
        <v>2.7863</v>
      </c>
      <c r="R14" s="49" t="s">
        <v>102</v>
      </c>
      <c r="S14" s="163">
        <f t="shared" si="12"/>
        <v>2586.086</v>
      </c>
      <c r="T14" s="136">
        <f t="shared" si="13"/>
        <v>1.68544755970924</v>
      </c>
      <c r="U14" s="136">
        <f>IF(R14=$C$13,SUM($E$16:$E$21),SUM($E$16:$E$20))-6%</f>
        <v>1.91</v>
      </c>
      <c r="V14" s="137">
        <f t="shared" si="14"/>
        <v>2.92166</v>
      </c>
      <c r="W14" s="138">
        <f t="shared" si="15"/>
        <v>0.45</v>
      </c>
      <c r="X14" s="137">
        <f t="shared" si="11"/>
        <v>0.488431876606684</v>
      </c>
      <c r="Y14" s="128">
        <f t="shared" si="16"/>
        <v>0.8</v>
      </c>
      <c r="Z14" s="139">
        <v>0</v>
      </c>
      <c r="AA14" s="139">
        <v>0</v>
      </c>
      <c r="AB14" s="33">
        <v>0</v>
      </c>
      <c r="AC14" s="216">
        <f t="shared" si="17"/>
        <v>34710.0700963692</v>
      </c>
      <c r="AE14" s="54" t="s">
        <v>103</v>
      </c>
      <c r="AF14" s="54">
        <v>0.8</v>
      </c>
    </row>
    <row r="15" s="1" customFormat="1" ht="15" spans="2:33">
      <c r="B15" s="157" t="s">
        <v>55</v>
      </c>
      <c r="C15" s="157"/>
      <c r="D15" s="157" t="s">
        <v>43</v>
      </c>
      <c r="E15" s="157"/>
      <c r="F15" s="157" t="s">
        <v>56</v>
      </c>
      <c r="G15" s="157"/>
      <c r="H15" s="157" t="s">
        <v>57</v>
      </c>
      <c r="I15" s="157"/>
      <c r="J15" s="157" t="s">
        <v>45</v>
      </c>
      <c r="K15" s="157"/>
      <c r="L15" s="157" t="s">
        <v>58</v>
      </c>
      <c r="M15" s="157"/>
      <c r="O15" s="181">
        <v>1</v>
      </c>
      <c r="P15" s="215" t="s">
        <v>104</v>
      </c>
      <c r="Q15" s="37">
        <v>5.5556</v>
      </c>
      <c r="R15" s="49" t="s">
        <v>77</v>
      </c>
      <c r="S15" s="163">
        <f t="shared" si="12"/>
        <v>2586.086</v>
      </c>
      <c r="T15" s="136">
        <f t="shared" si="13"/>
        <v>1.68544755970924</v>
      </c>
      <c r="U15" s="136">
        <f t="shared" ref="U15:U20" si="18">IF(R15=$C$13,SUM($E$16:$E$21),SUM($E$16:$E$20))</f>
        <v>2.776</v>
      </c>
      <c r="V15" s="137">
        <f t="shared" si="14"/>
        <v>2.92166</v>
      </c>
      <c r="W15" s="138">
        <f t="shared" si="15"/>
        <v>0.45</v>
      </c>
      <c r="X15" s="137">
        <f t="shared" si="11"/>
        <v>0.488431876606684</v>
      </c>
      <c r="Y15" s="128">
        <f t="shared" si="16"/>
        <v>0.8</v>
      </c>
      <c r="Z15" s="139">
        <v>0</v>
      </c>
      <c r="AA15" s="139">
        <v>0</v>
      </c>
      <c r="AB15" s="33">
        <v>0</v>
      </c>
      <c r="AC15" s="216">
        <f t="shared" si="17"/>
        <v>89804.3929784847</v>
      </c>
      <c r="AE15" s="55" t="s">
        <v>105</v>
      </c>
      <c r="AF15" s="55">
        <v>0.8</v>
      </c>
    </row>
    <row r="16" s="1" customFormat="1" ht="15" spans="2:33">
      <c r="B16" s="125" t="s">
        <v>60</v>
      </c>
      <c r="C16" s="32">
        <f>375+588</f>
        <v>963</v>
      </c>
      <c r="D16" s="125" t="s">
        <v>61</v>
      </c>
      <c r="E16" s="36">
        <f>E13*30%</f>
        <v>0.3</v>
      </c>
      <c r="F16" s="125" t="s">
        <v>62</v>
      </c>
      <c r="G16" s="218">
        <v>0.13</v>
      </c>
      <c r="H16" s="125" t="s">
        <v>62</v>
      </c>
      <c r="I16" s="218">
        <v>1.5</v>
      </c>
      <c r="J16" s="35" t="s">
        <v>63</v>
      </c>
      <c r="K16" s="36">
        <f>25%+20%</f>
        <v>0.45</v>
      </c>
      <c r="L16" s="125" t="s">
        <v>64</v>
      </c>
      <c r="M16" s="218">
        <f>8.6%*2</f>
        <v>0.172</v>
      </c>
      <c r="O16" s="181">
        <v>1</v>
      </c>
      <c r="P16" s="215" t="s">
        <v>106</v>
      </c>
      <c r="Q16" s="37">
        <v>3.076</v>
      </c>
      <c r="R16" s="49" t="s">
        <v>77</v>
      </c>
      <c r="S16" s="163">
        <f t="shared" si="12"/>
        <v>2586.086</v>
      </c>
      <c r="T16" s="136">
        <f t="shared" si="13"/>
        <v>1.68544755970924</v>
      </c>
      <c r="U16" s="136">
        <f t="shared" si="18"/>
        <v>2.776</v>
      </c>
      <c r="V16" s="137">
        <f t="shared" si="14"/>
        <v>2.92166</v>
      </c>
      <c r="W16" s="138">
        <f t="shared" si="15"/>
        <v>0.45</v>
      </c>
      <c r="X16" s="137">
        <f t="shared" si="11"/>
        <v>0.488431876606684</v>
      </c>
      <c r="Y16" s="128">
        <f t="shared" si="16"/>
        <v>0.8</v>
      </c>
      <c r="Z16" s="139">
        <v>0</v>
      </c>
      <c r="AA16" s="139">
        <v>0</v>
      </c>
      <c r="AB16" s="33">
        <v>0</v>
      </c>
      <c r="AC16" s="216">
        <f t="shared" si="17"/>
        <v>49722.4985243392</v>
      </c>
    </row>
    <row r="17" s="1" customFormat="1" ht="15" spans="1:30">
      <c r="B17" s="31" t="s">
        <v>67</v>
      </c>
      <c r="C17" s="33">
        <v>0.24</v>
      </c>
      <c r="D17" s="31" t="s">
        <v>68</v>
      </c>
      <c r="E17" s="33">
        <v>0.1</v>
      </c>
      <c r="F17" s="31" t="s">
        <v>69</v>
      </c>
      <c r="G17" s="34">
        <v>0.243</v>
      </c>
      <c r="H17" s="31" t="s">
        <v>69</v>
      </c>
      <c r="I17" s="34">
        <v>0</v>
      </c>
      <c r="J17" s="37" t="s">
        <v>107</v>
      </c>
      <c r="K17" s="33"/>
      <c r="L17" s="31" t="s">
        <v>108</v>
      </c>
      <c r="M17" s="34">
        <f>1*8.6%</f>
        <v>0.086</v>
      </c>
      <c r="O17" s="181">
        <v>1</v>
      </c>
      <c r="P17" s="215" t="s">
        <v>109</v>
      </c>
      <c r="Q17" s="37">
        <v>12.1672</v>
      </c>
      <c r="R17" s="49" t="s">
        <v>77</v>
      </c>
      <c r="S17" s="163">
        <f t="shared" si="12"/>
        <v>2586.086</v>
      </c>
      <c r="T17" s="136">
        <f t="shared" si="13"/>
        <v>1.68544755970924</v>
      </c>
      <c r="U17" s="136">
        <f t="shared" si="18"/>
        <v>2.776</v>
      </c>
      <c r="V17" s="137">
        <f t="shared" si="14"/>
        <v>2.92166</v>
      </c>
      <c r="W17" s="138">
        <f t="shared" si="15"/>
        <v>0.45</v>
      </c>
      <c r="X17" s="137">
        <f t="shared" si="11"/>
        <v>0.488431876606684</v>
      </c>
      <c r="Y17" s="128">
        <f t="shared" si="16"/>
        <v>0.8</v>
      </c>
      <c r="Z17" s="139">
        <v>0</v>
      </c>
      <c r="AA17" s="139">
        <v>0</v>
      </c>
      <c r="AB17" s="33">
        <v>0</v>
      </c>
      <c r="AC17" s="216">
        <f t="shared" si="17"/>
        <v>196678.66841526</v>
      </c>
    </row>
    <row r="18" s="1" customFormat="1" ht="15" spans="1:30">
      <c r="B18" s="31" t="s">
        <v>73</v>
      </c>
      <c r="C18" s="33">
        <f>18%+18%+M16+(2-E13)*30%</f>
        <v>0.832</v>
      </c>
      <c r="D18" s="31" t="s">
        <v>74</v>
      </c>
      <c r="E18" s="33">
        <v>0.25</v>
      </c>
      <c r="F18" s="31" t="s">
        <v>75</v>
      </c>
      <c r="G18" s="34"/>
      <c r="H18" s="31" t="s">
        <v>75</v>
      </c>
      <c r="I18" s="34">
        <v>0.44</v>
      </c>
      <c r="J18" s="37"/>
      <c r="K18" s="34"/>
      <c r="L18" s="31" t="s">
        <v>56</v>
      </c>
      <c r="M18" s="34">
        <f>8.1*5%</f>
        <v>0.405</v>
      </c>
      <c r="O18" s="181">
        <v>1</v>
      </c>
      <c r="P18" s="215" t="s">
        <v>110</v>
      </c>
      <c r="Q18" s="37">
        <v>2.3262</v>
      </c>
      <c r="R18" s="49" t="s">
        <v>102</v>
      </c>
      <c r="S18" s="163">
        <f t="shared" si="12"/>
        <v>2586.086</v>
      </c>
      <c r="T18" s="136">
        <f t="shared" si="13"/>
        <v>1.68544755970924</v>
      </c>
      <c r="U18" s="136">
        <f t="shared" si="18"/>
        <v>1.97</v>
      </c>
      <c r="V18" s="137">
        <f t="shared" si="14"/>
        <v>2.92166</v>
      </c>
      <c r="W18" s="138">
        <f t="shared" si="15"/>
        <v>0.45</v>
      </c>
      <c r="X18" s="137">
        <f t="shared" si="11"/>
        <v>0.488431876606684</v>
      </c>
      <c r="Y18" s="128">
        <f t="shared" si="16"/>
        <v>0.8</v>
      </c>
      <c r="Z18" s="139">
        <v>0</v>
      </c>
      <c r="AA18" s="139">
        <v>0</v>
      </c>
      <c r="AB18" s="33">
        <v>0</v>
      </c>
      <c r="AC18" s="216">
        <f t="shared" si="17"/>
        <v>29575.9107827631</v>
      </c>
    </row>
    <row r="19" s="1" customFormat="1" ht="15" spans="1:30">
      <c r="B19" s="31" t="s">
        <v>78</v>
      </c>
      <c r="C19" s="39"/>
      <c r="D19" s="31" t="s">
        <v>79</v>
      </c>
      <c r="E19" s="33">
        <f>40%+20%</f>
        <v>0.6</v>
      </c>
      <c r="F19" s="31" t="s">
        <v>73</v>
      </c>
      <c r="G19" s="34">
        <f>M18</f>
        <v>0.405</v>
      </c>
      <c r="H19" s="31" t="s">
        <v>73</v>
      </c>
      <c r="I19" s="34">
        <f>M19</f>
        <v>0.81</v>
      </c>
      <c r="J19" s="37"/>
      <c r="K19" s="34"/>
      <c r="L19" s="31" t="s">
        <v>80</v>
      </c>
      <c r="M19" s="33">
        <f>16.2%*5</f>
        <v>0.81</v>
      </c>
      <c r="O19" s="181">
        <v>1</v>
      </c>
      <c r="P19" s="215" t="s">
        <v>111</v>
      </c>
      <c r="Q19" s="37">
        <v>1</v>
      </c>
      <c r="R19" s="49" t="s">
        <v>112</v>
      </c>
      <c r="S19" s="163">
        <f t="shared" si="12"/>
        <v>2586.086</v>
      </c>
      <c r="T19" s="136">
        <f t="shared" si="13"/>
        <v>1.68544755970924</v>
      </c>
      <c r="U19" s="136">
        <f t="shared" si="18"/>
        <v>1.97</v>
      </c>
      <c r="V19" s="137">
        <f t="shared" si="14"/>
        <v>2.92166</v>
      </c>
      <c r="W19" s="138">
        <f t="shared" si="15"/>
        <v>0.45</v>
      </c>
      <c r="X19" s="137">
        <f t="shared" si="11"/>
        <v>0.488431876606684</v>
      </c>
      <c r="Y19" s="128">
        <f t="shared" si="16"/>
        <v>0.8</v>
      </c>
      <c r="Z19" s="139">
        <v>0</v>
      </c>
      <c r="AA19" s="139">
        <v>0</v>
      </c>
      <c r="AB19" s="33">
        <v>0</v>
      </c>
      <c r="AC19" s="216">
        <f t="shared" si="17"/>
        <v>12714.2596435229</v>
      </c>
    </row>
    <row r="20" s="1" customFormat="1" ht="15" spans="1:30">
      <c r="B20" s="31" t="s">
        <v>82</v>
      </c>
      <c r="C20" s="39">
        <v>0.25</v>
      </c>
      <c r="D20" s="31" t="s">
        <v>83</v>
      </c>
      <c r="E20" s="184">
        <f>24%+24%*2</f>
        <v>0.72</v>
      </c>
      <c r="F20" s="31" t="s">
        <v>84</v>
      </c>
      <c r="G20" s="34">
        <v>0</v>
      </c>
      <c r="H20" s="31" t="s">
        <v>84</v>
      </c>
      <c r="I20" s="34">
        <v>0</v>
      </c>
      <c r="J20" s="37"/>
      <c r="K20" s="34"/>
      <c r="L20" s="31"/>
      <c r="M20" s="32"/>
      <c r="O20" s="185">
        <v>1</v>
      </c>
      <c r="P20" s="215" t="s">
        <v>113</v>
      </c>
      <c r="Q20" s="47">
        <v>2.736</v>
      </c>
      <c r="R20" s="147" t="s">
        <v>59</v>
      </c>
      <c r="S20" s="166">
        <f t="shared" si="12"/>
        <v>2586.086</v>
      </c>
      <c r="T20" s="146">
        <f t="shared" si="13"/>
        <v>1.68544755970924</v>
      </c>
      <c r="U20" s="146">
        <f t="shared" si="18"/>
        <v>1.97</v>
      </c>
      <c r="V20" s="148">
        <f t="shared" si="14"/>
        <v>2.92166</v>
      </c>
      <c r="W20" s="149">
        <f t="shared" si="15"/>
        <v>0.45</v>
      </c>
      <c r="X20" s="148">
        <f t="shared" si="11"/>
        <v>0.488431876606684</v>
      </c>
      <c r="Y20" s="128">
        <f t="shared" si="16"/>
        <v>0.8</v>
      </c>
      <c r="Z20" s="150">
        <v>0</v>
      </c>
      <c r="AA20" s="150">
        <v>0</v>
      </c>
      <c r="AB20" s="44">
        <v>0</v>
      </c>
      <c r="AC20" s="216">
        <f t="shared" si="17"/>
        <v>34786.2143846788</v>
      </c>
    </row>
    <row r="21" s="1" customFormat="1" spans="1:30">
      <c r="B21" s="31" t="s">
        <v>87</v>
      </c>
      <c r="C21" s="32">
        <v>350</v>
      </c>
      <c r="D21" s="31" t="s">
        <v>114</v>
      </c>
      <c r="E21" s="33">
        <f>36%*2+M17</f>
        <v>0.806</v>
      </c>
      <c r="F21" s="31" t="s">
        <v>89</v>
      </c>
      <c r="G21" s="34"/>
      <c r="H21" s="31" t="s">
        <v>89</v>
      </c>
      <c r="I21" s="34">
        <f>32%+40%</f>
        <v>0.72</v>
      </c>
      <c r="J21" s="37"/>
      <c r="K21" s="34"/>
      <c r="L21" s="31"/>
      <c r="M21" s="32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="1" customFormat="1" ht="15" spans="1:30">
      <c r="B22" s="42" t="s">
        <v>91</v>
      </c>
      <c r="C22" s="43"/>
      <c r="D22" s="42"/>
      <c r="E22" s="44"/>
      <c r="F22" s="45" t="s">
        <v>92</v>
      </c>
      <c r="G22" s="46">
        <f>MIN(100%,SUM(G16:G21))</f>
        <v>0.778</v>
      </c>
      <c r="H22" s="45" t="s">
        <v>93</v>
      </c>
      <c r="I22" s="46">
        <f>SUM(I16:I21)</f>
        <v>3.47</v>
      </c>
      <c r="J22" s="47"/>
      <c r="K22" s="219"/>
      <c r="L22" s="42"/>
      <c r="M22" s="43"/>
      <c r="O22" s="125">
        <v>20</v>
      </c>
      <c r="P22" s="127" t="s">
        <v>115</v>
      </c>
      <c r="Q22" s="127">
        <v>1.0935</v>
      </c>
      <c r="R22" s="128" t="s">
        <v>116</v>
      </c>
      <c r="S22" s="128">
        <v>10027</v>
      </c>
      <c r="T22" s="127">
        <v>0</v>
      </c>
      <c r="U22" s="127">
        <v>0</v>
      </c>
      <c r="V22" s="129">
        <v>2.4</v>
      </c>
      <c r="W22" s="130">
        <v>0</v>
      </c>
      <c r="X22" s="129">
        <f t="shared" ref="X22:X26" si="19">$AF$3</f>
        <v>0.488431876606684</v>
      </c>
      <c r="Y22" s="128">
        <f t="shared" ref="Y22:Y26" si="20">$AF$13</f>
        <v>0.8</v>
      </c>
      <c r="Z22" s="131">
        <v>2.4</v>
      </c>
      <c r="AA22" s="131">
        <v>0.8</v>
      </c>
      <c r="AB22" s="131">
        <v>0.5</v>
      </c>
      <c r="AC22" s="132">
        <f t="shared" ref="AC22:AC26" si="21">Q22*$S$26*(1+T22)*(1+U22)*V22*(1+W22)*X22*Y22*(1+Z22)*(1+AA22)*(1+AB22)*O22</f>
        <v>1887850.97044566</v>
      </c>
    </row>
    <row r="23" s="1" customFormat="1" ht="15" spans="1:30">
      <c r="B23" s="49"/>
      <c r="C23" s="49"/>
      <c r="E23" s="50"/>
      <c r="F23" s="18" t="s">
        <v>95</v>
      </c>
      <c r="G23" s="51">
        <f>MAX(0,SUM(G16:G21)-1)</f>
        <v>0</v>
      </c>
      <c r="J23" s="2"/>
      <c r="K23" s="2"/>
      <c r="O23" s="31">
        <f t="shared" ref="O23:O25" si="22">$O$26</f>
        <v>1.5</v>
      </c>
      <c r="P23" s="49" t="s">
        <v>117</v>
      </c>
      <c r="Q23" s="136">
        <v>5.9643</v>
      </c>
      <c r="R23" s="49" t="s">
        <v>116</v>
      </c>
      <c r="S23" s="49">
        <v>10027</v>
      </c>
      <c r="T23" s="136">
        <v>0</v>
      </c>
      <c r="U23" s="136">
        <v>0</v>
      </c>
      <c r="V23" s="137">
        <v>2.4</v>
      </c>
      <c r="W23" s="138">
        <v>0</v>
      </c>
      <c r="X23" s="137">
        <f t="shared" si="19"/>
        <v>0.488431876606684</v>
      </c>
      <c r="Y23" s="49">
        <f t="shared" si="20"/>
        <v>0.8</v>
      </c>
      <c r="Z23" s="139">
        <v>0</v>
      </c>
      <c r="AA23" s="139">
        <v>0</v>
      </c>
      <c r="AB23" s="139">
        <v>0.5</v>
      </c>
      <c r="AC23" s="140">
        <f t="shared" si="21"/>
        <v>126188.05354982</v>
      </c>
    </row>
    <row r="24" s="1" customFormat="1" ht="15" spans="1:30">
      <c r="B24" s="49"/>
      <c r="C24" s="49"/>
      <c r="E24" s="50"/>
      <c r="J24" s="2"/>
      <c r="K24" s="2"/>
      <c r="O24" s="31">
        <f t="shared" si="22"/>
        <v>1.5</v>
      </c>
      <c r="P24" s="49" t="s">
        <v>118</v>
      </c>
      <c r="Q24" s="136">
        <v>18.8075</v>
      </c>
      <c r="R24" s="49" t="s">
        <v>116</v>
      </c>
      <c r="S24" s="49">
        <v>10027</v>
      </c>
      <c r="T24" s="136">
        <v>0</v>
      </c>
      <c r="U24" s="136">
        <v>0</v>
      </c>
      <c r="V24" s="137">
        <v>1</v>
      </c>
      <c r="W24" s="138">
        <v>0</v>
      </c>
      <c r="X24" s="137">
        <f t="shared" si="19"/>
        <v>0.488431876606684</v>
      </c>
      <c r="Y24" s="49">
        <f t="shared" si="20"/>
        <v>0.8</v>
      </c>
      <c r="Z24" s="139">
        <v>0</v>
      </c>
      <c r="AA24" s="139">
        <v>0</v>
      </c>
      <c r="AB24" s="139">
        <v>0.5</v>
      </c>
      <c r="AC24" s="140">
        <f t="shared" si="21"/>
        <v>165797.733817481</v>
      </c>
      <c r="AD24"/>
    </row>
    <row r="25" s="1" customFormat="1" ht="15" spans="1:30">
      <c r="A25" s="94"/>
      <c r="B25" s="95" t="s">
        <v>163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O25" s="31">
        <f t="shared" si="22"/>
        <v>1.5</v>
      </c>
      <c r="P25" s="49" t="s">
        <v>120</v>
      </c>
      <c r="Q25" s="136">
        <v>2.9822</v>
      </c>
      <c r="R25" s="49" t="s">
        <v>116</v>
      </c>
      <c r="S25" s="49">
        <v>10027</v>
      </c>
      <c r="T25" s="136">
        <v>0</v>
      </c>
      <c r="U25" s="136">
        <v>0</v>
      </c>
      <c r="V25" s="137">
        <v>1</v>
      </c>
      <c r="W25" s="138">
        <v>0</v>
      </c>
      <c r="X25" s="137">
        <f t="shared" si="19"/>
        <v>0.488431876606684</v>
      </c>
      <c r="Y25" s="49">
        <f t="shared" si="20"/>
        <v>0.8</v>
      </c>
      <c r="Z25" s="139">
        <v>0</v>
      </c>
      <c r="AA25" s="139">
        <v>0</v>
      </c>
      <c r="AB25" s="139">
        <v>0.5</v>
      </c>
      <c r="AC25" s="140">
        <f t="shared" si="21"/>
        <v>26289.6185984576</v>
      </c>
      <c r="AD25"/>
    </row>
    <row r="26" s="1" customFormat="1" ht="15" spans="1:30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O26" s="42">
        <v>1.5</v>
      </c>
      <c r="P26" s="147" t="s">
        <v>123</v>
      </c>
      <c r="Q26" s="146">
        <v>16</v>
      </c>
      <c r="R26" s="147" t="s">
        <v>124</v>
      </c>
      <c r="S26" s="147">
        <v>10027</v>
      </c>
      <c r="T26" s="146">
        <v>0</v>
      </c>
      <c r="U26" s="146">
        <v>0</v>
      </c>
      <c r="V26" s="148">
        <v>1</v>
      </c>
      <c r="W26" s="149">
        <v>0</v>
      </c>
      <c r="X26" s="148">
        <f t="shared" si="19"/>
        <v>0.488431876606684</v>
      </c>
      <c r="Y26" s="147">
        <f t="shared" si="20"/>
        <v>0.8</v>
      </c>
      <c r="Z26" s="150">
        <v>0</v>
      </c>
      <c r="AA26" s="150">
        <v>0</v>
      </c>
      <c r="AB26" s="150">
        <v>0.5</v>
      </c>
      <c r="AC26" s="151">
        <f t="shared" si="21"/>
        <v>141048.185089974</v>
      </c>
    </row>
    <row r="27" s="1" customFormat="1" spans="1:30">
      <c r="A27" s="94">
        <v>1357</v>
      </c>
      <c r="B27" s="98" t="s">
        <v>60</v>
      </c>
      <c r="C27" s="99">
        <f>288+425</f>
        <v>713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 s="1" customFormat="1" ht="15" spans="1:30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157">
        <v>1</v>
      </c>
      <c r="P28" s="158" t="s">
        <v>130</v>
      </c>
      <c r="Q28" s="159">
        <v>2.0279</v>
      </c>
      <c r="R28" s="128" t="s">
        <v>66</v>
      </c>
      <c r="S28" s="160">
        <f t="shared" ref="S28:S31" si="23">C$34</f>
        <v>1348.2</v>
      </c>
      <c r="T28" s="127">
        <f t="shared" ref="T28:T31" si="24">S28/$C$27-1</f>
        <v>0.890883590462833</v>
      </c>
      <c r="U28" s="127">
        <f t="shared" ref="U28:U31" si="25">E$30</f>
        <v>1.32</v>
      </c>
      <c r="V28" s="129">
        <f t="shared" ref="V28:V31" si="26">1+$G$32*($I$32-1)</f>
        <v>1.76112</v>
      </c>
      <c r="W28" s="130">
        <f t="shared" ref="W28:W33" si="27">K$27</f>
        <v>0.35</v>
      </c>
      <c r="X28" s="129">
        <f t="shared" ref="X28:X33" si="28">$AF$3</f>
        <v>0.488431876606684</v>
      </c>
      <c r="Y28" s="128">
        <f t="shared" ref="Y28:Y33" si="29">$AF$14</f>
        <v>0.8</v>
      </c>
      <c r="Z28" s="131">
        <v>0</v>
      </c>
      <c r="AA28" s="131">
        <v>0</v>
      </c>
      <c r="AB28" s="36">
        <v>0</v>
      </c>
      <c r="AC28" s="29">
        <f t="shared" ref="AC28:AC33" si="30">Q28*$C$27*(1+T28)*(1+U28)*V28*(1+W28)*X28*Y28*(1+Z28)*(1+AA28)*(1+AB28)*O28</f>
        <v>5892.58081092882</v>
      </c>
    </row>
    <row r="29" s="1" customFormat="1" ht="15" spans="1:30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162">
        <v>1</v>
      </c>
      <c r="P29" s="158" t="s">
        <v>135</v>
      </c>
      <c r="Q29" s="37">
        <f>22.27%+16.71%*2+23.86%+23.86%+17.9%*4+41.36%+10.34%*6</f>
        <v>2.7841</v>
      </c>
      <c r="R29" s="49" t="s">
        <v>77</v>
      </c>
      <c r="S29" s="163">
        <f t="shared" si="23"/>
        <v>1348.2</v>
      </c>
      <c r="T29" s="136">
        <f t="shared" si="24"/>
        <v>0.890883590462833</v>
      </c>
      <c r="U29" s="136">
        <f t="shared" si="25"/>
        <v>1.32</v>
      </c>
      <c r="V29" s="137">
        <f t="shared" si="26"/>
        <v>1.76112</v>
      </c>
      <c r="W29" s="138">
        <f t="shared" si="27"/>
        <v>0.35</v>
      </c>
      <c r="X29" s="137">
        <f t="shared" si="28"/>
        <v>0.488431876606684</v>
      </c>
      <c r="Y29" s="49">
        <f t="shared" si="29"/>
        <v>0.8</v>
      </c>
      <c r="Z29" s="139">
        <v>0</v>
      </c>
      <c r="AA29" s="139">
        <v>0</v>
      </c>
      <c r="AB29" s="33">
        <v>0</v>
      </c>
      <c r="AC29" s="29">
        <f t="shared" si="30"/>
        <v>8089.91283382166</v>
      </c>
    </row>
    <row r="30" s="1" customFormat="1" ht="15" spans="1:30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48%+40%+20%+24%</f>
        <v>1.32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162">
        <v>1</v>
      </c>
      <c r="P30" s="158" t="s">
        <v>138</v>
      </c>
      <c r="Q30" s="37">
        <f>39.77%*4</f>
        <v>1.5908</v>
      </c>
      <c r="R30" s="49" t="s">
        <v>102</v>
      </c>
      <c r="S30" s="163">
        <f t="shared" si="23"/>
        <v>1348.2</v>
      </c>
      <c r="T30" s="136">
        <f t="shared" si="24"/>
        <v>0.890883590462833</v>
      </c>
      <c r="U30" s="136">
        <f t="shared" si="25"/>
        <v>1.32</v>
      </c>
      <c r="V30" s="137">
        <f t="shared" si="26"/>
        <v>1.76112</v>
      </c>
      <c r="W30" s="138">
        <f t="shared" si="27"/>
        <v>0.35</v>
      </c>
      <c r="X30" s="137">
        <f t="shared" si="28"/>
        <v>0.488431876606684</v>
      </c>
      <c r="Y30" s="49">
        <f t="shared" si="29"/>
        <v>0.8</v>
      </c>
      <c r="Z30" s="139">
        <v>0</v>
      </c>
      <c r="AA30" s="139">
        <v>0</v>
      </c>
      <c r="AB30" s="33">
        <v>0</v>
      </c>
      <c r="AC30" s="29">
        <f t="shared" si="30"/>
        <v>4622.47524731278</v>
      </c>
      <c r="AD30"/>
    </row>
    <row r="31" s="1" customFormat="1" ht="15" spans="1:30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 t="s">
        <v>141</v>
      </c>
      <c r="I31" s="100">
        <f>32%+40%</f>
        <v>0.72</v>
      </c>
      <c r="J31" s="103"/>
      <c r="K31" s="100"/>
      <c r="L31" s="98"/>
      <c r="M31" s="100"/>
      <c r="O31" s="162">
        <v>1</v>
      </c>
      <c r="P31" s="158" t="s">
        <v>142</v>
      </c>
      <c r="Q31" s="37">
        <v>3.51</v>
      </c>
      <c r="R31" s="49" t="s">
        <v>59</v>
      </c>
      <c r="S31" s="163">
        <f t="shared" si="23"/>
        <v>1348.2</v>
      </c>
      <c r="T31" s="136">
        <f t="shared" si="24"/>
        <v>0.890883590462833</v>
      </c>
      <c r="U31" s="136">
        <f t="shared" si="25"/>
        <v>1.32</v>
      </c>
      <c r="V31" s="137">
        <f t="shared" si="26"/>
        <v>1.76112</v>
      </c>
      <c r="W31" s="138">
        <f t="shared" si="27"/>
        <v>0.35</v>
      </c>
      <c r="X31" s="137">
        <f t="shared" si="28"/>
        <v>0.488431876606684</v>
      </c>
      <c r="Y31" s="49">
        <f t="shared" si="29"/>
        <v>0.8</v>
      </c>
      <c r="Z31" s="139">
        <v>0</v>
      </c>
      <c r="AA31" s="139">
        <v>0</v>
      </c>
      <c r="AB31" s="33">
        <v>0</v>
      </c>
      <c r="AC31" s="29">
        <f t="shared" si="30"/>
        <v>10199.2004765325</v>
      </c>
    </row>
    <row r="32" s="1" customFormat="1" ht="15" spans="1:30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2.42</v>
      </c>
      <c r="J32" s="103"/>
      <c r="K32" s="100"/>
      <c r="L32" s="98"/>
      <c r="M32" s="99"/>
      <c r="O32" s="162">
        <v>1</v>
      </c>
      <c r="P32" s="158" t="s">
        <v>144</v>
      </c>
      <c r="Q32" s="37">
        <v>5.2233</v>
      </c>
      <c r="R32" s="49" t="s">
        <v>34</v>
      </c>
      <c r="S32" s="163">
        <f>A34</f>
        <v>3551.269</v>
      </c>
      <c r="T32" s="136">
        <v>0</v>
      </c>
      <c r="U32" s="136">
        <f>E$30+M30</f>
        <v>1.492</v>
      </c>
      <c r="V32" s="137">
        <f>I32+1.6</f>
        <v>4.02</v>
      </c>
      <c r="W32" s="138">
        <f t="shared" si="27"/>
        <v>0.35</v>
      </c>
      <c r="X32" s="137">
        <f t="shared" si="28"/>
        <v>0.488431876606684</v>
      </c>
      <c r="Y32" s="49">
        <f t="shared" si="29"/>
        <v>0.8</v>
      </c>
      <c r="Z32" s="139">
        <v>0</v>
      </c>
      <c r="AA32" s="139">
        <v>0</v>
      </c>
      <c r="AB32" s="33">
        <v>0</v>
      </c>
      <c r="AC32" s="29">
        <f t="shared" si="30"/>
        <v>19680.5098977108</v>
      </c>
    </row>
    <row r="33" s="1" customFormat="1" ht="15" spans="1:29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65">
        <v>1</v>
      </c>
      <c r="P33" s="158" t="s">
        <v>146</v>
      </c>
      <c r="Q33" s="47">
        <f>258.46%</f>
        <v>2.5846</v>
      </c>
      <c r="R33" s="147" t="s">
        <v>102</v>
      </c>
      <c r="S33" s="166">
        <f>C$34</f>
        <v>1348.2</v>
      </c>
      <c r="T33" s="146">
        <f>S33/$C$27-1</f>
        <v>0.890883590462833</v>
      </c>
      <c r="U33" s="146">
        <f>E$30</f>
        <v>1.32</v>
      </c>
      <c r="V33" s="148">
        <f>1+$G$32*($I$32-1)</f>
        <v>1.76112</v>
      </c>
      <c r="W33" s="149">
        <f t="shared" si="27"/>
        <v>0.35</v>
      </c>
      <c r="X33" s="148">
        <f t="shared" si="28"/>
        <v>0.488431876606684</v>
      </c>
      <c r="Y33" s="147">
        <f t="shared" si="29"/>
        <v>0.8</v>
      </c>
      <c r="Z33" s="150">
        <v>0</v>
      </c>
      <c r="AA33" s="150">
        <v>0</v>
      </c>
      <c r="AB33" s="44">
        <v>0</v>
      </c>
      <c r="AC33" s="29">
        <f t="shared" si="30"/>
        <v>7510.21468707857</v>
      </c>
    </row>
    <row r="34" s="1" customFormat="1" spans="1:29">
      <c r="A34" s="94">
        <f>A27*(1+A28+A29+A30+A31)</f>
        <v>3551.269</v>
      </c>
      <c r="B34" s="133"/>
      <c r="C34" s="133">
        <f>C27*(1+C30)+C32</f>
        <v>1348.2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Q34" s="2"/>
      <c r="U34" s="2"/>
      <c r="V34" s="3"/>
      <c r="AB34" s="4"/>
      <c r="AC34" s="4"/>
    </row>
    <row r="35" s="1" customFormat="1" ht="15" spans="1:29">
      <c r="A35" s="141"/>
      <c r="B35" s="142"/>
      <c r="C35" s="142"/>
      <c r="D35" s="142"/>
      <c r="E35" s="142"/>
      <c r="F35" s="142"/>
      <c r="G35" s="143"/>
      <c r="N35" s="49"/>
      <c r="Q35" s="2"/>
      <c r="U35" s="2"/>
      <c r="V35" s="3"/>
      <c r="AB35" s="4"/>
      <c r="AC35" s="4"/>
    </row>
    <row r="36" s="1" customFormat="1" ht="15" spans="1:29">
      <c r="B36" s="144" t="s">
        <v>148</v>
      </c>
      <c r="G36" s="2"/>
      <c r="N36" s="49"/>
      <c r="Q36" s="2"/>
      <c r="U36" s="2"/>
      <c r="V36" s="3"/>
      <c r="AB36" s="4"/>
      <c r="AC36" s="4"/>
    </row>
    <row r="37" s="1" customFormat="1" spans="1:29">
      <c r="B37" s="152" t="s">
        <v>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N37" s="49"/>
      <c r="Q37" s="2"/>
      <c r="U37" s="2"/>
      <c r="V37" s="3"/>
      <c r="AB37" s="4"/>
      <c r="AC37" s="4"/>
    </row>
    <row r="38" s="1" customFormat="1" ht="15" spans="1:29">
      <c r="B38" s="4" t="s">
        <v>36</v>
      </c>
      <c r="C38" s="154">
        <f>SUM(AC3:AC11)</f>
        <v>6909200.02152934</v>
      </c>
      <c r="D38" s="154">
        <f t="shared" ref="D38:D42" si="31">C38/$E$38</f>
        <v>276368.000861173</v>
      </c>
      <c r="E38" s="155">
        <v>25</v>
      </c>
      <c r="F38" s="156">
        <f t="shared" ref="F38:F42" si="32">C38/$C$44</f>
        <v>0.696435185051652</v>
      </c>
      <c r="G38" s="2"/>
      <c r="Q38" s="2"/>
      <c r="U38" s="2"/>
      <c r="V38" s="3"/>
      <c r="AB38" s="4"/>
      <c r="AC38" s="4"/>
    </row>
    <row r="39" s="1" customFormat="1" ht="15" spans="1:29">
      <c r="B39" s="4" t="s">
        <v>100</v>
      </c>
      <c r="C39" s="154">
        <f>SUM(AC12:AC20)</f>
        <v>582149.28663165</v>
      </c>
      <c r="D39" s="154">
        <f t="shared" si="31"/>
        <v>23285.971465266</v>
      </c>
      <c r="E39" s="161"/>
      <c r="F39" s="156">
        <f t="shared" si="32"/>
        <v>0.0586796220835504</v>
      </c>
      <c r="G39" s="2"/>
      <c r="Q39" s="2"/>
      <c r="U39" s="2"/>
      <c r="V39" s="3"/>
      <c r="AB39" s="4"/>
      <c r="AC39" s="4"/>
    </row>
    <row r="40" s="1" customFormat="1" ht="15" spans="1:29">
      <c r="B40" s="4" t="s">
        <v>163</v>
      </c>
      <c r="C40" s="154">
        <f>SUM(AC28:AC33)+AC25</f>
        <v>82284.5125518427</v>
      </c>
      <c r="D40" s="154">
        <f t="shared" si="31"/>
        <v>3291.38050207371</v>
      </c>
      <c r="E40" s="164"/>
      <c r="F40" s="156">
        <f t="shared" si="32"/>
        <v>0.00829413384289937</v>
      </c>
      <c r="G40" s="2"/>
      <c r="Q40" s="2"/>
      <c r="U40" s="2"/>
      <c r="V40" s="3"/>
      <c r="AB40" s="4"/>
      <c r="AC40" s="4"/>
    </row>
    <row r="41" s="1" customFormat="1" ht="15" spans="1:29">
      <c r="B41" s="4" t="s">
        <v>116</v>
      </c>
      <c r="C41" s="154">
        <f>SUM(AC22:AC25)</f>
        <v>2206126.37641141</v>
      </c>
      <c r="D41" s="154">
        <f t="shared" si="31"/>
        <v>88245.0550564565</v>
      </c>
      <c r="E41" s="164"/>
      <c r="F41" s="156">
        <f t="shared" si="32"/>
        <v>0.222373650555181</v>
      </c>
      <c r="G41" s="2"/>
      <c r="Q41" s="2"/>
      <c r="U41" s="2"/>
      <c r="V41" s="3"/>
      <c r="AB41" s="4"/>
      <c r="AC41" s="4"/>
    </row>
    <row r="42" s="1" customFormat="1" ht="15" spans="1:29">
      <c r="B42" s="4" t="s">
        <v>123</v>
      </c>
      <c r="C42" s="154">
        <f>AC26</f>
        <v>141048.185089974</v>
      </c>
      <c r="D42" s="154">
        <f t="shared" si="31"/>
        <v>5641.92740359897</v>
      </c>
      <c r="E42" s="164"/>
      <c r="F42" s="156">
        <f t="shared" si="32"/>
        <v>0.0142174084667175</v>
      </c>
      <c r="G42" s="2"/>
      <c r="Q42" s="2"/>
      <c r="U42" s="2"/>
      <c r="V42" s="3"/>
      <c r="AB42" s="4"/>
      <c r="AC42" s="4"/>
    </row>
    <row r="43" s="1" customFormat="1" ht="15" spans="1:29">
      <c r="B43" s="4"/>
      <c r="C43" s="154"/>
      <c r="D43" s="154"/>
      <c r="E43" s="164"/>
      <c r="F43" s="156"/>
      <c r="G43" s="2"/>
      <c r="Q43" s="2"/>
      <c r="U43" s="2"/>
      <c r="V43" s="3"/>
      <c r="AB43" s="4"/>
      <c r="AC43" s="4"/>
    </row>
    <row r="44" s="1" customFormat="1" ht="15" spans="1:29">
      <c r="B44" s="4" t="s">
        <v>153</v>
      </c>
      <c r="C44" s="167">
        <f>SUM(C38:C42)</f>
        <v>9920808.38221422</v>
      </c>
      <c r="D44" s="167">
        <f>C44/E38</f>
        <v>396832.335288569</v>
      </c>
      <c r="E44" s="168"/>
      <c r="F44" s="169"/>
      <c r="G44" s="170"/>
      <c r="Q44" s="2"/>
      <c r="U44" s="2"/>
      <c r="V44" s="3"/>
      <c r="AB44" s="4"/>
      <c r="AC44" s="4"/>
    </row>
    <row r="45" s="1" customFormat="1" spans="1:29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ht="15" spans="1:29">
      <c r="B46" s="195" t="s">
        <v>154</v>
      </c>
      <c r="C46" s="196"/>
      <c r="D46" s="196"/>
      <c r="E46" s="196"/>
      <c r="F46" s="197"/>
      <c r="G46" s="2"/>
      <c r="Q46" s="2"/>
      <c r="U46" s="2"/>
      <c r="V46" s="3"/>
      <c r="AB46" s="4"/>
      <c r="AC46" s="4"/>
    </row>
    <row r="47" s="1" customFormat="1" ht="15" spans="1:29">
      <c r="B47" s="198"/>
      <c r="C47" s="199"/>
      <c r="D47" s="199"/>
      <c r="E47" s="199"/>
      <c r="F47" s="200"/>
      <c r="Q47" s="2"/>
      <c r="U47" s="2"/>
      <c r="V47" s="3"/>
      <c r="AB47" s="4"/>
      <c r="AC47" s="4"/>
    </row>
    <row r="48" s="1" customFormat="1" spans="1:29">
      <c r="B48" s="201"/>
      <c r="C48" s="201"/>
      <c r="D48" s="201"/>
      <c r="E48" s="201"/>
      <c r="F48" s="201"/>
      <c r="G48" s="2"/>
      <c r="Q48" s="2"/>
      <c r="U48" s="2"/>
      <c r="V48" s="3"/>
      <c r="AB48" s="4"/>
      <c r="AC48" s="4"/>
    </row>
    <row r="49" s="1" customFormat="1" ht="15" spans="2:29">
      <c r="B49" s="202" t="s">
        <v>157</v>
      </c>
      <c r="C49" s="203" t="s">
        <v>36</v>
      </c>
      <c r="D49" s="203" t="s">
        <v>158</v>
      </c>
      <c r="E49" s="128"/>
      <c r="F49" s="204"/>
      <c r="G49" s="2"/>
      <c r="Q49" s="2"/>
      <c r="U49" s="2"/>
      <c r="V49" s="3"/>
      <c r="AB49" s="4"/>
      <c r="AC49" s="4"/>
    </row>
    <row r="50" s="1" customFormat="1" ht="15" spans="2:29">
      <c r="B50" s="205"/>
      <c r="C50" s="164" t="s">
        <v>100</v>
      </c>
      <c r="D50" s="164" t="s">
        <v>159</v>
      </c>
      <c r="F50" s="206"/>
      <c r="G50" s="2"/>
      <c r="Q50" s="2"/>
      <c r="U50" s="2"/>
      <c r="V50" s="3"/>
      <c r="AB50" s="4"/>
      <c r="AC50" s="4"/>
    </row>
    <row r="51" s="1" customFormat="1" ht="15" spans="2:29">
      <c r="B51" s="207"/>
      <c r="C51" s="208" t="s">
        <v>160</v>
      </c>
      <c r="D51" s="208" t="s">
        <v>161</v>
      </c>
      <c r="E51" s="147"/>
      <c r="F51" s="43"/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F55" s="4"/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B58" s="4"/>
      <c r="C58" s="4"/>
      <c r="D58" s="4"/>
      <c r="F58" s="4"/>
      <c r="G58" s="2"/>
      <c r="Q58" s="2"/>
      <c r="U58" s="2"/>
      <c r="V58" s="3"/>
      <c r="AB58" s="4"/>
      <c r="AC58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  <row r="61" s="1" customFormat="1" spans="2:29">
      <c r="B61" s="4"/>
      <c r="C61" s="4"/>
      <c r="D61" s="4"/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workbookViewId="0">
      <selection activeCell="H20" sqref="H20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1:33">
      <c r="B1" s="5" t="s">
        <v>33</v>
      </c>
      <c r="C1" s="5" t="s">
        <v>34</v>
      </c>
      <c r="D1" s="6" t="s">
        <v>35</v>
      </c>
      <c r="E1" s="6">
        <v>0</v>
      </c>
      <c r="Q1" s="2"/>
      <c r="U1" s="2"/>
      <c r="V1" s="3"/>
      <c r="AB1" s="4"/>
      <c r="AC1" s="4"/>
    </row>
    <row r="2" s="1" customFormat="1" ht="15" spans="1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1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2882.024</v>
      </c>
      <c r="T3" s="176">
        <f t="shared" ref="T3:T11" si="1">S3/$C$4-1</f>
        <v>1.84784980237154</v>
      </c>
      <c r="U3" s="176">
        <f>IF(R3=$C$1,SUM($E$4:$E$9),SUM($E$4:$E$8))</f>
        <v>1.31</v>
      </c>
      <c r="V3" s="177">
        <f t="shared" ref="V3:V11" si="2">1+$G$10*($I$10-1)</f>
        <v>3.2983</v>
      </c>
      <c r="W3" s="178">
        <f t="shared" ref="W3:W9" si="3">IF(R3=$C$1,$K$4+$K$5,$K$4)</f>
        <v>0</v>
      </c>
      <c r="X3" s="177">
        <f t="shared" ref="X3:X6" si="4">$AF$3</f>
        <v>0.520376862401402</v>
      </c>
      <c r="Y3" s="174">
        <f t="shared" ref="Y3:Y6" si="5">$AF$14</f>
        <v>0.8</v>
      </c>
      <c r="Z3" s="179">
        <v>0</v>
      </c>
      <c r="AA3" s="179">
        <v>0</v>
      </c>
      <c r="AB3" s="180">
        <v>0</v>
      </c>
      <c r="AC3" s="29">
        <f t="shared" ref="AC3:AC11" si="6">Q3*$C$4*(1+T3)*(1+U3)*V3*(1+W3)*X3*Y3*(1+Z3)*(1+AA3)*(1+AB3)*O3</f>
        <v>25010.5813114637</v>
      </c>
      <c r="AD3" s="16">
        <v>18</v>
      </c>
      <c r="AE3" s="16">
        <v>12</v>
      </c>
      <c r="AF3" s="17">
        <f t="shared" ref="AF3:AF8" si="7">1520/(1520+(792+8*AG3)*(1-AE3/100))</f>
        <v>0.520376862401402</v>
      </c>
      <c r="AG3" s="30">
        <v>100</v>
      </c>
    </row>
    <row r="4" s="1" customFormat="1" ht="15" spans="1:33">
      <c r="B4" s="31" t="s">
        <v>60</v>
      </c>
      <c r="C4" s="32">
        <f>425+587</f>
        <v>1012</v>
      </c>
      <c r="D4" s="31" t="s">
        <v>61</v>
      </c>
      <c r="E4" s="33">
        <f>E1*30%</f>
        <v>0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/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>IF(R4=$C$1,SUM($E$4:$E$9),SUM($E$4:$E$8))</f>
        <v>1.31</v>
      </c>
      <c r="V4" s="177">
        <f t="shared" si="2"/>
        <v>3.2983</v>
      </c>
      <c r="W4" s="27">
        <f t="shared" si="3"/>
        <v>0</v>
      </c>
      <c r="X4" s="177">
        <f t="shared" si="4"/>
        <v>0.520376862401402</v>
      </c>
      <c r="Y4" s="23">
        <f t="shared" si="5"/>
        <v>0.8</v>
      </c>
      <c r="Z4" s="28">
        <v>0</v>
      </c>
      <c r="AA4" s="28">
        <v>0</v>
      </c>
      <c r="AB4" s="182">
        <v>0</v>
      </c>
      <c r="AC4" s="29">
        <f t="shared" si="6"/>
        <v>12302.3539214064</v>
      </c>
      <c r="AD4" s="16">
        <f>32+18</f>
        <v>50</v>
      </c>
      <c r="AE4" s="16">
        <v>12</v>
      </c>
      <c r="AF4" s="17">
        <f>1520/(1520+(792+8*AG4)*(1-AE4/100)*(1-AD4/100))</f>
        <v>0.684536676754576</v>
      </c>
      <c r="AG4" s="30">
        <v>100</v>
      </c>
    </row>
    <row r="5" s="1" customFormat="1" ht="15" spans="1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/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>IF(R5=$C$1,SUM($E$4:$E$9),SUM($E$4:$E$8))</f>
        <v>1.732</v>
      </c>
      <c r="V5" s="177">
        <f t="shared" si="2"/>
        <v>3.2983</v>
      </c>
      <c r="W5" s="27">
        <f t="shared" si="3"/>
        <v>0</v>
      </c>
      <c r="X5" s="26">
        <f>$AF$4</f>
        <v>0.684536676754576</v>
      </c>
      <c r="Y5" s="23">
        <f t="shared" ref="Y5:Y11" si="8">$AF$12</f>
        <v>0.9</v>
      </c>
      <c r="Z5" s="28">
        <v>0</v>
      </c>
      <c r="AA5" s="28">
        <v>0</v>
      </c>
      <c r="AB5" s="182">
        <v>0</v>
      </c>
      <c r="AC5" s="29">
        <f t="shared" si="6"/>
        <v>160638.647316417</v>
      </c>
      <c r="AD5" s="16">
        <v>0</v>
      </c>
      <c r="AE5" s="16">
        <v>12</v>
      </c>
      <c r="AF5" s="17">
        <f t="shared" si="7"/>
        <v>0.520376862401402</v>
      </c>
      <c r="AG5" s="30">
        <v>100</v>
      </c>
    </row>
    <row r="6" s="1" customFormat="1" ht="15" spans="1:33">
      <c r="B6" s="31" t="s">
        <v>73</v>
      </c>
      <c r="C6" s="34">
        <f>18%+18%+M4+(2-E1)*30%+25%</f>
        <v>1.382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ref="U6:U10" si="9">IF(R6=$C$1,SUM($E$4:$E$9),SUM($E$4:$E$8))</f>
        <v>1.31</v>
      </c>
      <c r="V6" s="177">
        <f t="shared" si="2"/>
        <v>3.2983</v>
      </c>
      <c r="W6" s="27">
        <f t="shared" si="3"/>
        <v>0</v>
      </c>
      <c r="X6" s="177">
        <f t="shared" si="4"/>
        <v>0.520376862401402</v>
      </c>
      <c r="Y6" s="23">
        <f t="shared" si="5"/>
        <v>0.8</v>
      </c>
      <c r="Z6" s="28">
        <v>0</v>
      </c>
      <c r="AA6" s="28">
        <v>0</v>
      </c>
      <c r="AB6" s="182">
        <v>0</v>
      </c>
      <c r="AC6" s="29">
        <f t="shared" si="6"/>
        <v>31441.4818789398</v>
      </c>
      <c r="AD6" s="16">
        <v>0</v>
      </c>
      <c r="AE6" s="16">
        <v>21.6</v>
      </c>
      <c r="AF6" s="17">
        <f t="shared" si="7"/>
        <v>0.549107555719967</v>
      </c>
      <c r="AG6" s="30">
        <v>100</v>
      </c>
    </row>
    <row r="7" s="1" customFormat="1" ht="15" spans="1:33">
      <c r="B7" s="31" t="s">
        <v>78</v>
      </c>
      <c r="C7" s="34"/>
      <c r="D7" s="31" t="s">
        <v>79</v>
      </c>
      <c r="E7" s="33">
        <f>65%+24%</f>
        <v>0.89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9"/>
        <v>1.732</v>
      </c>
      <c r="V7" s="177">
        <f t="shared" si="2"/>
        <v>3.2983</v>
      </c>
      <c r="W7" s="27">
        <f t="shared" si="3"/>
        <v>0</v>
      </c>
      <c r="X7" s="26">
        <f>$AF$4</f>
        <v>0.684536676754576</v>
      </c>
      <c r="Y7" s="23">
        <f t="shared" si="8"/>
        <v>0.9</v>
      </c>
      <c r="Z7" s="28">
        <v>0</v>
      </c>
      <c r="AA7" s="28">
        <v>0</v>
      </c>
      <c r="AB7" s="182">
        <v>0</v>
      </c>
      <c r="AC7" s="29">
        <f t="shared" si="6"/>
        <v>57262.3771185293</v>
      </c>
      <c r="AD7" s="16">
        <v>0</v>
      </c>
      <c r="AE7" s="16">
        <v>28.8</v>
      </c>
      <c r="AF7" s="17">
        <f t="shared" si="7"/>
        <v>0.572827476423627</v>
      </c>
      <c r="AG7" s="30">
        <v>100</v>
      </c>
    </row>
    <row r="8" s="1" customFormat="1" ht="15" spans="1:33">
      <c r="B8" s="31" t="s">
        <v>82</v>
      </c>
      <c r="C8" s="39"/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9"/>
        <v>1.31</v>
      </c>
      <c r="V8" s="177">
        <f t="shared" si="2"/>
        <v>3.2983</v>
      </c>
      <c r="W8" s="27">
        <f t="shared" si="3"/>
        <v>0</v>
      </c>
      <c r="X8" s="177">
        <f>$AF$3</f>
        <v>0.520376862401402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6"/>
        <v>31441.4818789398</v>
      </c>
      <c r="AD8" s="16">
        <v>0</v>
      </c>
      <c r="AE8" s="16">
        <v>36</v>
      </c>
      <c r="AF8" s="17">
        <f t="shared" si="7"/>
        <v>0.598689185782707</v>
      </c>
      <c r="AG8" s="30">
        <v>100</v>
      </c>
    </row>
    <row r="9" s="1" customFormat="1" ht="15" spans="1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9"/>
        <v>1.732</v>
      </c>
      <c r="V9" s="177">
        <f t="shared" si="2"/>
        <v>3.2983</v>
      </c>
      <c r="W9" s="27">
        <f t="shared" si="3"/>
        <v>0</v>
      </c>
      <c r="X9" s="26">
        <f t="shared" ref="X5:X11" si="10">$AF$4</f>
        <v>0.684536676754576</v>
      </c>
      <c r="Y9" s="23">
        <f t="shared" si="8"/>
        <v>0.9</v>
      </c>
      <c r="Z9" s="28">
        <v>0</v>
      </c>
      <c r="AA9" s="28">
        <v>0</v>
      </c>
      <c r="AB9" s="182">
        <v>0</v>
      </c>
      <c r="AC9" s="29">
        <f t="shared" si="6"/>
        <v>57262.3771185293</v>
      </c>
    </row>
    <row r="10" s="1" customFormat="1" ht="15" spans="1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9"/>
        <v>1.732</v>
      </c>
      <c r="V10" s="177">
        <f t="shared" si="2"/>
        <v>3.2983</v>
      </c>
      <c r="W10" s="27">
        <f>IF(R10=$C$1,$K$4+$K$5,$K$4)+2</f>
        <v>2</v>
      </c>
      <c r="X10" s="26">
        <f t="shared" si="10"/>
        <v>0.684536676754576</v>
      </c>
      <c r="Y10" s="23">
        <f t="shared" si="8"/>
        <v>0.9</v>
      </c>
      <c r="Z10" s="28">
        <v>0</v>
      </c>
      <c r="AA10" s="28">
        <v>0</v>
      </c>
      <c r="AB10" s="182">
        <v>0</v>
      </c>
      <c r="AC10" s="29">
        <f t="shared" si="6"/>
        <v>111356.844019269</v>
      </c>
    </row>
    <row r="11" s="1" customFormat="1" ht="15" spans="1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1.732</v>
      </c>
      <c r="V11" s="190">
        <f t="shared" si="2"/>
        <v>3.2983</v>
      </c>
      <c r="W11" s="191">
        <f>IF(R11=$C$1,$K$4+$K$5,$K$4)+$K$6+0.25</f>
        <v>0.25</v>
      </c>
      <c r="X11" s="192">
        <f t="shared" si="10"/>
        <v>0.684536676754576</v>
      </c>
      <c r="Y11" s="186">
        <f t="shared" si="8"/>
        <v>0.9</v>
      </c>
      <c r="Z11" s="193">
        <v>0</v>
      </c>
      <c r="AA11" s="193">
        <v>0</v>
      </c>
      <c r="AB11" s="194">
        <v>0</v>
      </c>
      <c r="AC11" s="29">
        <f t="shared" si="6"/>
        <v>357847.858181102</v>
      </c>
      <c r="AE11"/>
      <c r="AF11"/>
    </row>
    <row r="12" s="1" customFormat="1" spans="1:33">
      <c r="B12" s="49"/>
      <c r="C12" s="49"/>
      <c r="E12" s="50"/>
      <c r="G12" s="53"/>
      <c r="J12" s="2"/>
      <c r="K12" s="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E12" s="48" t="s">
        <v>34</v>
      </c>
      <c r="AF12" s="48">
        <v>0.9</v>
      </c>
    </row>
    <row r="13" s="1" customFormat="1" ht="15" spans="1:33">
      <c r="A13"/>
      <c r="B13"/>
      <c r="C13"/>
      <c r="D13" s="133"/>
      <c r="E13" s="133"/>
      <c r="F13" s="133" t="s">
        <v>147</v>
      </c>
      <c r="G13" s="134"/>
      <c r="H13" s="133"/>
      <c r="I13" s="133"/>
      <c r="J13" s="133"/>
      <c r="K13" s="133"/>
      <c r="L13" s="133"/>
      <c r="M13" s="133"/>
      <c r="O13" s="125">
        <v>0</v>
      </c>
      <c r="P13" s="127" t="s">
        <v>115</v>
      </c>
      <c r="Q13" s="127">
        <v>1.0935</v>
      </c>
      <c r="R13" s="128" t="s">
        <v>116</v>
      </c>
      <c r="S13" s="128">
        <v>10027</v>
      </c>
      <c r="T13" s="127">
        <v>0</v>
      </c>
      <c r="U13" s="127">
        <v>0</v>
      </c>
      <c r="V13" s="129">
        <v>1</v>
      </c>
      <c r="W13" s="130">
        <v>0</v>
      </c>
      <c r="X13" s="129">
        <f t="shared" ref="X13:X17" si="11">$AF$3</f>
        <v>0.520376862401402</v>
      </c>
      <c r="Y13" s="128">
        <f t="shared" ref="Y13:Y17" si="12">$AF$13</f>
        <v>0.8</v>
      </c>
      <c r="Z13" s="131">
        <v>1.2</v>
      </c>
      <c r="AA13" s="131">
        <v>0</v>
      </c>
      <c r="AB13" s="131">
        <v>0.5</v>
      </c>
      <c r="AC13" s="132">
        <f t="shared" ref="AC13:AC17" si="13">Q13*$S$17*(1+T13)*(1+U13)*V13*(1+W13)*X13*Y13*(1+Z13)*(1+AA13)*(1+AB13)*O13</f>
        <v>0</v>
      </c>
      <c r="AE13" s="52" t="s">
        <v>99</v>
      </c>
      <c r="AF13" s="52">
        <v>0.8</v>
      </c>
    </row>
    <row r="14" s="1" customFormat="1" ht="15" spans="1:33">
      <c r="A14" s="141"/>
      <c r="B14" s="142"/>
      <c r="C14" s="142"/>
      <c r="D14" s="142"/>
      <c r="E14" s="142"/>
      <c r="F14" s="142"/>
      <c r="G14" s="143"/>
      <c r="O14" s="31">
        <v>0</v>
      </c>
      <c r="P14" s="49" t="s">
        <v>117</v>
      </c>
      <c r="Q14" s="136">
        <v>5.9643</v>
      </c>
      <c r="R14" s="49" t="s">
        <v>116</v>
      </c>
      <c r="S14" s="49">
        <v>10027</v>
      </c>
      <c r="T14" s="136">
        <v>0</v>
      </c>
      <c r="U14" s="136">
        <v>0</v>
      </c>
      <c r="V14" s="137">
        <v>1</v>
      </c>
      <c r="W14" s="138">
        <v>0</v>
      </c>
      <c r="X14" s="137">
        <f t="shared" si="11"/>
        <v>0.520376862401402</v>
      </c>
      <c r="Y14" s="49">
        <f t="shared" si="12"/>
        <v>0.8</v>
      </c>
      <c r="Z14" s="139">
        <v>0</v>
      </c>
      <c r="AA14" s="139">
        <v>0</v>
      </c>
      <c r="AB14" s="139">
        <v>0.5</v>
      </c>
      <c r="AC14" s="140">
        <f t="shared" si="13"/>
        <v>0</v>
      </c>
      <c r="AE14" s="54" t="s">
        <v>103</v>
      </c>
      <c r="AF14" s="54">
        <v>0.8</v>
      </c>
    </row>
    <row r="15" s="1" customFormat="1" ht="15" spans="1:33">
      <c r="B15" s="144" t="s">
        <v>148</v>
      </c>
      <c r="G15" s="2"/>
      <c r="O15" s="31">
        <v>0</v>
      </c>
      <c r="P15" s="49" t="s">
        <v>118</v>
      </c>
      <c r="Q15" s="136">
        <v>18.8075</v>
      </c>
      <c r="R15" s="49" t="s">
        <v>116</v>
      </c>
      <c r="S15" s="49">
        <v>10027</v>
      </c>
      <c r="T15" s="136">
        <v>0</v>
      </c>
      <c r="U15" s="136">
        <v>0</v>
      </c>
      <c r="V15" s="137">
        <v>1</v>
      </c>
      <c r="W15" s="138">
        <v>0</v>
      </c>
      <c r="X15" s="137">
        <f t="shared" si="11"/>
        <v>0.520376862401402</v>
      </c>
      <c r="Y15" s="49">
        <f t="shared" si="12"/>
        <v>0.8</v>
      </c>
      <c r="Z15" s="139">
        <v>0</v>
      </c>
      <c r="AA15" s="139">
        <v>0</v>
      </c>
      <c r="AB15" s="139">
        <v>0.5</v>
      </c>
      <c r="AC15" s="140">
        <f t="shared" si="13"/>
        <v>0</v>
      </c>
      <c r="AE15" s="55" t="s">
        <v>105</v>
      </c>
      <c r="AF15" s="55">
        <v>0.8</v>
      </c>
    </row>
    <row r="16" s="1" customFormat="1" ht="15" spans="1:33">
      <c r="B16" s="152" t="s">
        <v>0</v>
      </c>
      <c r="C16" s="153" t="s">
        <v>149</v>
      </c>
      <c r="D16" s="153" t="s">
        <v>150</v>
      </c>
      <c r="E16" s="153" t="s">
        <v>151</v>
      </c>
      <c r="F16" s="153" t="s">
        <v>152</v>
      </c>
      <c r="G16" s="2"/>
      <c r="O16" s="31">
        <v>0</v>
      </c>
      <c r="P16" s="49" t="s">
        <v>120</v>
      </c>
      <c r="Q16" s="136">
        <v>2.9822</v>
      </c>
      <c r="R16" s="49" t="s">
        <v>116</v>
      </c>
      <c r="S16" s="49">
        <v>10027</v>
      </c>
      <c r="T16" s="136">
        <v>0</v>
      </c>
      <c r="U16" s="136">
        <v>0</v>
      </c>
      <c r="V16" s="137">
        <v>1</v>
      </c>
      <c r="W16" s="138">
        <v>0</v>
      </c>
      <c r="X16" s="137">
        <f t="shared" si="11"/>
        <v>0.520376862401402</v>
      </c>
      <c r="Y16" s="49">
        <f t="shared" si="12"/>
        <v>0.8</v>
      </c>
      <c r="Z16" s="139">
        <v>0</v>
      </c>
      <c r="AA16" s="139">
        <v>0</v>
      </c>
      <c r="AB16" s="139">
        <v>0.5</v>
      </c>
      <c r="AC16" s="140">
        <f t="shared" si="13"/>
        <v>0</v>
      </c>
    </row>
    <row r="17" s="1" customFormat="1" ht="15" spans="1:30">
      <c r="B17" s="4" t="s">
        <v>164</v>
      </c>
      <c r="C17" s="154">
        <f>SUM(AC3:AC11)</f>
        <v>844564.002744597</v>
      </c>
      <c r="D17" s="154">
        <f t="shared" ref="D17:D21" si="14">C17/$E$17</f>
        <v>33782.5601097839</v>
      </c>
      <c r="E17" s="155">
        <v>25</v>
      </c>
      <c r="F17" s="156">
        <f t="shared" ref="F17:F21" si="15">C17/$C$23</f>
        <v>0.361908763070311</v>
      </c>
      <c r="G17" s="2"/>
      <c r="O17" s="42">
        <v>1</v>
      </c>
      <c r="P17" s="147" t="s">
        <v>123</v>
      </c>
      <c r="Q17" s="146">
        <v>16</v>
      </c>
      <c r="R17" s="147" t="s">
        <v>124</v>
      </c>
      <c r="S17" s="147">
        <v>10027</v>
      </c>
      <c r="T17" s="146">
        <v>0</v>
      </c>
      <c r="U17" s="146">
        <v>0</v>
      </c>
      <c r="V17" s="148">
        <v>1</v>
      </c>
      <c r="W17" s="149">
        <v>0</v>
      </c>
      <c r="X17" s="148">
        <f t="shared" si="11"/>
        <v>0.520376862401402</v>
      </c>
      <c r="Y17" s="147">
        <f t="shared" si="12"/>
        <v>0.8</v>
      </c>
      <c r="Z17" s="150">
        <v>0</v>
      </c>
      <c r="AA17" s="150">
        <v>0</v>
      </c>
      <c r="AB17" s="150">
        <v>0.1</v>
      </c>
      <c r="AC17" s="151">
        <f t="shared" si="13"/>
        <v>73466.888694128</v>
      </c>
    </row>
    <row r="18" s="1" customFormat="1" ht="15" spans="1:30">
      <c r="B18" s="4" t="s">
        <v>165</v>
      </c>
      <c r="C18" s="154">
        <v>345467</v>
      </c>
      <c r="D18" s="154">
        <f t="shared" si="14"/>
        <v>13818.68</v>
      </c>
      <c r="E18" s="161"/>
      <c r="F18" s="156">
        <f t="shared" si="15"/>
        <v>0.148037963073617</v>
      </c>
      <c r="G18" s="2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="1" customFormat="1" ht="15" spans="1:30">
      <c r="A19" s="1" t="s">
        <v>166</v>
      </c>
      <c r="B19" s="4" t="s">
        <v>167</v>
      </c>
      <c r="C19" s="154">
        <v>300748</v>
      </c>
      <c r="D19" s="154">
        <f t="shared" si="14"/>
        <v>12029.92</v>
      </c>
      <c r="E19" s="164"/>
      <c r="F19" s="156">
        <f t="shared" si="15"/>
        <v>0.128875178579906</v>
      </c>
      <c r="G19" s="2"/>
      <c r="Q19" s="2"/>
      <c r="U19" s="2"/>
      <c r="V19" s="3"/>
      <c r="AB19" s="4"/>
      <c r="AC19" s="4"/>
    </row>
    <row r="20" s="1" customFormat="1" ht="15" spans="1:30">
      <c r="B20" s="4" t="s">
        <v>168</v>
      </c>
      <c r="C20" s="154">
        <f>21372*(6+6*2)*2</f>
        <v>769392</v>
      </c>
      <c r="D20" s="154">
        <f t="shared" si="14"/>
        <v>30775.68</v>
      </c>
      <c r="E20" s="164"/>
      <c r="F20" s="156">
        <f t="shared" si="15"/>
        <v>0.329696394981681</v>
      </c>
      <c r="G20" s="2"/>
      <c r="Q20" s="2"/>
      <c r="U20" s="2"/>
      <c r="V20" s="3"/>
      <c r="AB20" s="4"/>
      <c r="AC20" s="4"/>
    </row>
    <row r="21" s="1" customFormat="1" ht="15" spans="1:30">
      <c r="B21" s="4" t="s">
        <v>123</v>
      </c>
      <c r="C21" s="154">
        <f>AC17</f>
        <v>73466.888694128</v>
      </c>
      <c r="D21" s="154">
        <f t="shared" si="14"/>
        <v>2938.67554776512</v>
      </c>
      <c r="E21" s="164"/>
      <c r="F21" s="156">
        <f t="shared" si="15"/>
        <v>0.0314817002944851</v>
      </c>
      <c r="G21" s="2"/>
      <c r="Q21" s="2"/>
      <c r="U21" s="2"/>
      <c r="V21" s="3"/>
      <c r="AB21" s="4"/>
      <c r="AC21" s="4"/>
    </row>
    <row r="22" s="1" customFormat="1" ht="15" spans="1:30">
      <c r="B22" s="4"/>
      <c r="C22" s="154"/>
      <c r="D22" s="154"/>
      <c r="E22" s="164"/>
      <c r="F22" s="156"/>
      <c r="G22" s="2"/>
      <c r="Q22" s="2"/>
      <c r="U22" s="2"/>
      <c r="V22" s="3"/>
      <c r="AB22" s="4"/>
      <c r="AC22" s="4"/>
    </row>
    <row r="23" s="1" customFormat="1" ht="15" spans="1:30">
      <c r="B23" s="4" t="s">
        <v>153</v>
      </c>
      <c r="C23" s="167">
        <f>SUM(C17:C21)</f>
        <v>2333637.89143872</v>
      </c>
      <c r="D23" s="167">
        <f>C23/E17</f>
        <v>93345.515657549</v>
      </c>
      <c r="E23" s="168"/>
      <c r="F23" s="169"/>
      <c r="G23" s="170"/>
      <c r="Q23" s="2"/>
      <c r="U23" s="2"/>
      <c r="V23" s="3"/>
      <c r="AB23" s="4"/>
      <c r="AC23" s="4"/>
    </row>
    <row r="24" s="1" customFormat="1" spans="1:30">
      <c r="B24" s="4"/>
      <c r="C24" s="4"/>
      <c r="D24" s="4"/>
      <c r="G24" s="2"/>
      <c r="Q24" s="2"/>
      <c r="U24" s="2"/>
      <c r="V24" s="3"/>
      <c r="AB24" s="4"/>
      <c r="AC24" s="4"/>
      <c r="AD24"/>
    </row>
    <row r="25" s="1" customFormat="1" ht="15" spans="1:30">
      <c r="B25" s="195" t="s">
        <v>154</v>
      </c>
      <c r="C25" s="196" t="s">
        <v>155</v>
      </c>
      <c r="D25" s="196" t="s">
        <v>156</v>
      </c>
      <c r="E25" s="196"/>
      <c r="F25" s="197"/>
      <c r="G25" s="2"/>
      <c r="Q25" s="2"/>
      <c r="U25" s="2"/>
      <c r="V25" s="3"/>
      <c r="AB25" s="4"/>
      <c r="AC25" s="4"/>
      <c r="AD25"/>
    </row>
    <row r="26" s="1" customFormat="1" ht="15" spans="1:30">
      <c r="B26" s="198"/>
      <c r="C26" s="199"/>
      <c r="D26" s="199"/>
      <c r="E26" s="199"/>
      <c r="F26" s="200"/>
      <c r="Q26" s="2"/>
      <c r="U26" s="2"/>
      <c r="V26" s="3"/>
      <c r="AB26" s="4"/>
      <c r="AC26" s="4"/>
    </row>
    <row r="27" s="1" customFormat="1" spans="1:30">
      <c r="B27" s="201"/>
      <c r="C27" s="201"/>
      <c r="D27" s="201"/>
      <c r="E27" s="201"/>
      <c r="F27" s="201"/>
      <c r="G27" s="2"/>
      <c r="Q27" s="2"/>
      <c r="U27" s="2"/>
      <c r="V27" s="3"/>
      <c r="AB27" s="4"/>
      <c r="AC27" s="4"/>
    </row>
    <row r="28" s="1" customFormat="1" ht="15" spans="1:30">
      <c r="B28" s="202" t="s">
        <v>157</v>
      </c>
      <c r="C28" s="203" t="s">
        <v>36</v>
      </c>
      <c r="D28" s="203" t="s">
        <v>158</v>
      </c>
      <c r="E28" s="128"/>
      <c r="F28" s="204"/>
      <c r="G28" s="2"/>
      <c r="Q28" s="2"/>
      <c r="U28" s="2"/>
      <c r="V28" s="3"/>
      <c r="AB28" s="4"/>
      <c r="AC28" s="4"/>
    </row>
    <row r="29" s="1" customFormat="1" ht="15" spans="1:30">
      <c r="B29" s="205"/>
      <c r="C29" s="164" t="s">
        <v>100</v>
      </c>
      <c r="D29" s="164" t="s">
        <v>159</v>
      </c>
      <c r="F29" s="206"/>
      <c r="G29" s="2"/>
      <c r="Q29" s="2"/>
      <c r="U29" s="2"/>
      <c r="V29" s="3"/>
      <c r="AB29" s="4"/>
      <c r="AC29" s="4"/>
    </row>
    <row r="30" s="1" customFormat="1" ht="15" spans="1:30">
      <c r="B30" s="207"/>
      <c r="C30" s="208" t="s">
        <v>160</v>
      </c>
      <c r="D30" s="208" t="s">
        <v>161</v>
      </c>
      <c r="E30" s="147"/>
      <c r="F30" s="43"/>
      <c r="G30" s="2"/>
      <c r="Q30" s="2"/>
      <c r="U30" s="2"/>
      <c r="V30" s="3"/>
      <c r="AB30" s="4"/>
      <c r="AC30" s="4"/>
      <c r="AD30"/>
    </row>
    <row r="31" s="1" customFormat="1" spans="1:30">
      <c r="B31" s="4"/>
      <c r="C31" s="4"/>
      <c r="D31" s="4"/>
      <c r="F31" s="4"/>
      <c r="G31" s="2"/>
      <c r="Q31" s="2"/>
      <c r="U31" s="2"/>
      <c r="V31" s="3"/>
      <c r="AB31" s="4"/>
      <c r="AC31" s="4"/>
    </row>
    <row r="32" s="1" customFormat="1" spans="1:30">
      <c r="B32" s="4"/>
      <c r="C32" s="4"/>
      <c r="D32" s="4"/>
      <c r="F32" s="4"/>
      <c r="G32" s="2"/>
      <c r="Q32" s="2"/>
      <c r="U32" s="2"/>
      <c r="V32" s="3"/>
      <c r="AB32" s="4"/>
      <c r="AC32" s="4"/>
    </row>
    <row r="33" s="1" customFormat="1" spans="2:29">
      <c r="G33" s="2"/>
      <c r="N33" s="124"/>
      <c r="Q33" s="2"/>
      <c r="U33" s="2"/>
      <c r="V33" s="3"/>
      <c r="AB33" s="4"/>
      <c r="AC33" s="4"/>
    </row>
    <row r="34" s="1" customFormat="1" spans="2:29">
      <c r="B34" s="4"/>
      <c r="C34" s="4"/>
      <c r="D34" s="4"/>
      <c r="F34" s="4"/>
      <c r="G34" s="2"/>
      <c r="N34" s="49"/>
      <c r="Q34" s="2"/>
      <c r="U34" s="2"/>
      <c r="V34" s="3"/>
      <c r="AB34" s="4"/>
      <c r="AC34" s="4"/>
    </row>
    <row r="35" s="1" customFormat="1" spans="2:29">
      <c r="B35" s="4"/>
      <c r="C35" s="4"/>
      <c r="D35" s="4"/>
      <c r="F35" s="4"/>
      <c r="G35" s="2"/>
      <c r="N35" s="49"/>
      <c r="Q35" s="2"/>
      <c r="U35" s="2"/>
      <c r="V35" s="3"/>
      <c r="AB35" s="4"/>
      <c r="AC35" s="4"/>
    </row>
    <row r="36" s="1" customFormat="1" spans="2:29">
      <c r="G36" s="2"/>
      <c r="N36" s="49"/>
      <c r="Q36" s="2"/>
      <c r="U36" s="2"/>
      <c r="V36" s="3"/>
      <c r="AB36" s="4"/>
      <c r="AC36" s="4"/>
    </row>
    <row r="37" s="1" customFormat="1" spans="2:29">
      <c r="B37" s="4"/>
      <c r="C37" s="4"/>
      <c r="D37" s="4"/>
      <c r="F37" s="4"/>
      <c r="G37" s="2"/>
      <c r="N37" s="49"/>
      <c r="Q37" s="2"/>
      <c r="U37" s="2"/>
      <c r="V37" s="3"/>
      <c r="AB37" s="4"/>
      <c r="AC37" s="4"/>
    </row>
    <row r="38" s="1" customFormat="1" spans="2:29">
      <c r="B38" s="4"/>
      <c r="C38" s="4"/>
      <c r="D38" s="4"/>
      <c r="G38" s="2"/>
      <c r="Q38" s="2"/>
      <c r="U38" s="2"/>
      <c r="V38" s="3"/>
      <c r="AB38" s="4"/>
      <c r="AC38" s="4"/>
    </row>
    <row r="39" s="1" customFormat="1" spans="2:29">
      <c r="G39" s="2"/>
      <c r="H39" s="1"/>
      <c r="I39" s="1"/>
      <c r="J39" s="1"/>
      <c r="K39" s="1"/>
      <c r="L39" s="1"/>
      <c r="M39" s="1"/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G40" s="2"/>
      <c r="Q40" s="2"/>
      <c r="U40" s="2"/>
      <c r="V40" s="3"/>
      <c r="AB40" s="4"/>
      <c r="AC40" s="4"/>
    </row>
    <row r="41" s="1" customFormat="1" spans="2:29">
      <c r="G41" s="2"/>
      <c r="H41" s="1"/>
      <c r="I41" s="1"/>
      <c r="J41" s="1"/>
      <c r="K41" s="1"/>
      <c r="L41" s="1"/>
      <c r="M41" s="1"/>
      <c r="Q41" s="2"/>
      <c r="U41" s="2"/>
      <c r="V41" s="3"/>
      <c r="AB41" s="4"/>
      <c r="AC41" s="4"/>
    </row>
    <row r="42" s="1" customFormat="1" spans="2:29">
      <c r="G42" s="2"/>
      <c r="H42" s="1"/>
      <c r="I42" s="1"/>
      <c r="J42" s="1"/>
      <c r="K42" s="1"/>
      <c r="L42" s="1"/>
      <c r="M42" s="1"/>
      <c r="Q42" s="2"/>
      <c r="U42" s="2"/>
      <c r="V42" s="3"/>
      <c r="AB42" s="4"/>
      <c r="AC42" s="4"/>
    </row>
    <row r="43" s="1" customFormat="1" spans="2:29">
      <c r="G43" s="2"/>
      <c r="H43" s="1"/>
      <c r="I43" s="1"/>
      <c r="J43" s="1"/>
      <c r="K43" s="1"/>
      <c r="L43" s="1"/>
      <c r="M43" s="1"/>
      <c r="Q43" s="2"/>
      <c r="U43" s="2"/>
      <c r="V43" s="3"/>
      <c r="AB43" s="4"/>
      <c r="AC43" s="4"/>
    </row>
    <row r="44" s="1" customFormat="1" spans="2:29">
      <c r="G44" s="2"/>
      <c r="H44" s="1"/>
      <c r="I44" s="1"/>
      <c r="J44" s="1"/>
      <c r="K44" s="1"/>
      <c r="L44" s="1"/>
      <c r="M44" s="1"/>
      <c r="Q44" s="2"/>
      <c r="U44" s="2"/>
      <c r="V44" s="3"/>
      <c r="AB44" s="4"/>
      <c r="AC44" s="4"/>
    </row>
    <row r="45" s="1" customFormat="1" spans="2:29">
      <c r="G45" s="2"/>
      <c r="H45" s="1"/>
      <c r="I45" s="1"/>
      <c r="J45" s="1"/>
      <c r="K45" s="1"/>
      <c r="L45" s="1"/>
      <c r="M45" s="1"/>
      <c r="Q45" s="2"/>
      <c r="R45" s="1"/>
      <c r="S45" s="1"/>
      <c r="T45" s="1"/>
      <c r="U45" s="2"/>
      <c r="V45" s="3"/>
      <c r="W45" s="1"/>
      <c r="X45" s="1"/>
      <c r="Y45" s="1"/>
      <c r="Z45" s="1"/>
      <c r="AA45" s="1"/>
      <c r="AB45" s="4"/>
      <c r="AC45" s="4"/>
    </row>
    <row r="46" s="1" customFormat="1" spans="2:29">
      <c r="G46" s="2"/>
      <c r="H46" s="1"/>
      <c r="I46" s="1"/>
      <c r="J46" s="1"/>
      <c r="K46" s="1"/>
      <c r="L46" s="1"/>
      <c r="M46" s="1"/>
      <c r="Q46" s="2"/>
      <c r="U46" s="2"/>
      <c r="V46" s="3"/>
      <c r="AB46" s="4"/>
      <c r="AC46" s="4"/>
    </row>
    <row r="47" s="1" customFormat="1" spans="2:29">
      <c r="G47" s="2"/>
      <c r="H47" s="1"/>
      <c r="I47" s="1"/>
      <c r="J47" s="1"/>
      <c r="K47" s="1"/>
      <c r="L47" s="1"/>
      <c r="M47" s="1"/>
      <c r="Q47" s="2"/>
      <c r="R47" s="1"/>
      <c r="S47" s="1"/>
      <c r="T47" s="1"/>
      <c r="U47" s="2"/>
      <c r="V47" s="3"/>
      <c r="W47" s="1"/>
      <c r="X47" s="1"/>
      <c r="Y47" s="1"/>
      <c r="Z47" s="1"/>
      <c r="AA47" s="1"/>
      <c r="AB47" s="4"/>
      <c r="AC47" s="4"/>
    </row>
    <row r="48" s="1" customFormat="1" spans="2:29">
      <c r="G48" s="2"/>
      <c r="H48" s="1"/>
      <c r="I48" s="1"/>
      <c r="J48" s="1"/>
      <c r="K48" s="1"/>
      <c r="L48" s="1"/>
      <c r="M48" s="1"/>
      <c r="Q48" s="2"/>
      <c r="R48" s="1"/>
      <c r="S48" s="1"/>
      <c r="T48" s="1"/>
      <c r="U48" s="2"/>
      <c r="V48" s="3"/>
      <c r="W48" s="1"/>
      <c r="X48" s="1"/>
      <c r="Y48" s="1"/>
      <c r="Z48" s="1"/>
      <c r="AA48" s="1"/>
      <c r="AB48" s="4"/>
      <c r="AC48" s="4"/>
    </row>
    <row r="49" s="1" customFormat="1" spans="7:29">
      <c r="G49" s="2"/>
      <c r="H49" s="1"/>
      <c r="I49" s="1"/>
      <c r="J49" s="1"/>
      <c r="K49" s="1"/>
      <c r="L49" s="1"/>
      <c r="M49" s="1"/>
      <c r="Q49" s="2"/>
      <c r="R49" s="1"/>
      <c r="S49" s="1"/>
      <c r="T49" s="1"/>
      <c r="U49" s="2"/>
      <c r="V49" s="3"/>
      <c r="W49" s="1"/>
      <c r="X49" s="1"/>
      <c r="Y49" s="1"/>
      <c r="Z49" s="1"/>
      <c r="AA49" s="1"/>
      <c r="AB49" s="4"/>
      <c r="AC49" s="4"/>
    </row>
    <row r="50" s="1" customFormat="1" spans="7:29">
      <c r="G50" s="2"/>
      <c r="H50" s="1"/>
      <c r="I50" s="1"/>
      <c r="J50" s="1"/>
      <c r="K50" s="1"/>
      <c r="L50" s="1"/>
      <c r="M50" s="1"/>
      <c r="Q50" s="2"/>
      <c r="R50" s="1"/>
      <c r="S50" s="1"/>
      <c r="T50" s="1"/>
      <c r="U50" s="2"/>
      <c r="V50" s="3"/>
      <c r="W50" s="1"/>
      <c r="X50" s="1"/>
      <c r="Y50" s="1"/>
      <c r="Z50" s="1"/>
      <c r="AA50" s="1"/>
      <c r="AB50" s="4"/>
      <c r="AC50" s="4"/>
    </row>
    <row r="51" s="1" customFormat="1" spans="7:29">
      <c r="G51" s="2"/>
      <c r="H51" s="1"/>
      <c r="I51" s="1"/>
      <c r="J51" s="1"/>
      <c r="K51" s="1"/>
      <c r="L51" s="1"/>
      <c r="M51" s="1"/>
      <c r="Q51" s="2"/>
      <c r="R51" s="1"/>
      <c r="S51" s="1"/>
      <c r="T51" s="1"/>
      <c r="U51" s="2"/>
      <c r="V51" s="3"/>
      <c r="W51" s="1"/>
      <c r="X51" s="1"/>
      <c r="Y51" s="1"/>
      <c r="Z51" s="1"/>
      <c r="AA51" s="1"/>
      <c r="AB51" s="4"/>
      <c r="AC51" s="4"/>
    </row>
    <row r="52" s="1" customFormat="1" spans="7:29">
      <c r="G52" s="2"/>
      <c r="H52" s="1"/>
      <c r="I52" s="1"/>
      <c r="J52" s="1"/>
      <c r="K52" s="1"/>
      <c r="L52" s="1"/>
      <c r="M52" s="1"/>
      <c r="Q52" s="2"/>
      <c r="R52" s="1"/>
      <c r="S52" s="1"/>
      <c r="T52" s="1"/>
      <c r="U52" s="2"/>
      <c r="V52" s="3"/>
      <c r="W52" s="1"/>
      <c r="X52" s="1"/>
      <c r="Y52" s="1"/>
      <c r="Z52" s="1"/>
      <c r="AA52" s="1"/>
      <c r="AB52" s="4"/>
      <c r="AC52" s="4"/>
    </row>
    <row r="53" s="1" customFormat="1" spans="7:29">
      <c r="G53" s="2"/>
      <c r="H53" s="1"/>
      <c r="I53" s="1"/>
      <c r="J53" s="1"/>
      <c r="K53" s="1"/>
      <c r="L53" s="1"/>
      <c r="M53" s="1"/>
      <c r="Q53" s="2"/>
      <c r="R53" s="1"/>
      <c r="S53" s="1"/>
      <c r="T53" s="1"/>
      <c r="U53" s="2"/>
      <c r="V53" s="3"/>
      <c r="W53" s="1"/>
      <c r="X53" s="1"/>
      <c r="Y53" s="1"/>
      <c r="Z53" s="1"/>
      <c r="AA53" s="1"/>
      <c r="AB53" s="4"/>
      <c r="AC53" s="4"/>
    </row>
    <row r="54" s="1" customFormat="1" spans="7:29">
      <c r="G54" s="2"/>
      <c r="H54" s="1"/>
      <c r="I54" s="1"/>
      <c r="J54" s="1"/>
      <c r="K54" s="1"/>
      <c r="L54" s="1"/>
      <c r="M54" s="1"/>
      <c r="Q54" s="2"/>
      <c r="R54" s="1"/>
      <c r="S54" s="1"/>
      <c r="T54" s="1"/>
      <c r="U54" s="2"/>
      <c r="V54" s="3"/>
      <c r="W54" s="1"/>
      <c r="X54" s="1"/>
      <c r="Y54" s="1"/>
      <c r="Z54" s="1"/>
      <c r="AA54" s="1"/>
      <c r="AB54" s="4"/>
      <c r="AC54" s="4"/>
    </row>
    <row r="55" s="1" customFormat="1" spans="7:29">
      <c r="G55" s="2"/>
      <c r="H55" s="1"/>
      <c r="I55" s="1"/>
      <c r="J55" s="1"/>
      <c r="K55" s="1"/>
      <c r="L55" s="1"/>
      <c r="M55" s="1"/>
      <c r="Q55" s="2"/>
      <c r="R55" s="1"/>
      <c r="S55" s="1"/>
      <c r="T55" s="1"/>
      <c r="U55" s="2"/>
      <c r="V55" s="3"/>
      <c r="W55" s="1"/>
      <c r="X55" s="1"/>
      <c r="Y55" s="1"/>
      <c r="Z55" s="1"/>
      <c r="AA55" s="1"/>
      <c r="AB55" s="4"/>
      <c r="AC55" s="4"/>
    </row>
    <row r="56" s="1" customFormat="1" spans="7:29">
      <c r="G56" s="2"/>
      <c r="H56" s="1"/>
      <c r="I56" s="1"/>
      <c r="J56" s="1"/>
      <c r="K56" s="1"/>
      <c r="L56" s="1"/>
      <c r="M56" s="1"/>
      <c r="Q56" s="2"/>
      <c r="R56" s="1"/>
      <c r="S56" s="1"/>
      <c r="T56" s="1"/>
      <c r="U56" s="2"/>
      <c r="V56" s="3"/>
      <c r="W56" s="1"/>
      <c r="X56" s="1"/>
      <c r="Y56" s="1"/>
      <c r="Z56" s="1"/>
      <c r="AA56" s="1"/>
      <c r="AB56" s="4"/>
      <c r="AC56" s="4"/>
    </row>
    <row r="57" s="1" customFormat="1" spans="7:29">
      <c r="G57" s="2"/>
      <c r="H57" s="1"/>
      <c r="I57" s="1"/>
      <c r="J57" s="1"/>
      <c r="K57" s="1"/>
      <c r="L57" s="1"/>
      <c r="M57" s="1"/>
      <c r="Q57" s="2"/>
      <c r="R57" s="1"/>
      <c r="S57" s="1"/>
      <c r="T57" s="1"/>
      <c r="U57" s="2"/>
      <c r="V57" s="3"/>
      <c r="W57" s="1"/>
      <c r="X57" s="1"/>
      <c r="Y57" s="1"/>
      <c r="Z57" s="1"/>
      <c r="AA57" s="1"/>
      <c r="AB57" s="4"/>
      <c r="AC57" s="4"/>
    </row>
    <row r="58" s="1" customFormat="1" spans="7:29">
      <c r="G58" s="2"/>
      <c r="H58" s="1"/>
      <c r="I58" s="1"/>
      <c r="J58" s="1"/>
      <c r="K58" s="1"/>
      <c r="L58" s="1"/>
      <c r="M58" s="1"/>
      <c r="Q58" s="2"/>
      <c r="R58" s="1"/>
      <c r="S58" s="1"/>
      <c r="T58" s="1"/>
      <c r="U58" s="2"/>
      <c r="V58" s="3"/>
      <c r="W58" s="1"/>
      <c r="X58" s="1"/>
      <c r="Y58" s="1"/>
      <c r="Z58" s="1"/>
      <c r="AA58" s="1"/>
      <c r="AB58" s="4"/>
      <c r="AC58" s="4"/>
    </row>
    <row r="59" s="1" customFormat="1" spans="7:29">
      <c r="G59" s="2"/>
      <c r="H59" s="1"/>
      <c r="I59" s="1"/>
      <c r="J59" s="1"/>
      <c r="K59" s="1"/>
      <c r="L59" s="1"/>
      <c r="M59" s="1"/>
      <c r="Q59" s="2"/>
      <c r="R59" s="1"/>
      <c r="S59" s="1"/>
      <c r="T59" s="1"/>
      <c r="U59" s="2"/>
      <c r="V59" s="3"/>
      <c r="W59" s="1"/>
      <c r="X59" s="1"/>
      <c r="Y59" s="1"/>
      <c r="Z59" s="1"/>
      <c r="AA59" s="1"/>
      <c r="AB59" s="4"/>
      <c r="AC59" s="4"/>
    </row>
    <row r="61" s="1" customFormat="1" spans="7:29">
      <c r="G61" s="2"/>
      <c r="H61" s="1"/>
      <c r="I61" s="1"/>
      <c r="J61" s="1"/>
      <c r="K61" s="1"/>
      <c r="L61" s="1"/>
      <c r="M61" s="1"/>
      <c r="Q61" s="2"/>
      <c r="R61" s="1"/>
      <c r="S61" s="1"/>
      <c r="T61" s="1"/>
      <c r="U61" s="2"/>
      <c r="V61" s="3"/>
      <c r="W61" s="1"/>
      <c r="X61" s="1"/>
      <c r="Y61" s="1"/>
      <c r="Z61" s="1"/>
      <c r="AA61" s="1"/>
      <c r="AB61" s="4"/>
      <c r="AC61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C7" workbookViewId="0">
      <selection activeCell="K18" sqref="K18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18.9090909090909" style="1" customWidth="1"/>
    <col min="10" max="10" width="9.36363636363636" style="1" customWidth="1"/>
    <col min="11" max="11" width="14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1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1:33">
      <c r="B2" s="7" t="s">
        <v>169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1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2578.424</v>
      </c>
      <c r="T3" s="176">
        <f t="shared" ref="T3:T11" si="1">S3/$C$4-1</f>
        <v>1.54784980237154</v>
      </c>
      <c r="U3" s="176">
        <f>IF(R3=$C$1,SUM($E$4:$E$9),SUM($E$4:$E$8))</f>
        <v>1.37</v>
      </c>
      <c r="V3" s="177">
        <f t="shared" ref="V3:V11" si="2">1+$G$10*($I$10-1)</f>
        <v>3.2983</v>
      </c>
      <c r="W3" s="178">
        <f t="shared" ref="W3:W9" si="3">IF(R3=$C$1,$K$4+$K$5,$K$4)</f>
        <v>0</v>
      </c>
      <c r="X3" s="177">
        <f t="shared" ref="X3:X6" si="4">$AF$3</f>
        <v>0.520376862401402</v>
      </c>
      <c r="Y3" s="174">
        <f t="shared" ref="Y3:Y6" si="5">$AF$14</f>
        <v>0.8</v>
      </c>
      <c r="Z3" s="179">
        <v>0</v>
      </c>
      <c r="AA3" s="179">
        <v>0</v>
      </c>
      <c r="AB3" s="180">
        <v>0</v>
      </c>
      <c r="AC3" s="29">
        <f t="shared" ref="AC3:AC11" si="6">Q3*$C$4*(1+T3)*(1+U3)*V3*(1+W3)*X3*Y3*(1+Z3)*(1+AA3)*(1+AB3)*O3</f>
        <v>22957.0930215265</v>
      </c>
      <c r="AD3" s="16">
        <v>18</v>
      </c>
      <c r="AE3" s="16">
        <v>12</v>
      </c>
      <c r="AF3" s="17">
        <f t="shared" ref="AF3:AF8" si="7">1520/(1520+(792+8*AG3)*(1-AE3/100))</f>
        <v>0.520376862401402</v>
      </c>
      <c r="AG3" s="30">
        <v>100</v>
      </c>
    </row>
    <row r="4" s="1" customFormat="1" ht="15" spans="1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/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2578.424</v>
      </c>
      <c r="T4" s="25">
        <f t="shared" si="1"/>
        <v>1.54784980237154</v>
      </c>
      <c r="U4" s="25">
        <f>IF(R4=$C$1,SUM($E$4:$E$9),SUM($E$4:$E$8))</f>
        <v>1.37</v>
      </c>
      <c r="V4" s="177">
        <f t="shared" si="2"/>
        <v>3.2983</v>
      </c>
      <c r="W4" s="27">
        <f t="shared" si="3"/>
        <v>0</v>
      </c>
      <c r="X4" s="177">
        <f t="shared" si="4"/>
        <v>0.520376862401402</v>
      </c>
      <c r="Y4" s="23">
        <f t="shared" si="5"/>
        <v>0.8</v>
      </c>
      <c r="Z4" s="28">
        <v>0</v>
      </c>
      <c r="AA4" s="28">
        <v>0</v>
      </c>
      <c r="AB4" s="182">
        <v>0</v>
      </c>
      <c r="AC4" s="29">
        <f t="shared" si="6"/>
        <v>11292.2718524745</v>
      </c>
      <c r="AD4" s="16">
        <f>32+18</f>
        <v>50</v>
      </c>
      <c r="AE4" s="16">
        <v>12</v>
      </c>
      <c r="AF4" s="17">
        <f>1520/(1520+(792+8*AG4)*(1-AE4/100)*(1-AD4/100))</f>
        <v>0.684536676754576</v>
      </c>
      <c r="AG4" s="30">
        <v>100</v>
      </c>
    </row>
    <row r="5" s="1" customFormat="1" ht="15" spans="1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/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2578.424</v>
      </c>
      <c r="T5" s="25">
        <f t="shared" si="1"/>
        <v>1.54784980237154</v>
      </c>
      <c r="U5" s="25">
        <f>IF(R5=$C$1,SUM($E$4:$E$9),SUM($E$4:$E$8))</f>
        <v>1.792</v>
      </c>
      <c r="V5" s="177">
        <f t="shared" si="2"/>
        <v>3.2983</v>
      </c>
      <c r="W5" s="27">
        <f t="shared" si="3"/>
        <v>0</v>
      </c>
      <c r="X5" s="26">
        <f t="shared" ref="X5:X11" si="8">$AF$4</f>
        <v>0.684536676754576</v>
      </c>
      <c r="Y5" s="23">
        <f t="shared" ref="Y5:Y11" si="9">$AF$12</f>
        <v>0.9</v>
      </c>
      <c r="Z5" s="28">
        <v>0</v>
      </c>
      <c r="AA5" s="28">
        <v>0</v>
      </c>
      <c r="AB5" s="182">
        <v>0</v>
      </c>
      <c r="AC5" s="29">
        <f t="shared" si="6"/>
        <v>146872.842224096</v>
      </c>
      <c r="AD5" s="16">
        <v>0</v>
      </c>
      <c r="AE5" s="16">
        <v>12</v>
      </c>
      <c r="AF5" s="17">
        <f t="shared" si="7"/>
        <v>0.520376862401402</v>
      </c>
      <c r="AG5" s="30">
        <v>100</v>
      </c>
    </row>
    <row r="6" s="1" customFormat="1" ht="15" spans="1:33">
      <c r="B6" s="31" t="s">
        <v>73</v>
      </c>
      <c r="C6" s="34">
        <f>18%+18%+M4+(2-E1)*30%+25%</f>
        <v>1.082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2578.424</v>
      </c>
      <c r="T6" s="25">
        <f t="shared" si="1"/>
        <v>1.54784980237154</v>
      </c>
      <c r="U6" s="183">
        <f t="shared" ref="U6:U10" si="10">IF(R6=$C$1,SUM($E$4:$E$9),SUM($E$4:$E$8))</f>
        <v>1.37</v>
      </c>
      <c r="V6" s="177">
        <f t="shared" si="2"/>
        <v>3.2983</v>
      </c>
      <c r="W6" s="27">
        <f t="shared" si="3"/>
        <v>0</v>
      </c>
      <c r="X6" s="177">
        <f t="shared" si="4"/>
        <v>0.520376862401402</v>
      </c>
      <c r="Y6" s="23">
        <f t="shared" si="5"/>
        <v>0.8</v>
      </c>
      <c r="Z6" s="28">
        <v>0</v>
      </c>
      <c r="AA6" s="28">
        <v>0</v>
      </c>
      <c r="AB6" s="182">
        <v>0</v>
      </c>
      <c r="AC6" s="29">
        <f t="shared" si="6"/>
        <v>28859.9859091887</v>
      </c>
      <c r="AD6" s="16">
        <v>0</v>
      </c>
      <c r="AE6" s="16">
        <v>21.6</v>
      </c>
      <c r="AF6" s="17">
        <f t="shared" si="7"/>
        <v>0.549107555719967</v>
      </c>
      <c r="AG6" s="30">
        <v>100</v>
      </c>
    </row>
    <row r="7" s="1" customFormat="1" ht="15" spans="1:33">
      <c r="B7" s="31" t="s">
        <v>78</v>
      </c>
      <c r="C7" s="34"/>
      <c r="D7" s="31" t="s">
        <v>79</v>
      </c>
      <c r="E7" s="33">
        <f>65%</f>
        <v>0.65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2578.424</v>
      </c>
      <c r="T7" s="25">
        <f t="shared" si="1"/>
        <v>1.54784980237154</v>
      </c>
      <c r="U7" s="183">
        <f t="shared" si="10"/>
        <v>1.792</v>
      </c>
      <c r="V7" s="177">
        <f t="shared" si="2"/>
        <v>3.2983</v>
      </c>
      <c r="W7" s="27">
        <f t="shared" si="3"/>
        <v>0</v>
      </c>
      <c r="X7" s="26">
        <f t="shared" si="8"/>
        <v>0.684536676754576</v>
      </c>
      <c r="Y7" s="23">
        <f t="shared" si="9"/>
        <v>0.9</v>
      </c>
      <c r="Z7" s="28">
        <v>0</v>
      </c>
      <c r="AA7" s="28">
        <v>0</v>
      </c>
      <c r="AB7" s="182">
        <v>0</v>
      </c>
      <c r="AC7" s="29">
        <f t="shared" si="6"/>
        <v>52355.3218382144</v>
      </c>
      <c r="AD7" s="16">
        <v>0</v>
      </c>
      <c r="AE7" s="16">
        <v>28.8</v>
      </c>
      <c r="AF7" s="17">
        <f t="shared" si="7"/>
        <v>0.572827476423627</v>
      </c>
      <c r="AG7" s="30">
        <v>100</v>
      </c>
    </row>
    <row r="8" s="1" customFormat="1" ht="15" spans="1:33">
      <c r="B8" s="31" t="s">
        <v>82</v>
      </c>
      <c r="C8" s="39"/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2578.424</v>
      </c>
      <c r="T8" s="25">
        <f t="shared" si="1"/>
        <v>1.54784980237154</v>
      </c>
      <c r="U8" s="183">
        <f t="shared" si="10"/>
        <v>1.37</v>
      </c>
      <c r="V8" s="177">
        <f t="shared" si="2"/>
        <v>3.2983</v>
      </c>
      <c r="W8" s="27">
        <f t="shared" si="3"/>
        <v>0</v>
      </c>
      <c r="X8" s="177">
        <f>$AF$3</f>
        <v>0.520376862401402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6"/>
        <v>28859.9859091887</v>
      </c>
      <c r="AD8" s="16">
        <v>0</v>
      </c>
      <c r="AE8" s="16">
        <v>36</v>
      </c>
      <c r="AF8" s="17">
        <f t="shared" si="7"/>
        <v>0.598689185782707</v>
      </c>
      <c r="AG8" s="30">
        <v>100</v>
      </c>
    </row>
    <row r="9" s="1" customFormat="1" ht="15" spans="1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2578.424</v>
      </c>
      <c r="T9" s="25">
        <f t="shared" si="1"/>
        <v>1.54784980237154</v>
      </c>
      <c r="U9" s="183">
        <f t="shared" si="10"/>
        <v>1.792</v>
      </c>
      <c r="V9" s="177">
        <f t="shared" si="2"/>
        <v>3.2983</v>
      </c>
      <c r="W9" s="27">
        <f t="shared" si="3"/>
        <v>0</v>
      </c>
      <c r="X9" s="26">
        <f t="shared" si="8"/>
        <v>0.684536676754576</v>
      </c>
      <c r="Y9" s="23">
        <f t="shared" si="9"/>
        <v>0.9</v>
      </c>
      <c r="Z9" s="28">
        <v>0</v>
      </c>
      <c r="AA9" s="28">
        <v>0</v>
      </c>
      <c r="AB9" s="182">
        <v>0</v>
      </c>
      <c r="AC9" s="29">
        <f t="shared" si="6"/>
        <v>52355.3218382144</v>
      </c>
    </row>
    <row r="10" s="1" customFormat="1" ht="15" spans="1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2578.424</v>
      </c>
      <c r="T10" s="25">
        <f t="shared" si="1"/>
        <v>1.54784980237154</v>
      </c>
      <c r="U10" s="183">
        <f t="shared" si="10"/>
        <v>1.792</v>
      </c>
      <c r="V10" s="177">
        <f t="shared" si="2"/>
        <v>3.2983</v>
      </c>
      <c r="W10" s="27">
        <f>IF(R10=$C$1,$K$4+$K$5,$K$4)+2</f>
        <v>2</v>
      </c>
      <c r="X10" s="26">
        <f t="shared" si="8"/>
        <v>0.684536676754576</v>
      </c>
      <c r="Y10" s="23">
        <f t="shared" si="9"/>
        <v>0.9</v>
      </c>
      <c r="Z10" s="28">
        <v>0</v>
      </c>
      <c r="AA10" s="28">
        <v>0</v>
      </c>
      <c r="AB10" s="182">
        <v>0</v>
      </c>
      <c r="AC10" s="29">
        <f t="shared" si="6"/>
        <v>101814.205083535</v>
      </c>
    </row>
    <row r="11" s="1" customFormat="1" ht="15" spans="1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2578.424</v>
      </c>
      <c r="T11" s="188">
        <f t="shared" si="1"/>
        <v>1.54784980237154</v>
      </c>
      <c r="U11" s="189">
        <f>IF(R11=$C$1,SUM($E$4:$E$9),SUM($E$4:$E$8))+$E$10</f>
        <v>1.792</v>
      </c>
      <c r="V11" s="190">
        <f t="shared" si="2"/>
        <v>3.2983</v>
      </c>
      <c r="W11" s="191">
        <f>IF(R11=$C$1,$K$4+$K$5,$K$4)+$K$6+0.25</f>
        <v>0.25</v>
      </c>
      <c r="X11" s="192">
        <f t="shared" si="8"/>
        <v>0.684536676754576</v>
      </c>
      <c r="Y11" s="186">
        <f t="shared" si="9"/>
        <v>0.9</v>
      </c>
      <c r="Z11" s="193">
        <v>0</v>
      </c>
      <c r="AA11" s="193">
        <v>0</v>
      </c>
      <c r="AB11" s="194">
        <v>0</v>
      </c>
      <c r="AC11" s="29">
        <f t="shared" si="6"/>
        <v>327182.361734767</v>
      </c>
      <c r="AE11"/>
      <c r="AF11"/>
    </row>
    <row r="12" s="1" customFormat="1" spans="1:33">
      <c r="B12" s="49"/>
      <c r="C12" s="49"/>
      <c r="E12" s="50"/>
      <c r="G12" s="53"/>
      <c r="J12" s="2"/>
      <c r="K12" s="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E12" s="48" t="s">
        <v>34</v>
      </c>
      <c r="AF12" s="48">
        <v>0.9</v>
      </c>
    </row>
    <row r="13" s="1" customFormat="1" ht="15" spans="1:33">
      <c r="A13"/>
      <c r="B13"/>
      <c r="C13"/>
      <c r="D13" s="133"/>
      <c r="E13" s="133"/>
      <c r="F13" s="133" t="s">
        <v>147</v>
      </c>
      <c r="G13" s="134"/>
      <c r="H13" s="133"/>
      <c r="I13" s="133"/>
      <c r="J13" s="133"/>
      <c r="K13" s="133"/>
      <c r="L13" s="133"/>
      <c r="M13" s="133"/>
      <c r="O13" s="125">
        <v>0</v>
      </c>
      <c r="P13" s="127" t="s">
        <v>115</v>
      </c>
      <c r="Q13" s="127">
        <v>1.0935</v>
      </c>
      <c r="R13" s="128" t="s">
        <v>116</v>
      </c>
      <c r="S13" s="128">
        <v>10027</v>
      </c>
      <c r="T13" s="127">
        <v>0</v>
      </c>
      <c r="U13" s="127">
        <v>0</v>
      </c>
      <c r="V13" s="129">
        <v>1</v>
      </c>
      <c r="W13" s="130">
        <v>0</v>
      </c>
      <c r="X13" s="129">
        <f t="shared" ref="X13:X17" si="11">$AF$3</f>
        <v>0.520376862401402</v>
      </c>
      <c r="Y13" s="128">
        <f t="shared" ref="Y13:Y17" si="12">$AF$13</f>
        <v>0.8</v>
      </c>
      <c r="Z13" s="131">
        <v>1.2</v>
      </c>
      <c r="AA13" s="131">
        <v>0</v>
      </c>
      <c r="AB13" s="131">
        <v>0.5</v>
      </c>
      <c r="AC13" s="132">
        <f t="shared" ref="AC13:AC17" si="13">Q13*$S$17*(1+T13)*(1+U13)*V13*(1+W13)*X13*Y13*(1+Z13)*(1+AA13)*(1+AB13)*O13</f>
        <v>0</v>
      </c>
      <c r="AE13" s="52" t="s">
        <v>99</v>
      </c>
      <c r="AF13" s="52">
        <v>0.8</v>
      </c>
    </row>
    <row r="14" s="1" customFormat="1" ht="15" spans="1:33">
      <c r="A14" s="141"/>
      <c r="B14" s="142"/>
      <c r="C14" s="142"/>
      <c r="D14" s="142"/>
      <c r="E14" s="142"/>
      <c r="F14" s="142"/>
      <c r="G14" s="143"/>
      <c r="O14" s="31">
        <v>0</v>
      </c>
      <c r="P14" s="49" t="s">
        <v>117</v>
      </c>
      <c r="Q14" s="136">
        <v>5.9643</v>
      </c>
      <c r="R14" s="49" t="s">
        <v>116</v>
      </c>
      <c r="S14" s="49">
        <v>10027</v>
      </c>
      <c r="T14" s="136">
        <v>0</v>
      </c>
      <c r="U14" s="136">
        <v>0</v>
      </c>
      <c r="V14" s="137">
        <v>1</v>
      </c>
      <c r="W14" s="138">
        <v>0</v>
      </c>
      <c r="X14" s="137">
        <f t="shared" si="11"/>
        <v>0.520376862401402</v>
      </c>
      <c r="Y14" s="49">
        <f t="shared" si="12"/>
        <v>0.8</v>
      </c>
      <c r="Z14" s="139">
        <v>0</v>
      </c>
      <c r="AA14" s="139">
        <v>0</v>
      </c>
      <c r="AB14" s="139">
        <v>0.5</v>
      </c>
      <c r="AC14" s="140">
        <f t="shared" si="13"/>
        <v>0</v>
      </c>
      <c r="AE14" s="54" t="s">
        <v>103</v>
      </c>
      <c r="AF14" s="54">
        <v>0.8</v>
      </c>
    </row>
    <row r="15" s="1" customFormat="1" ht="15" spans="1:33">
      <c r="B15" s="144" t="s">
        <v>148</v>
      </c>
      <c r="G15" s="2"/>
      <c r="O15" s="31">
        <v>0</v>
      </c>
      <c r="P15" s="49" t="s">
        <v>118</v>
      </c>
      <c r="Q15" s="136">
        <v>18.8075</v>
      </c>
      <c r="R15" s="49" t="s">
        <v>116</v>
      </c>
      <c r="S15" s="49">
        <v>10027</v>
      </c>
      <c r="T15" s="136">
        <v>0</v>
      </c>
      <c r="U15" s="136">
        <v>0</v>
      </c>
      <c r="V15" s="137">
        <v>1</v>
      </c>
      <c r="W15" s="138">
        <v>0</v>
      </c>
      <c r="X15" s="137">
        <f t="shared" si="11"/>
        <v>0.520376862401402</v>
      </c>
      <c r="Y15" s="49">
        <f t="shared" si="12"/>
        <v>0.8</v>
      </c>
      <c r="Z15" s="139">
        <v>0</v>
      </c>
      <c r="AA15" s="139">
        <v>0</v>
      </c>
      <c r="AB15" s="139">
        <v>0.5</v>
      </c>
      <c r="AC15" s="140">
        <f t="shared" si="13"/>
        <v>0</v>
      </c>
      <c r="AE15" s="55" t="s">
        <v>105</v>
      </c>
      <c r="AF15" s="55">
        <v>0.8</v>
      </c>
    </row>
    <row r="16" s="1" customFormat="1" ht="15" spans="1:33">
      <c r="B16" s="152" t="s">
        <v>0</v>
      </c>
      <c r="C16" s="153" t="s">
        <v>149</v>
      </c>
      <c r="D16" s="153" t="s">
        <v>150</v>
      </c>
      <c r="E16" s="153" t="s">
        <v>151</v>
      </c>
      <c r="F16" s="153" t="s">
        <v>152</v>
      </c>
      <c r="G16" s="2"/>
      <c r="O16" s="31">
        <v>0</v>
      </c>
      <c r="P16" s="49" t="s">
        <v>120</v>
      </c>
      <c r="Q16" s="136">
        <v>2.9822</v>
      </c>
      <c r="R16" s="49" t="s">
        <v>116</v>
      </c>
      <c r="S16" s="49">
        <v>10027</v>
      </c>
      <c r="T16" s="136">
        <v>0</v>
      </c>
      <c r="U16" s="136">
        <v>0</v>
      </c>
      <c r="V16" s="137">
        <v>1</v>
      </c>
      <c r="W16" s="138">
        <v>0</v>
      </c>
      <c r="X16" s="137">
        <f t="shared" si="11"/>
        <v>0.520376862401402</v>
      </c>
      <c r="Y16" s="49">
        <f t="shared" si="12"/>
        <v>0.8</v>
      </c>
      <c r="Z16" s="139">
        <v>0</v>
      </c>
      <c r="AA16" s="139">
        <v>0</v>
      </c>
      <c r="AB16" s="139">
        <v>0.5</v>
      </c>
      <c r="AC16" s="140">
        <f t="shared" si="13"/>
        <v>0</v>
      </c>
    </row>
    <row r="17" s="1" customFormat="1" ht="15" spans="1:30">
      <c r="B17" s="4" t="s">
        <v>164</v>
      </c>
      <c r="C17" s="154">
        <f>SUM(AC3:AC11)</f>
        <v>772549.389411205</v>
      </c>
      <c r="D17" s="154">
        <f t="shared" ref="D17:D21" si="14">C17/$E$17</f>
        <v>30901.9755764482</v>
      </c>
      <c r="E17" s="155">
        <v>25</v>
      </c>
      <c r="F17" s="156">
        <f t="shared" ref="F17:F21" si="15">C17/$C$23</f>
        <v>0.353477581620524</v>
      </c>
      <c r="G17" s="2"/>
      <c r="O17" s="42">
        <v>1</v>
      </c>
      <c r="P17" s="147" t="s">
        <v>123</v>
      </c>
      <c r="Q17" s="146">
        <v>16</v>
      </c>
      <c r="R17" s="147" t="s">
        <v>124</v>
      </c>
      <c r="S17" s="147">
        <v>10027</v>
      </c>
      <c r="T17" s="146">
        <v>0</v>
      </c>
      <c r="U17" s="146">
        <v>0</v>
      </c>
      <c r="V17" s="148">
        <v>1</v>
      </c>
      <c r="W17" s="149">
        <v>0</v>
      </c>
      <c r="X17" s="148">
        <f t="shared" si="11"/>
        <v>0.520376862401402</v>
      </c>
      <c r="Y17" s="147">
        <f t="shared" si="12"/>
        <v>0.8</v>
      </c>
      <c r="Z17" s="150">
        <v>0</v>
      </c>
      <c r="AA17" s="150">
        <v>0</v>
      </c>
      <c r="AB17" s="150">
        <v>0.1</v>
      </c>
      <c r="AC17" s="151">
        <f t="shared" si="13"/>
        <v>73466.888694128</v>
      </c>
    </row>
    <row r="18" s="1" customFormat="1" ht="15" spans="1:30">
      <c r="B18" s="4" t="s">
        <v>165</v>
      </c>
      <c r="C18" s="154">
        <v>313858</v>
      </c>
      <c r="D18" s="154">
        <f t="shared" si="14"/>
        <v>12554.32</v>
      </c>
      <c r="E18" s="161"/>
      <c r="F18" s="156">
        <f t="shared" si="15"/>
        <v>0.143604756320898</v>
      </c>
      <c r="G18" s="2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="1" customFormat="1" ht="15" spans="1:30">
      <c r="A19" s="1" t="s">
        <v>166</v>
      </c>
      <c r="B19" s="4" t="s">
        <v>167</v>
      </c>
      <c r="C19" s="154">
        <v>256302</v>
      </c>
      <c r="D19" s="154">
        <f t="shared" si="14"/>
        <v>10252.08</v>
      </c>
      <c r="E19" s="164"/>
      <c r="F19" s="156">
        <f t="shared" si="15"/>
        <v>0.117270186691302</v>
      </c>
      <c r="G19" s="2"/>
      <c r="Q19" s="2"/>
      <c r="U19" s="2"/>
      <c r="V19" s="3"/>
      <c r="AB19" s="4"/>
      <c r="AC19" s="4"/>
    </row>
    <row r="20" s="1" customFormat="1" ht="15" spans="1:30">
      <c r="B20" s="4" t="s">
        <v>168</v>
      </c>
      <c r="C20" s="154">
        <f>21372*(6+6*2)*2</f>
        <v>769392</v>
      </c>
      <c r="D20" s="154">
        <f t="shared" si="14"/>
        <v>30775.68</v>
      </c>
      <c r="E20" s="164"/>
      <c r="F20" s="156">
        <f t="shared" si="15"/>
        <v>0.352032927869444</v>
      </c>
      <c r="G20" s="2"/>
      <c r="Q20" s="2"/>
      <c r="U20" s="2"/>
      <c r="V20" s="3"/>
      <c r="AB20" s="4"/>
      <c r="AC20" s="4"/>
    </row>
    <row r="21" s="1" customFormat="1" ht="15" spans="1:30">
      <c r="B21" s="4" t="s">
        <v>123</v>
      </c>
      <c r="C21" s="154">
        <f>AC17</f>
        <v>73466.888694128</v>
      </c>
      <c r="D21" s="154">
        <f t="shared" si="14"/>
        <v>2938.67554776512</v>
      </c>
      <c r="E21" s="164"/>
      <c r="F21" s="156">
        <f t="shared" si="15"/>
        <v>0.0336145474978326</v>
      </c>
      <c r="G21" s="2"/>
      <c r="Q21" s="2"/>
      <c r="U21" s="2"/>
      <c r="V21" s="3"/>
      <c r="AB21" s="4"/>
      <c r="AC21" s="4"/>
    </row>
    <row r="22" s="1" customFormat="1" ht="15" spans="1:30">
      <c r="B22" s="4"/>
      <c r="C22" s="154"/>
      <c r="D22" s="154"/>
      <c r="E22" s="164"/>
      <c r="F22" s="156"/>
      <c r="G22" s="2"/>
      <c r="I22" s="164"/>
      <c r="J22" s="164"/>
      <c r="K22" s="164"/>
      <c r="Q22" s="2"/>
      <c r="U22" s="2"/>
      <c r="V22" s="3"/>
      <c r="AB22" s="4"/>
      <c r="AC22" s="4"/>
    </row>
    <row r="23" s="1" customFormat="1" ht="15" spans="1:30">
      <c r="B23" s="4" t="s">
        <v>153</v>
      </c>
      <c r="C23" s="167">
        <f>SUM(C17:C21)</f>
        <v>2185568.27810533</v>
      </c>
      <c r="D23" s="167">
        <f>C23/E17</f>
        <v>87422.7311242133</v>
      </c>
      <c r="E23" s="168"/>
      <c r="F23" s="169"/>
      <c r="G23" s="170"/>
      <c r="I23" s="171" t="s">
        <v>170</v>
      </c>
      <c r="J23" s="171" t="s">
        <v>1</v>
      </c>
      <c r="K23" s="171" t="s">
        <v>2</v>
      </c>
      <c r="Q23" s="2"/>
      <c r="U23" s="2"/>
      <c r="V23" s="3"/>
      <c r="AB23" s="4"/>
      <c r="AC23" s="4"/>
    </row>
    <row r="24" s="1" customFormat="1" ht="17.5" spans="1:30">
      <c r="B24" s="4"/>
      <c r="C24" s="4"/>
      <c r="D24" s="4"/>
      <c r="G24" s="2"/>
      <c r="I24" s="164" t="s">
        <v>171</v>
      </c>
      <c r="J24" s="212">
        <v>87423</v>
      </c>
      <c r="K24" s="213">
        <f>J24/J25-1</f>
        <v>-0.0634521029288883</v>
      </c>
      <c r="Q24" s="2"/>
      <c r="U24" s="2"/>
      <c r="V24" s="3"/>
      <c r="AB24" s="4"/>
      <c r="AC24" s="4"/>
      <c r="AD24"/>
    </row>
    <row r="25" s="1" customFormat="1" ht="17.5" spans="1:30">
      <c r="B25" s="195" t="s">
        <v>154</v>
      </c>
      <c r="C25" s="196" t="s">
        <v>155</v>
      </c>
      <c r="D25" s="196" t="s">
        <v>156</v>
      </c>
      <c r="E25" s="196"/>
      <c r="F25" s="197"/>
      <c r="G25" s="2"/>
      <c r="I25" s="164" t="s">
        <v>172</v>
      </c>
      <c r="J25" s="212">
        <v>93346</v>
      </c>
      <c r="K25" s="214">
        <v>0</v>
      </c>
      <c r="Q25" s="2"/>
      <c r="U25" s="2"/>
      <c r="V25" s="3"/>
      <c r="AB25" s="4"/>
      <c r="AC25" s="4"/>
      <c r="AD25"/>
    </row>
    <row r="26" s="1" customFormat="1" ht="17.5" spans="1:30">
      <c r="B26" s="198"/>
      <c r="C26" s="199"/>
      <c r="D26" s="199"/>
      <c r="E26" s="199"/>
      <c r="F26" s="200"/>
      <c r="I26" s="164" t="s">
        <v>173</v>
      </c>
      <c r="J26" s="212">
        <v>110865</v>
      </c>
      <c r="K26" s="213">
        <f>J26/J25-1</f>
        <v>0.187678100829173</v>
      </c>
      <c r="Q26" s="2"/>
      <c r="U26" s="2"/>
      <c r="V26" s="3"/>
      <c r="AB26" s="4"/>
      <c r="AC26" s="4"/>
    </row>
    <row r="27" s="1" customFormat="1" ht="17.5" spans="1:30">
      <c r="B27" s="201"/>
      <c r="C27" s="201"/>
      <c r="D27" s="201"/>
      <c r="E27" s="201"/>
      <c r="F27" s="201"/>
      <c r="G27" s="2"/>
      <c r="I27" s="164" t="s">
        <v>174</v>
      </c>
      <c r="J27" s="212">
        <v>79859</v>
      </c>
      <c r="K27" s="213">
        <f>J27/J25-1</f>
        <v>-0.14448396289075</v>
      </c>
      <c r="Q27" s="2"/>
      <c r="U27" s="2"/>
      <c r="V27" s="3"/>
      <c r="AB27" s="4"/>
      <c r="AC27" s="4"/>
    </row>
    <row r="28" s="1" customFormat="1" ht="15" spans="1:30">
      <c r="B28" s="202" t="s">
        <v>157</v>
      </c>
      <c r="C28" s="203" t="s">
        <v>36</v>
      </c>
      <c r="D28" s="203" t="s">
        <v>158</v>
      </c>
      <c r="E28" s="128"/>
      <c r="F28" s="204"/>
      <c r="G28" s="2"/>
      <c r="Q28" s="2"/>
      <c r="U28" s="2"/>
      <c r="V28" s="3"/>
      <c r="AB28" s="4"/>
      <c r="AC28" s="4"/>
    </row>
    <row r="29" s="1" customFormat="1" ht="15" spans="1:30">
      <c r="B29" s="205"/>
      <c r="C29" s="164" t="s">
        <v>100</v>
      </c>
      <c r="D29" s="164" t="s">
        <v>159</v>
      </c>
      <c r="F29" s="206"/>
      <c r="G29" s="2"/>
      <c r="Q29" s="2"/>
      <c r="U29" s="2"/>
      <c r="V29" s="3"/>
      <c r="AB29" s="4"/>
      <c r="AC29" s="4"/>
    </row>
    <row r="30" s="1" customFormat="1" ht="15" spans="1:30">
      <c r="B30" s="207"/>
      <c r="C30" s="208" t="s">
        <v>160</v>
      </c>
      <c r="D30" s="208" t="s">
        <v>161</v>
      </c>
      <c r="E30" s="147"/>
      <c r="F30" s="43"/>
      <c r="G30" s="2"/>
      <c r="Q30" s="2"/>
      <c r="U30" s="2"/>
      <c r="V30" s="3"/>
      <c r="AB30" s="4"/>
      <c r="AC30" s="4"/>
      <c r="AD30"/>
    </row>
    <row r="31" s="1" customFormat="1" spans="1:30">
      <c r="B31" s="4"/>
      <c r="C31" s="4"/>
      <c r="D31" s="4"/>
      <c r="F31" s="4"/>
      <c r="G31" s="2"/>
      <c r="Q31" s="2"/>
      <c r="U31" s="2"/>
      <c r="V31" s="3"/>
      <c r="AB31" s="4"/>
      <c r="AC31" s="4"/>
    </row>
    <row r="32" s="1" customFormat="1" spans="1:30">
      <c r="B32" s="4"/>
      <c r="C32" s="4"/>
      <c r="D32" s="4"/>
      <c r="F32" s="4"/>
      <c r="G32" s="2"/>
      <c r="Q32" s="2"/>
      <c r="U32" s="2"/>
      <c r="V32" s="3"/>
      <c r="AB32" s="4"/>
      <c r="AC32" s="4"/>
    </row>
    <row r="33" s="1" customFormat="1" spans="2:29">
      <c r="G33" s="2"/>
      <c r="N33" s="124"/>
      <c r="Q33" s="2"/>
      <c r="U33" s="2"/>
      <c r="V33" s="3"/>
      <c r="AB33" s="4"/>
      <c r="AC33" s="4"/>
    </row>
    <row r="34" s="1" customFormat="1" spans="2:29">
      <c r="B34" s="4"/>
      <c r="C34" s="4"/>
      <c r="D34" s="4"/>
      <c r="F34" s="4"/>
      <c r="G34" s="2"/>
      <c r="N34" s="49"/>
      <c r="Q34" s="2"/>
      <c r="U34" s="2"/>
      <c r="V34" s="3"/>
      <c r="AB34" s="4"/>
      <c r="AC34" s="4"/>
    </row>
    <row r="35" s="1" customFormat="1" spans="2:29">
      <c r="B35" s="4"/>
      <c r="C35" s="4"/>
      <c r="D35" s="4"/>
      <c r="F35" s="4"/>
      <c r="G35" s="2"/>
      <c r="N35" s="49"/>
      <c r="Q35" s="2"/>
      <c r="U35" s="2"/>
      <c r="V35" s="3"/>
      <c r="AB35" s="4"/>
      <c r="AC35" s="4"/>
    </row>
    <row r="36" s="1" customFormat="1" spans="2:29">
      <c r="G36" s="2"/>
      <c r="N36" s="49"/>
      <c r="Q36" s="2"/>
      <c r="U36" s="2"/>
      <c r="V36" s="3"/>
      <c r="AB36" s="4"/>
      <c r="AC36" s="4"/>
    </row>
    <row r="37" s="1" customFormat="1" spans="2:29">
      <c r="B37" s="4"/>
      <c r="C37" s="4"/>
      <c r="D37" s="4"/>
      <c r="F37" s="4"/>
      <c r="G37" s="2"/>
      <c r="N37" s="49"/>
      <c r="Q37" s="2"/>
      <c r="U37" s="2"/>
      <c r="V37" s="3"/>
      <c r="AB37" s="4"/>
      <c r="AC37" s="4"/>
    </row>
    <row r="38" s="1" customFormat="1" spans="2:29">
      <c r="B38" s="4"/>
      <c r="C38" s="4"/>
      <c r="D38" s="4"/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8" s="1" customFormat="1" spans="7:29">
      <c r="G58" s="2"/>
      <c r="Q58" s="2"/>
      <c r="U58" s="2"/>
      <c r="V58" s="3"/>
      <c r="AB58" s="4"/>
      <c r="AC58" s="4"/>
    </row>
    <row r="59" s="1" customFormat="1" spans="7:29">
      <c r="G59" s="2"/>
      <c r="Q59" s="2"/>
      <c r="U59" s="2"/>
      <c r="V59" s="3"/>
      <c r="AB59" s="4"/>
      <c r="AC59" s="4"/>
    </row>
    <row r="61" s="1" customFormat="1" spans="7:29">
      <c r="G61" s="2"/>
      <c r="Q61" s="2"/>
      <c r="U61" s="2"/>
      <c r="V61" s="3"/>
      <c r="AB61" s="4"/>
      <c r="AC61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A4" workbookViewId="0">
      <selection activeCell="H28" sqref="H28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1:33">
      <c r="B1" s="5" t="s">
        <v>33</v>
      </c>
      <c r="C1" s="5" t="s">
        <v>34</v>
      </c>
      <c r="D1" s="6" t="s">
        <v>35</v>
      </c>
      <c r="E1" s="6">
        <v>0</v>
      </c>
      <c r="Q1" s="2"/>
      <c r="U1" s="2"/>
      <c r="V1" s="3"/>
      <c r="AB1" s="4"/>
      <c r="AC1" s="4"/>
    </row>
    <row r="2" s="1" customFormat="1" ht="15" spans="1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1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2882.024</v>
      </c>
      <c r="T3" s="176">
        <f t="shared" ref="T3:T11" si="1">S3/$C$4-1</f>
        <v>1.84784980237154</v>
      </c>
      <c r="U3" s="176">
        <f>IF(R3=$C$1,SUM($E$4:$E$9),SUM($E$4:$E$8))</f>
        <v>1.81</v>
      </c>
      <c r="V3" s="177">
        <f t="shared" ref="V3:V11" si="2">1+$G$10*($I$10-1)</f>
        <v>3.2983</v>
      </c>
      <c r="W3" s="178">
        <f t="shared" ref="W3:W9" si="3">IF(R3=$C$1,$K$4+$K$5,$K$4)</f>
        <v>0</v>
      </c>
      <c r="X3" s="177">
        <f t="shared" ref="X3:X6" si="4">$AF$3</f>
        <v>0.520376862401402</v>
      </c>
      <c r="Y3" s="174">
        <f t="shared" ref="Y3:Y6" si="5">$AF$14</f>
        <v>0.8</v>
      </c>
      <c r="Z3" s="179">
        <v>0</v>
      </c>
      <c r="AA3" s="179">
        <v>0</v>
      </c>
      <c r="AB3" s="180">
        <v>0</v>
      </c>
      <c r="AC3" s="29">
        <f t="shared" ref="AC3:AC11" si="6">Q3*$C$4*(1+T3)*(1+U3)*V3*(1+W3)*X3*Y3*(1+Z3)*(1+AA3)*(1+AB3)*O3</f>
        <v>30424.1270498758</v>
      </c>
      <c r="AD3" s="16">
        <v>18</v>
      </c>
      <c r="AE3" s="16">
        <v>12</v>
      </c>
      <c r="AF3" s="17">
        <f t="shared" ref="AF3:AF8" si="7">1520/(1520+(792+8*AG3)*(1-AE3/100))</f>
        <v>0.520376862401402</v>
      </c>
      <c r="AG3" s="30">
        <v>100</v>
      </c>
    </row>
    <row r="4" s="1" customFormat="1" ht="15" spans="1:33">
      <c r="B4" s="31" t="s">
        <v>60</v>
      </c>
      <c r="C4" s="32">
        <f>425+587</f>
        <v>1012</v>
      </c>
      <c r="D4" s="31" t="s">
        <v>61</v>
      </c>
      <c r="E4" s="33">
        <f>E1*30%</f>
        <v>0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/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>IF(R4=$C$1,SUM($E$4:$E$9),SUM($E$4:$E$8))</f>
        <v>1.81</v>
      </c>
      <c r="V4" s="177">
        <f t="shared" si="2"/>
        <v>3.2983</v>
      </c>
      <c r="W4" s="27">
        <f t="shared" si="3"/>
        <v>0</v>
      </c>
      <c r="X4" s="177">
        <f t="shared" si="4"/>
        <v>0.520376862401402</v>
      </c>
      <c r="Y4" s="23">
        <f t="shared" si="5"/>
        <v>0.8</v>
      </c>
      <c r="Z4" s="28">
        <v>0</v>
      </c>
      <c r="AA4" s="28">
        <v>0</v>
      </c>
      <c r="AB4" s="182">
        <v>0</v>
      </c>
      <c r="AC4" s="29">
        <f t="shared" si="6"/>
        <v>14965.201090542</v>
      </c>
      <c r="AD4" s="16">
        <f>32+18</f>
        <v>50</v>
      </c>
      <c r="AE4" s="16">
        <v>12</v>
      </c>
      <c r="AF4" s="17">
        <f>1520/(1520+(792+8*AG4)*(1-AE4/100)*(1-AD4/100))</f>
        <v>0.684536676754576</v>
      </c>
      <c r="AG4" s="30">
        <v>100</v>
      </c>
    </row>
    <row r="5" s="1" customFormat="1" ht="15" spans="1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/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>IF(R5=$C$1,SUM($E$4:$E$9),SUM($E$4:$E$8))</f>
        <v>2.232</v>
      </c>
      <c r="V5" s="177">
        <f t="shared" si="2"/>
        <v>3.2983</v>
      </c>
      <c r="W5" s="27">
        <f t="shared" si="3"/>
        <v>0</v>
      </c>
      <c r="X5" s="26">
        <f t="shared" ref="X5:X11" si="8">$AF$4</f>
        <v>0.684536676754576</v>
      </c>
      <c r="Y5" s="23">
        <f t="shared" ref="Y5:Y11" si="9">$AF$12</f>
        <v>0.9</v>
      </c>
      <c r="Z5" s="28">
        <v>0</v>
      </c>
      <c r="AA5" s="28">
        <v>0</v>
      </c>
      <c r="AB5" s="182">
        <v>0</v>
      </c>
      <c r="AC5" s="29">
        <f t="shared" si="6"/>
        <v>190038.106927767</v>
      </c>
      <c r="AD5" s="16">
        <v>0</v>
      </c>
      <c r="AE5" s="16">
        <v>12</v>
      </c>
      <c r="AF5" s="17">
        <f t="shared" si="7"/>
        <v>0.520376862401402</v>
      </c>
      <c r="AG5" s="30">
        <v>100</v>
      </c>
    </row>
    <row r="6" s="1" customFormat="1" ht="15" spans="1:33">
      <c r="B6" s="31" t="s">
        <v>73</v>
      </c>
      <c r="C6" s="34">
        <f>18%+18%+M4+(2-E1)*30%+25%</f>
        <v>1.382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ref="U6:U10" si="10">IF(R6=$C$1,SUM($E$4:$E$9),SUM($E$4:$E$8))</f>
        <v>1.81</v>
      </c>
      <c r="V6" s="177">
        <f t="shared" si="2"/>
        <v>3.2983</v>
      </c>
      <c r="W6" s="27">
        <f t="shared" si="3"/>
        <v>0</v>
      </c>
      <c r="X6" s="177">
        <f t="shared" si="4"/>
        <v>0.520376862401402</v>
      </c>
      <c r="Y6" s="23">
        <f t="shared" si="5"/>
        <v>0.8</v>
      </c>
      <c r="Z6" s="28">
        <v>0</v>
      </c>
      <c r="AA6" s="28">
        <v>0</v>
      </c>
      <c r="AB6" s="182">
        <v>0</v>
      </c>
      <c r="AC6" s="29">
        <f t="shared" si="6"/>
        <v>38246.997437152</v>
      </c>
      <c r="AD6" s="16">
        <v>0</v>
      </c>
      <c r="AE6" s="16">
        <v>21.6</v>
      </c>
      <c r="AF6" s="17">
        <f t="shared" si="7"/>
        <v>0.549107555719967</v>
      </c>
      <c r="AG6" s="30">
        <v>100</v>
      </c>
    </row>
    <row r="7" s="1" customFormat="1" ht="15" spans="1:33">
      <c r="B7" s="31" t="s">
        <v>78</v>
      </c>
      <c r="C7" s="34"/>
      <c r="D7" s="31" t="s">
        <v>79</v>
      </c>
      <c r="E7" s="33">
        <f>65%+24%</f>
        <v>0.89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10"/>
        <v>2.232</v>
      </c>
      <c r="V7" s="177">
        <f t="shared" si="2"/>
        <v>3.2983</v>
      </c>
      <c r="W7" s="27">
        <f t="shared" si="3"/>
        <v>0</v>
      </c>
      <c r="X7" s="26">
        <f t="shared" si="8"/>
        <v>0.684536676754576</v>
      </c>
      <c r="Y7" s="23">
        <f t="shared" si="9"/>
        <v>0.9</v>
      </c>
      <c r="Z7" s="28">
        <v>0</v>
      </c>
      <c r="AA7" s="28">
        <v>0</v>
      </c>
      <c r="AB7" s="182">
        <v>0</v>
      </c>
      <c r="AC7" s="29">
        <f t="shared" si="6"/>
        <v>67742.3143656979</v>
      </c>
      <c r="AD7" s="16">
        <v>0</v>
      </c>
      <c r="AE7" s="16">
        <v>28.8</v>
      </c>
      <c r="AF7" s="17">
        <f t="shared" si="7"/>
        <v>0.572827476423627</v>
      </c>
      <c r="AG7" s="30">
        <v>100</v>
      </c>
    </row>
    <row r="8" s="1" customFormat="1" ht="15" spans="1:33">
      <c r="B8" s="31" t="s">
        <v>82</v>
      </c>
      <c r="C8" s="39"/>
      <c r="D8" s="31" t="s">
        <v>83</v>
      </c>
      <c r="E8" s="184">
        <v>0.5</v>
      </c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10"/>
        <v>1.81</v>
      </c>
      <c r="V8" s="177">
        <f t="shared" si="2"/>
        <v>3.2983</v>
      </c>
      <c r="W8" s="27">
        <f t="shared" si="3"/>
        <v>0</v>
      </c>
      <c r="X8" s="177">
        <f>$AF$3</f>
        <v>0.520376862401402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6"/>
        <v>38246.997437152</v>
      </c>
      <c r="AD8" s="16">
        <v>0</v>
      </c>
      <c r="AE8" s="16">
        <v>36</v>
      </c>
      <c r="AF8" s="17">
        <f t="shared" si="7"/>
        <v>0.598689185782707</v>
      </c>
      <c r="AG8" s="30">
        <v>100</v>
      </c>
    </row>
    <row r="9" s="1" customFormat="1" ht="15" spans="1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10"/>
        <v>2.232</v>
      </c>
      <c r="V9" s="177">
        <f t="shared" si="2"/>
        <v>3.2983</v>
      </c>
      <c r="W9" s="27">
        <f t="shared" si="3"/>
        <v>0</v>
      </c>
      <c r="X9" s="26">
        <f t="shared" si="8"/>
        <v>0.684536676754576</v>
      </c>
      <c r="Y9" s="23">
        <f t="shared" si="9"/>
        <v>0.9</v>
      </c>
      <c r="Z9" s="28">
        <v>0</v>
      </c>
      <c r="AA9" s="28">
        <v>0</v>
      </c>
      <c r="AB9" s="182">
        <v>0</v>
      </c>
      <c r="AC9" s="29">
        <f t="shared" si="6"/>
        <v>67742.3143656979</v>
      </c>
    </row>
    <row r="10" s="1" customFormat="1" ht="15" spans="1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10"/>
        <v>2.232</v>
      </c>
      <c r="V10" s="177">
        <f t="shared" si="2"/>
        <v>3.2983</v>
      </c>
      <c r="W10" s="27">
        <f>IF(R10=$C$1,$K$4+$K$5,$K$4)+2</f>
        <v>2</v>
      </c>
      <c r="X10" s="26">
        <f t="shared" si="8"/>
        <v>0.684536676754576</v>
      </c>
      <c r="Y10" s="23">
        <f t="shared" si="9"/>
        <v>0.9</v>
      </c>
      <c r="Z10" s="28">
        <v>0</v>
      </c>
      <c r="AA10" s="28">
        <v>0</v>
      </c>
      <c r="AB10" s="182">
        <v>0</v>
      </c>
      <c r="AC10" s="29">
        <f t="shared" si="6"/>
        <v>131736.939923235</v>
      </c>
    </row>
    <row r="11" s="1" customFormat="1" ht="15" spans="1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2.232</v>
      </c>
      <c r="V11" s="190">
        <f t="shared" si="2"/>
        <v>3.2983</v>
      </c>
      <c r="W11" s="191">
        <f>IF(R11=$C$1,$K$4+$K$5,$K$4)+$K$6+0.25</f>
        <v>0.25</v>
      </c>
      <c r="X11" s="192">
        <f t="shared" si="8"/>
        <v>0.684536676754576</v>
      </c>
      <c r="Y11" s="186">
        <f t="shared" si="9"/>
        <v>0.9</v>
      </c>
      <c r="Z11" s="193">
        <v>0</v>
      </c>
      <c r="AA11" s="193">
        <v>0</v>
      </c>
      <c r="AB11" s="194">
        <v>0</v>
      </c>
      <c r="AC11" s="29">
        <f t="shared" si="6"/>
        <v>423339.779517321</v>
      </c>
      <c r="AE11"/>
      <c r="AF11"/>
    </row>
    <row r="12" s="1" customFormat="1" spans="1:33">
      <c r="B12" s="49"/>
      <c r="C12" s="49"/>
      <c r="E12" s="50"/>
      <c r="G12" s="53"/>
      <c r="J12" s="2"/>
      <c r="K12" s="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E12" s="48" t="s">
        <v>34</v>
      </c>
      <c r="AF12" s="48">
        <v>0.9</v>
      </c>
    </row>
    <row r="13" s="1" customFormat="1" ht="15" spans="1:33">
      <c r="A13"/>
      <c r="B13"/>
      <c r="C13"/>
      <c r="D13" s="133"/>
      <c r="E13" s="133"/>
      <c r="F13" s="133" t="s">
        <v>147</v>
      </c>
      <c r="G13" s="134"/>
      <c r="H13" s="133"/>
      <c r="I13" s="133"/>
      <c r="J13" s="133"/>
      <c r="K13" s="133"/>
      <c r="L13" s="133"/>
      <c r="M13" s="133"/>
      <c r="O13" s="125">
        <v>0</v>
      </c>
      <c r="P13" s="127" t="s">
        <v>115</v>
      </c>
      <c r="Q13" s="127">
        <v>1.0935</v>
      </c>
      <c r="R13" s="128" t="s">
        <v>116</v>
      </c>
      <c r="S13" s="128">
        <v>10027</v>
      </c>
      <c r="T13" s="127">
        <v>0</v>
      </c>
      <c r="U13" s="127">
        <v>0</v>
      </c>
      <c r="V13" s="129">
        <v>1</v>
      </c>
      <c r="W13" s="130">
        <v>0</v>
      </c>
      <c r="X13" s="129">
        <f t="shared" ref="X13:X17" si="11">$AF$3</f>
        <v>0.520376862401402</v>
      </c>
      <c r="Y13" s="128">
        <f t="shared" ref="Y13:Y17" si="12">$AF$13</f>
        <v>0.8</v>
      </c>
      <c r="Z13" s="131">
        <v>1.2</v>
      </c>
      <c r="AA13" s="131">
        <v>0</v>
      </c>
      <c r="AB13" s="131">
        <v>0.5</v>
      </c>
      <c r="AC13" s="132">
        <f t="shared" ref="AC13:AC17" si="13">Q13*$S$17*(1+T13)*(1+U13)*V13*(1+W13)*X13*Y13*(1+Z13)*(1+AA13)*(1+AB13)*O13</f>
        <v>0</v>
      </c>
      <c r="AE13" s="52" t="s">
        <v>99</v>
      </c>
      <c r="AF13" s="52">
        <v>0.8</v>
      </c>
    </row>
    <row r="14" s="1" customFormat="1" ht="15" spans="1:33">
      <c r="A14" s="141"/>
      <c r="B14" s="142"/>
      <c r="C14" s="142"/>
      <c r="D14" s="142"/>
      <c r="E14" s="142"/>
      <c r="F14" s="142"/>
      <c r="G14" s="143"/>
      <c r="O14" s="31">
        <v>0</v>
      </c>
      <c r="P14" s="49" t="s">
        <v>117</v>
      </c>
      <c r="Q14" s="136">
        <v>5.9643</v>
      </c>
      <c r="R14" s="49" t="s">
        <v>116</v>
      </c>
      <c r="S14" s="49">
        <v>10027</v>
      </c>
      <c r="T14" s="136">
        <v>0</v>
      </c>
      <c r="U14" s="136">
        <v>0</v>
      </c>
      <c r="V14" s="137">
        <v>1</v>
      </c>
      <c r="W14" s="138">
        <v>0</v>
      </c>
      <c r="X14" s="137">
        <f t="shared" si="11"/>
        <v>0.520376862401402</v>
      </c>
      <c r="Y14" s="49">
        <f t="shared" si="12"/>
        <v>0.8</v>
      </c>
      <c r="Z14" s="139">
        <v>0</v>
      </c>
      <c r="AA14" s="139">
        <v>0</v>
      </c>
      <c r="AB14" s="139">
        <v>0.5</v>
      </c>
      <c r="AC14" s="140">
        <f t="shared" si="13"/>
        <v>0</v>
      </c>
      <c r="AE14" s="54" t="s">
        <v>103</v>
      </c>
      <c r="AF14" s="54">
        <v>0.8</v>
      </c>
    </row>
    <row r="15" s="1" customFormat="1" ht="15" spans="1:33">
      <c r="B15" s="144" t="s">
        <v>148</v>
      </c>
      <c r="G15" s="2"/>
      <c r="O15" s="31">
        <v>0</v>
      </c>
      <c r="P15" s="49" t="s">
        <v>118</v>
      </c>
      <c r="Q15" s="136">
        <v>18.8075</v>
      </c>
      <c r="R15" s="49" t="s">
        <v>116</v>
      </c>
      <c r="S15" s="49">
        <v>10027</v>
      </c>
      <c r="T15" s="136">
        <v>0</v>
      </c>
      <c r="U15" s="136">
        <v>0</v>
      </c>
      <c r="V15" s="137">
        <v>1</v>
      </c>
      <c r="W15" s="138">
        <v>0</v>
      </c>
      <c r="X15" s="137">
        <f t="shared" si="11"/>
        <v>0.520376862401402</v>
      </c>
      <c r="Y15" s="49">
        <f t="shared" si="12"/>
        <v>0.8</v>
      </c>
      <c r="Z15" s="139">
        <v>0</v>
      </c>
      <c r="AA15" s="139">
        <v>0</v>
      </c>
      <c r="AB15" s="139">
        <v>0.5</v>
      </c>
      <c r="AC15" s="140">
        <f t="shared" si="13"/>
        <v>0</v>
      </c>
      <c r="AE15" s="55" t="s">
        <v>105</v>
      </c>
      <c r="AF15" s="55">
        <v>0.8</v>
      </c>
    </row>
    <row r="16" s="1" customFormat="1" ht="15" spans="1:33">
      <c r="B16" s="152" t="s">
        <v>0</v>
      </c>
      <c r="C16" s="153" t="s">
        <v>149</v>
      </c>
      <c r="D16" s="153" t="s">
        <v>150</v>
      </c>
      <c r="E16" s="153" t="s">
        <v>151</v>
      </c>
      <c r="F16" s="153" t="s">
        <v>152</v>
      </c>
      <c r="G16" s="2"/>
      <c r="O16" s="31">
        <v>0</v>
      </c>
      <c r="P16" s="49" t="s">
        <v>120</v>
      </c>
      <c r="Q16" s="136">
        <v>2.9822</v>
      </c>
      <c r="R16" s="49" t="s">
        <v>116</v>
      </c>
      <c r="S16" s="49">
        <v>10027</v>
      </c>
      <c r="T16" s="136">
        <v>0</v>
      </c>
      <c r="U16" s="136">
        <v>0</v>
      </c>
      <c r="V16" s="137">
        <v>1</v>
      </c>
      <c r="W16" s="138">
        <v>0</v>
      </c>
      <c r="X16" s="137">
        <f t="shared" si="11"/>
        <v>0.520376862401402</v>
      </c>
      <c r="Y16" s="49">
        <f t="shared" si="12"/>
        <v>0.8</v>
      </c>
      <c r="Z16" s="139">
        <v>0</v>
      </c>
      <c r="AA16" s="139">
        <v>0</v>
      </c>
      <c r="AB16" s="139">
        <v>0.5</v>
      </c>
      <c r="AC16" s="140">
        <f t="shared" si="13"/>
        <v>0</v>
      </c>
    </row>
    <row r="17" s="1" customFormat="1" ht="15" spans="1:30">
      <c r="B17" s="4" t="s">
        <v>164</v>
      </c>
      <c r="C17" s="154">
        <f>SUM(AC3:AC11)</f>
        <v>1002482.77811444</v>
      </c>
      <c r="D17" s="154">
        <f t="shared" ref="D17:D21" si="14">C17/$E$17</f>
        <v>40099.3111245776</v>
      </c>
      <c r="E17" s="155">
        <v>25</v>
      </c>
      <c r="F17" s="156">
        <f t="shared" ref="F17:F21" si="15">C17/$C$23</f>
        <v>0.361694867427305</v>
      </c>
      <c r="G17" s="2"/>
      <c r="O17" s="42">
        <v>1</v>
      </c>
      <c r="P17" s="147" t="s">
        <v>123</v>
      </c>
      <c r="Q17" s="146">
        <v>16</v>
      </c>
      <c r="R17" s="147" t="s">
        <v>124</v>
      </c>
      <c r="S17" s="147">
        <v>10027</v>
      </c>
      <c r="T17" s="146">
        <v>0</v>
      </c>
      <c r="U17" s="146">
        <v>0</v>
      </c>
      <c r="V17" s="148">
        <v>1</v>
      </c>
      <c r="W17" s="149">
        <v>0</v>
      </c>
      <c r="X17" s="148">
        <f t="shared" si="11"/>
        <v>0.520376862401402</v>
      </c>
      <c r="Y17" s="147">
        <f t="shared" si="12"/>
        <v>0.8</v>
      </c>
      <c r="Z17" s="150">
        <v>0</v>
      </c>
      <c r="AA17" s="150">
        <v>0</v>
      </c>
      <c r="AB17" s="150">
        <v>0.1</v>
      </c>
      <c r="AC17" s="151">
        <f t="shared" si="13"/>
        <v>73466.888694128</v>
      </c>
    </row>
    <row r="18" s="1" customFormat="1" ht="15" spans="1:30">
      <c r="B18" s="4" t="s">
        <v>165</v>
      </c>
      <c r="C18" s="154">
        <v>411319</v>
      </c>
      <c r="D18" s="154">
        <f t="shared" si="14"/>
        <v>16452.76</v>
      </c>
      <c r="E18" s="161"/>
      <c r="F18" s="156">
        <f t="shared" si="15"/>
        <v>0.148403518168317</v>
      </c>
      <c r="G18" s="2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="1" customFormat="1" ht="15" spans="1:30">
      <c r="A19" s="1" t="s">
        <v>166</v>
      </c>
      <c r="B19" s="4" t="s">
        <v>167</v>
      </c>
      <c r="C19" s="154">
        <f>514965</f>
        <v>514965</v>
      </c>
      <c r="D19" s="154">
        <f t="shared" si="14"/>
        <v>20598.6</v>
      </c>
      <c r="E19" s="164"/>
      <c r="F19" s="156">
        <f t="shared" si="15"/>
        <v>0.185798899962189</v>
      </c>
      <c r="G19" s="2"/>
      <c r="Q19" s="2"/>
      <c r="U19" s="2"/>
      <c r="V19" s="3"/>
      <c r="AB19" s="4"/>
      <c r="AC19" s="4"/>
    </row>
    <row r="20" s="1" customFormat="1" ht="15" spans="1:30">
      <c r="B20" s="4" t="s">
        <v>168</v>
      </c>
      <c r="C20" s="154">
        <f>21372*(6+6*2)*2</f>
        <v>769392</v>
      </c>
      <c r="D20" s="154">
        <f t="shared" si="14"/>
        <v>30775.68</v>
      </c>
      <c r="E20" s="164"/>
      <c r="F20" s="156">
        <f t="shared" si="15"/>
        <v>0.277595928344078</v>
      </c>
      <c r="G20" s="2"/>
      <c r="Q20" s="2"/>
      <c r="U20" s="2"/>
      <c r="V20" s="3"/>
      <c r="AB20" s="4"/>
      <c r="AC20" s="4"/>
    </row>
    <row r="21" s="1" customFormat="1" ht="15" spans="1:30">
      <c r="B21" s="4" t="s">
        <v>123</v>
      </c>
      <c r="C21" s="154">
        <f>AC17</f>
        <v>73466.888694128</v>
      </c>
      <c r="D21" s="154">
        <f t="shared" si="14"/>
        <v>2938.67554776512</v>
      </c>
      <c r="E21" s="164"/>
      <c r="F21" s="156">
        <f t="shared" si="15"/>
        <v>0.0265067860981106</v>
      </c>
      <c r="G21" s="2"/>
      <c r="Q21" s="2"/>
      <c r="U21" s="2"/>
      <c r="V21" s="3"/>
      <c r="AB21" s="4"/>
      <c r="AC21" s="4"/>
    </row>
    <row r="22" s="1" customFormat="1" ht="15" spans="1:30">
      <c r="B22" s="4"/>
      <c r="C22" s="154"/>
      <c r="D22" s="154"/>
      <c r="E22" s="164"/>
      <c r="F22" s="156"/>
      <c r="G22" s="2"/>
      <c r="Q22" s="2"/>
      <c r="U22" s="2"/>
      <c r="V22" s="3"/>
      <c r="AB22" s="4"/>
      <c r="AC22" s="4"/>
    </row>
    <row r="23" s="1" customFormat="1" ht="15" spans="1:30">
      <c r="B23" s="4" t="s">
        <v>153</v>
      </c>
      <c r="C23" s="167">
        <f>SUM(C17:C21)</f>
        <v>2771625.66680857</v>
      </c>
      <c r="D23" s="167">
        <f>C23/E17</f>
        <v>110865.026672343</v>
      </c>
      <c r="E23" s="168"/>
      <c r="F23" s="169"/>
      <c r="G23" s="170"/>
      <c r="Q23" s="2"/>
      <c r="U23" s="2"/>
      <c r="V23" s="3"/>
      <c r="AB23" s="4"/>
      <c r="AC23" s="4"/>
    </row>
    <row r="24" s="1" customFormat="1" spans="1:30">
      <c r="B24" s="4"/>
      <c r="C24" s="4"/>
      <c r="D24" s="4"/>
      <c r="G24" s="2"/>
      <c r="Q24" s="2"/>
      <c r="U24" s="2"/>
      <c r="V24" s="3"/>
      <c r="AB24" s="4"/>
      <c r="AC24" s="4"/>
      <c r="AD24"/>
    </row>
    <row r="25" s="1" customFormat="1" ht="15" spans="1:30">
      <c r="B25" s="195" t="s">
        <v>154</v>
      </c>
      <c r="C25" s="196" t="s">
        <v>155</v>
      </c>
      <c r="D25" s="196" t="s">
        <v>156</v>
      </c>
      <c r="E25" s="196"/>
      <c r="F25" s="197"/>
      <c r="G25" s="2"/>
      <c r="Q25" s="2"/>
      <c r="U25" s="2"/>
      <c r="V25" s="3"/>
      <c r="AB25" s="4"/>
      <c r="AC25" s="4"/>
      <c r="AD25"/>
    </row>
    <row r="26" s="1" customFormat="1" ht="15" spans="1:30">
      <c r="B26" s="198"/>
      <c r="C26" s="199"/>
      <c r="D26" s="199"/>
      <c r="E26" s="199"/>
      <c r="F26" s="200"/>
      <c r="Q26" s="2"/>
      <c r="U26" s="2"/>
      <c r="V26" s="3"/>
      <c r="AB26" s="4"/>
      <c r="AC26" s="4"/>
    </row>
    <row r="27" s="1" customFormat="1" spans="1:30">
      <c r="B27" s="201"/>
      <c r="C27" s="201"/>
      <c r="D27" s="201"/>
      <c r="E27" s="201"/>
      <c r="F27" s="201"/>
      <c r="G27" s="2"/>
      <c r="Q27" s="2"/>
      <c r="U27" s="2"/>
      <c r="V27" s="3"/>
      <c r="AB27" s="4"/>
      <c r="AC27" s="4"/>
    </row>
    <row r="28" s="1" customFormat="1" ht="15" spans="1:30">
      <c r="B28" s="202" t="s">
        <v>157</v>
      </c>
      <c r="C28" s="203" t="s">
        <v>36</v>
      </c>
      <c r="D28" s="203" t="s">
        <v>158</v>
      </c>
      <c r="E28" s="128"/>
      <c r="F28" s="204"/>
      <c r="G28" s="2"/>
      <c r="Q28" s="2"/>
      <c r="U28" s="2"/>
      <c r="V28" s="3"/>
      <c r="AB28" s="4"/>
      <c r="AC28" s="4"/>
    </row>
    <row r="29" s="1" customFormat="1" ht="15" spans="1:30">
      <c r="B29" s="205"/>
      <c r="C29" s="164" t="s">
        <v>100</v>
      </c>
      <c r="D29" s="164" t="s">
        <v>159</v>
      </c>
      <c r="F29" s="206"/>
      <c r="G29" s="2"/>
      <c r="Q29" s="2"/>
      <c r="U29" s="2"/>
      <c r="V29" s="3"/>
      <c r="AB29" s="4"/>
      <c r="AC29" s="4"/>
    </row>
    <row r="30" s="1" customFormat="1" ht="15" spans="1:30">
      <c r="B30" s="207"/>
      <c r="C30" s="208" t="s">
        <v>160</v>
      </c>
      <c r="D30" s="208" t="s">
        <v>161</v>
      </c>
      <c r="E30" s="147"/>
      <c r="F30" s="43"/>
      <c r="G30" s="2"/>
      <c r="Q30" s="2"/>
      <c r="U30" s="2"/>
      <c r="V30" s="3"/>
      <c r="AB30" s="4"/>
      <c r="AC30" s="4"/>
      <c r="AD30"/>
    </row>
    <row r="31" s="1" customFormat="1" spans="1:30">
      <c r="B31" s="4"/>
      <c r="C31" s="4"/>
      <c r="D31" s="4"/>
      <c r="F31" s="4"/>
      <c r="G31" s="2"/>
      <c r="Q31" s="2"/>
      <c r="U31" s="2"/>
      <c r="V31" s="3"/>
      <c r="AB31" s="4"/>
      <c r="AC31" s="4"/>
    </row>
    <row r="32" s="1" customFormat="1" spans="1:30">
      <c r="B32" s="4"/>
      <c r="C32" s="4"/>
      <c r="D32" s="4"/>
      <c r="F32" s="4"/>
      <c r="G32" s="2"/>
      <c r="Q32" s="2"/>
      <c r="U32" s="2"/>
      <c r="V32" s="3"/>
      <c r="AB32" s="4"/>
      <c r="AC32" s="4"/>
    </row>
    <row r="33" s="1" customFormat="1" spans="2:29">
      <c r="G33" s="2"/>
      <c r="N33" s="124"/>
      <c r="Q33" s="2"/>
      <c r="U33" s="2"/>
      <c r="V33" s="3"/>
      <c r="AB33" s="4"/>
      <c r="AC33" s="4"/>
    </row>
    <row r="34" s="1" customFormat="1" spans="2:29">
      <c r="B34" s="4"/>
      <c r="C34" s="4"/>
      <c r="D34" s="4"/>
      <c r="F34" s="4"/>
      <c r="G34" s="2"/>
      <c r="N34" s="49"/>
      <c r="Q34" s="2"/>
      <c r="U34" s="2"/>
      <c r="V34" s="3"/>
      <c r="AB34" s="4"/>
      <c r="AC34" s="4"/>
    </row>
    <row r="35" s="1" customFormat="1" spans="2:29">
      <c r="B35" s="4"/>
      <c r="C35" s="4"/>
      <c r="D35" s="4"/>
      <c r="F35" s="4"/>
      <c r="G35" s="2"/>
      <c r="N35" s="49"/>
      <c r="Q35" s="2"/>
      <c r="U35" s="2"/>
      <c r="V35" s="3"/>
      <c r="AB35" s="4"/>
      <c r="AC35" s="4"/>
    </row>
    <row r="36" s="1" customFormat="1" spans="2:29">
      <c r="G36" s="2"/>
      <c r="N36" s="49"/>
      <c r="Q36" s="2"/>
      <c r="U36" s="2"/>
      <c r="V36" s="3"/>
      <c r="AB36" s="4"/>
      <c r="AC36" s="4"/>
    </row>
    <row r="37" s="1" customFormat="1" spans="2:29">
      <c r="B37" s="4"/>
      <c r="C37" s="4"/>
      <c r="D37" s="4"/>
      <c r="F37" s="4"/>
      <c r="G37" s="2"/>
      <c r="N37" s="49"/>
      <c r="Q37" s="2"/>
      <c r="U37" s="2"/>
      <c r="V37" s="3"/>
      <c r="AB37" s="4"/>
      <c r="AC37" s="4"/>
    </row>
    <row r="38" s="1" customFormat="1" spans="2:29">
      <c r="B38" s="4"/>
      <c r="C38" s="4"/>
      <c r="D38" s="4"/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8" s="1" customFormat="1" spans="7:29">
      <c r="G58" s="2"/>
      <c r="Q58" s="2"/>
      <c r="U58" s="2"/>
      <c r="V58" s="3"/>
      <c r="AB58" s="4"/>
      <c r="AC58" s="4"/>
    </row>
    <row r="59" s="1" customFormat="1" spans="7:29">
      <c r="G59" s="2"/>
      <c r="Q59" s="2"/>
      <c r="U59" s="2"/>
      <c r="V59" s="3"/>
      <c r="AB59" s="4"/>
      <c r="AC59" s="4"/>
    </row>
    <row r="61" s="1" customFormat="1" spans="7:29">
      <c r="G61" s="2"/>
      <c r="Q61" s="2"/>
      <c r="U61" s="2"/>
      <c r="V61" s="3"/>
      <c r="AB61" s="4"/>
      <c r="AC61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workbookViewId="0">
      <selection activeCell="M42" sqref="M42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6" width="8.54545454545454" style="1" customWidth="1"/>
    <col min="7" max="7" width="8.54545454545454" style="2" customWidth="1"/>
    <col min="8" max="9" width="8.54545454545454" style="1" customWidth="1"/>
    <col min="10" max="10" width="6.54545454545455" style="1" customWidth="1"/>
    <col min="11" max="11" width="7.54545454545455" style="1" customWidth="1"/>
    <col min="12" max="12" width="9.54545454545454" style="1" customWidth="1"/>
    <col min="13" max="16" width="8.54545454545454" style="1" customWidth="1"/>
    <col min="17" max="17" width="8.54545454545454" style="2" customWidth="1"/>
    <col min="18" max="19" width="8.54545454545454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1:33">
      <c r="B1" s="5" t="s">
        <v>33</v>
      </c>
      <c r="C1" s="5" t="s">
        <v>34</v>
      </c>
      <c r="D1" s="6" t="s">
        <v>35</v>
      </c>
      <c r="E1" s="6">
        <v>0</v>
      </c>
      <c r="Q1" s="2"/>
      <c r="U1" s="2"/>
      <c r="V1" s="3"/>
      <c r="AB1" s="4"/>
      <c r="AC1" s="4"/>
    </row>
    <row r="2" s="1" customFormat="1" ht="15" spans="1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1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2882.024</v>
      </c>
      <c r="T3" s="176">
        <f t="shared" ref="T3:T11" si="1">S3/$C$4-1</f>
        <v>1.84784980237154</v>
      </c>
      <c r="U3" s="176">
        <f t="shared" ref="U3:U10" si="2">IF(R3=$C$1,SUM($E$4:$E$9),SUM($E$4:$E$8))</f>
        <v>1.63</v>
      </c>
      <c r="V3" s="177">
        <f t="shared" ref="V3:V11" si="3">1+$G$10*($I$10-1)</f>
        <v>3.2983</v>
      </c>
      <c r="W3" s="178">
        <f t="shared" ref="W3:W9" si="4">IF(R3=$C$1,$K$4+$K$5,$K$4)</f>
        <v>0</v>
      </c>
      <c r="X3" s="177">
        <f t="shared" ref="X3:X6" si="5">$AF$3</f>
        <v>0.520376862401402</v>
      </c>
      <c r="Y3" s="174">
        <f t="shared" ref="Y3:Y6" si="6">$AF$14</f>
        <v>0.8</v>
      </c>
      <c r="Z3" s="179">
        <v>0</v>
      </c>
      <c r="AA3" s="179">
        <v>0</v>
      </c>
      <c r="AB3" s="180">
        <v>0</v>
      </c>
      <c r="AC3" s="29">
        <f t="shared" ref="AC3:AC11" si="7">Q3*$C$4*(1+T3)*(1+U3)*V3*(1+W3)*X3*Y3*(1+Z3)*(1+AA3)*(1+AB3)*O3</f>
        <v>28475.2505840474</v>
      </c>
      <c r="AD3" s="16">
        <v>18</v>
      </c>
      <c r="AE3" s="16">
        <v>12</v>
      </c>
      <c r="AF3" s="17">
        <f t="shared" ref="AF3:AF8" si="8">1520/(1520+(792+8*AG3)*(1-AE3/100))</f>
        <v>0.520376862401402</v>
      </c>
      <c r="AG3" s="30">
        <v>100</v>
      </c>
    </row>
    <row r="4" s="1" customFormat="1" ht="15" spans="1:33">
      <c r="B4" s="31" t="s">
        <v>60</v>
      </c>
      <c r="C4" s="32">
        <f>425+587</f>
        <v>1012</v>
      </c>
      <c r="D4" s="31" t="s">
        <v>61</v>
      </c>
      <c r="E4" s="33">
        <f>E1*30%</f>
        <v>0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/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 t="shared" si="2"/>
        <v>1.63</v>
      </c>
      <c r="V4" s="177">
        <f t="shared" si="3"/>
        <v>3.2983</v>
      </c>
      <c r="W4" s="27">
        <f t="shared" si="4"/>
        <v>0</v>
      </c>
      <c r="X4" s="177">
        <f t="shared" si="5"/>
        <v>0.520376862401402</v>
      </c>
      <c r="Y4" s="23">
        <f t="shared" si="6"/>
        <v>0.8</v>
      </c>
      <c r="Z4" s="28">
        <v>0</v>
      </c>
      <c r="AA4" s="28">
        <v>0</v>
      </c>
      <c r="AB4" s="182">
        <v>0</v>
      </c>
      <c r="AC4" s="29">
        <f t="shared" si="7"/>
        <v>14006.5761096532</v>
      </c>
      <c r="AD4" s="16">
        <f>64+18</f>
        <v>82</v>
      </c>
      <c r="AE4" s="16">
        <v>12</v>
      </c>
      <c r="AF4" s="17">
        <f>1520/(1520+(792+8*AG4)*(1-AE4/100)*(1-AD4/100))</f>
        <v>0.85770416970625</v>
      </c>
      <c r="AG4" s="30">
        <v>100</v>
      </c>
    </row>
    <row r="5" s="1" customFormat="1" ht="15" spans="1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/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 t="shared" si="2"/>
        <v>2.052</v>
      </c>
      <c r="V5" s="177">
        <f t="shared" si="3"/>
        <v>3.2983</v>
      </c>
      <c r="W5" s="27">
        <f t="shared" si="4"/>
        <v>0</v>
      </c>
      <c r="X5" s="26">
        <f t="shared" ref="X5:X11" si="9">$AF$4</f>
        <v>0.85770416970625</v>
      </c>
      <c r="Y5" s="23">
        <f t="shared" ref="Y5:Y11" si="10">$AF$12</f>
        <v>1</v>
      </c>
      <c r="Z5" s="28">
        <v>0.4</v>
      </c>
      <c r="AA5" s="28">
        <v>0.4</v>
      </c>
      <c r="AB5" s="182">
        <v>0</v>
      </c>
      <c r="AC5" s="29">
        <f t="shared" si="7"/>
        <v>489675.340383784</v>
      </c>
      <c r="AD5" s="16">
        <v>0</v>
      </c>
      <c r="AE5" s="16">
        <v>12</v>
      </c>
      <c r="AF5" s="17">
        <f t="shared" si="8"/>
        <v>0.520376862401402</v>
      </c>
      <c r="AG5" s="30">
        <v>100</v>
      </c>
    </row>
    <row r="6" s="1" customFormat="1" ht="15" spans="1:33">
      <c r="B6" s="31" t="s">
        <v>73</v>
      </c>
      <c r="C6" s="34">
        <f>18%+18%+M4+(2-E1)*30%+25%</f>
        <v>1.382</v>
      </c>
      <c r="D6" s="31" t="s">
        <v>74</v>
      </c>
      <c r="E6" s="33">
        <v>0.24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si="2"/>
        <v>1.63</v>
      </c>
      <c r="V6" s="177">
        <f t="shared" si="3"/>
        <v>3.2983</v>
      </c>
      <c r="W6" s="27">
        <f t="shared" si="4"/>
        <v>0</v>
      </c>
      <c r="X6" s="177">
        <f t="shared" si="5"/>
        <v>0.520376862401402</v>
      </c>
      <c r="Y6" s="23">
        <f t="shared" si="6"/>
        <v>0.8</v>
      </c>
      <c r="Z6" s="28">
        <v>0</v>
      </c>
      <c r="AA6" s="28">
        <v>0</v>
      </c>
      <c r="AB6" s="182">
        <v>0</v>
      </c>
      <c r="AC6" s="29">
        <f t="shared" si="7"/>
        <v>35797.0118361956</v>
      </c>
      <c r="AD6" s="16">
        <v>0</v>
      </c>
      <c r="AE6" s="16">
        <v>21.6</v>
      </c>
      <c r="AF6" s="17">
        <f t="shared" si="8"/>
        <v>0.549107555719967</v>
      </c>
      <c r="AG6" s="30">
        <v>100</v>
      </c>
    </row>
    <row r="7" s="1" customFormat="1" ht="15" spans="1:33">
      <c r="B7" s="31" t="s">
        <v>78</v>
      </c>
      <c r="C7" s="34"/>
      <c r="D7" s="31" t="s">
        <v>79</v>
      </c>
      <c r="E7" s="33">
        <f>65%+24%</f>
        <v>0.89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2"/>
        <v>2.052</v>
      </c>
      <c r="V7" s="177">
        <f t="shared" si="3"/>
        <v>3.2983</v>
      </c>
      <c r="W7" s="27">
        <f t="shared" si="4"/>
        <v>0</v>
      </c>
      <c r="X7" s="26">
        <f t="shared" si="9"/>
        <v>0.85770416970625</v>
      </c>
      <c r="Y7" s="23">
        <f t="shared" si="10"/>
        <v>1</v>
      </c>
      <c r="Z7" s="28">
        <v>1</v>
      </c>
      <c r="AA7" s="28">
        <v>0.4</v>
      </c>
      <c r="AB7" s="182">
        <v>0</v>
      </c>
      <c r="AC7" s="29">
        <f t="shared" si="7"/>
        <v>249361.572654154</v>
      </c>
      <c r="AD7" s="16">
        <v>0</v>
      </c>
      <c r="AE7" s="16">
        <v>28.8</v>
      </c>
      <c r="AF7" s="17">
        <f t="shared" si="8"/>
        <v>0.572827476423627</v>
      </c>
      <c r="AG7" s="30">
        <v>100</v>
      </c>
    </row>
    <row r="8" s="1" customFormat="1" ht="15" spans="1:33">
      <c r="B8" s="31" t="s">
        <v>82</v>
      </c>
      <c r="C8" s="39"/>
      <c r="D8" s="31" t="s">
        <v>83</v>
      </c>
      <c r="E8" s="184">
        <v>0.2</v>
      </c>
      <c r="F8" s="31" t="s">
        <v>84</v>
      </c>
      <c r="G8" s="34">
        <v>0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2"/>
        <v>1.63</v>
      </c>
      <c r="V8" s="177">
        <f t="shared" si="3"/>
        <v>3.2983</v>
      </c>
      <c r="W8" s="27">
        <f t="shared" si="4"/>
        <v>0</v>
      </c>
      <c r="X8" s="177">
        <f>$AF$3</f>
        <v>0.520376862401402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7"/>
        <v>35797.0118361956</v>
      </c>
      <c r="AD8" s="16">
        <v>0</v>
      </c>
      <c r="AE8" s="16">
        <v>36</v>
      </c>
      <c r="AF8" s="17">
        <f t="shared" si="8"/>
        <v>0.598689185782707</v>
      </c>
      <c r="AG8" s="30">
        <v>100</v>
      </c>
    </row>
    <row r="9" s="1" customFormat="1" ht="15" spans="1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2"/>
        <v>2.052</v>
      </c>
      <c r="V9" s="177">
        <f t="shared" si="3"/>
        <v>3.2983</v>
      </c>
      <c r="W9" s="27">
        <f t="shared" si="4"/>
        <v>0</v>
      </c>
      <c r="X9" s="26">
        <f t="shared" si="9"/>
        <v>0.85770416970625</v>
      </c>
      <c r="Y9" s="23">
        <f t="shared" si="10"/>
        <v>1</v>
      </c>
      <c r="Z9" s="28">
        <v>1</v>
      </c>
      <c r="AA9" s="28">
        <v>0.4</v>
      </c>
      <c r="AB9" s="182">
        <v>0</v>
      </c>
      <c r="AC9" s="29">
        <f t="shared" si="7"/>
        <v>249361.572654154</v>
      </c>
    </row>
    <row r="10" s="1" customFormat="1" ht="15" spans="1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2"/>
        <v>2.052</v>
      </c>
      <c r="V10" s="177">
        <f>1+$G$10*($I$10-1+3)</f>
        <v>6.2323</v>
      </c>
      <c r="W10" s="27">
        <f>IF(R10=$C$1,$K$4+$K$5,$K$4)+2</f>
        <v>2</v>
      </c>
      <c r="X10" s="26">
        <f t="shared" si="9"/>
        <v>0.85770416970625</v>
      </c>
      <c r="Y10" s="23">
        <f t="shared" si="10"/>
        <v>1</v>
      </c>
      <c r="Z10" s="28">
        <v>0</v>
      </c>
      <c r="AA10" s="28">
        <v>0.4</v>
      </c>
      <c r="AB10" s="182">
        <v>0</v>
      </c>
      <c r="AC10" s="29">
        <f t="shared" si="7"/>
        <v>458147.445646929</v>
      </c>
    </row>
    <row r="11" s="1" customFormat="1" ht="15" spans="1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2.052</v>
      </c>
      <c r="V11" s="190">
        <f t="shared" si="3"/>
        <v>3.2983</v>
      </c>
      <c r="W11" s="191">
        <f>IF(R11=$C$1,$K$4+$K$5,$K$4)+$K$6+0.25</f>
        <v>0.25</v>
      </c>
      <c r="X11" s="192">
        <f t="shared" si="9"/>
        <v>0.85770416970625</v>
      </c>
      <c r="Y11" s="186">
        <f t="shared" si="10"/>
        <v>1</v>
      </c>
      <c r="Z11" s="193">
        <v>1</v>
      </c>
      <c r="AA11" s="193">
        <v>0.4</v>
      </c>
      <c r="AB11" s="194">
        <v>0</v>
      </c>
      <c r="AC11" s="29">
        <f t="shared" si="7"/>
        <v>1558326.93606577</v>
      </c>
      <c r="AE11"/>
      <c r="AF11"/>
    </row>
    <row r="12" s="1" customFormat="1" spans="1:33">
      <c r="B12" s="49"/>
      <c r="C12" s="49"/>
      <c r="E12" s="50"/>
      <c r="G12" s="53"/>
      <c r="J12" s="2"/>
      <c r="K12" s="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E12" s="48" t="s">
        <v>34</v>
      </c>
      <c r="AF12" s="48">
        <v>1</v>
      </c>
    </row>
    <row r="13" s="1" customFormat="1" ht="15" spans="1:33">
      <c r="A13"/>
      <c r="B13"/>
      <c r="C13"/>
      <c r="D13" s="133"/>
      <c r="E13" s="133"/>
      <c r="F13" s="133" t="s">
        <v>147</v>
      </c>
      <c r="G13" s="134"/>
      <c r="H13" s="133"/>
      <c r="I13" s="133"/>
      <c r="J13" s="133"/>
      <c r="K13" s="133"/>
      <c r="L13" s="133"/>
      <c r="M13" s="133"/>
      <c r="O13" s="125">
        <v>0</v>
      </c>
      <c r="P13" s="127" t="s">
        <v>115</v>
      </c>
      <c r="Q13" s="127">
        <v>1.0935</v>
      </c>
      <c r="R13" s="128" t="s">
        <v>116</v>
      </c>
      <c r="S13" s="128">
        <v>10027</v>
      </c>
      <c r="T13" s="127">
        <v>0</v>
      </c>
      <c r="U13" s="127">
        <v>0</v>
      </c>
      <c r="V13" s="129">
        <v>1</v>
      </c>
      <c r="W13" s="130">
        <v>0</v>
      </c>
      <c r="X13" s="129">
        <f t="shared" ref="X13:X17" si="11">$AF$3</f>
        <v>0.520376862401402</v>
      </c>
      <c r="Y13" s="128">
        <f t="shared" ref="Y13:Y17" si="12">$AF$13</f>
        <v>0.8</v>
      </c>
      <c r="Z13" s="131">
        <v>1.2</v>
      </c>
      <c r="AA13" s="131">
        <v>0</v>
      </c>
      <c r="AB13" s="131">
        <v>0.5</v>
      </c>
      <c r="AC13" s="132">
        <f t="shared" ref="AC13:AC17" si="13">Q13*$S$17*(1+T13)*(1+U13)*V13*(1+W13)*X13*Y13*(1+Z13)*(1+AA13)*(1+AB13)*O13</f>
        <v>0</v>
      </c>
      <c r="AE13" s="52" t="s">
        <v>99</v>
      </c>
      <c r="AF13" s="52">
        <v>0.8</v>
      </c>
    </row>
    <row r="14" s="1" customFormat="1" ht="15" spans="1:33">
      <c r="A14" s="141"/>
      <c r="B14" s="142"/>
      <c r="C14" s="142"/>
      <c r="D14" s="142"/>
      <c r="E14" s="142"/>
      <c r="F14" s="142"/>
      <c r="G14" s="143"/>
      <c r="O14" s="31">
        <v>0</v>
      </c>
      <c r="P14" s="49" t="s">
        <v>117</v>
      </c>
      <c r="Q14" s="136">
        <v>5.9643</v>
      </c>
      <c r="R14" s="49" t="s">
        <v>116</v>
      </c>
      <c r="S14" s="49">
        <v>10027</v>
      </c>
      <c r="T14" s="136">
        <v>0</v>
      </c>
      <c r="U14" s="136">
        <v>0</v>
      </c>
      <c r="V14" s="137">
        <v>1</v>
      </c>
      <c r="W14" s="138">
        <v>0</v>
      </c>
      <c r="X14" s="137">
        <f t="shared" si="11"/>
        <v>0.520376862401402</v>
      </c>
      <c r="Y14" s="49">
        <f t="shared" si="12"/>
        <v>0.8</v>
      </c>
      <c r="Z14" s="139">
        <v>0</v>
      </c>
      <c r="AA14" s="139">
        <v>0</v>
      </c>
      <c r="AB14" s="139">
        <v>0.5</v>
      </c>
      <c r="AC14" s="140">
        <f t="shared" si="13"/>
        <v>0</v>
      </c>
      <c r="AE14" s="54" t="s">
        <v>103</v>
      </c>
      <c r="AF14" s="54">
        <v>0.8</v>
      </c>
    </row>
    <row r="15" s="1" customFormat="1" ht="15" spans="1:33">
      <c r="B15" s="144" t="s">
        <v>148</v>
      </c>
      <c r="G15" s="2"/>
      <c r="O15" s="31">
        <v>0</v>
      </c>
      <c r="P15" s="49" t="s">
        <v>118</v>
      </c>
      <c r="Q15" s="136">
        <v>18.8075</v>
      </c>
      <c r="R15" s="49" t="s">
        <v>116</v>
      </c>
      <c r="S15" s="49">
        <v>10027</v>
      </c>
      <c r="T15" s="136">
        <v>0</v>
      </c>
      <c r="U15" s="136">
        <v>0</v>
      </c>
      <c r="V15" s="137">
        <v>1</v>
      </c>
      <c r="W15" s="138">
        <v>0</v>
      </c>
      <c r="X15" s="137">
        <f t="shared" si="11"/>
        <v>0.520376862401402</v>
      </c>
      <c r="Y15" s="49">
        <f t="shared" si="12"/>
        <v>0.8</v>
      </c>
      <c r="Z15" s="139">
        <v>0</v>
      </c>
      <c r="AA15" s="139">
        <v>0</v>
      </c>
      <c r="AB15" s="139">
        <v>0.5</v>
      </c>
      <c r="AC15" s="140">
        <f t="shared" si="13"/>
        <v>0</v>
      </c>
      <c r="AE15" s="55" t="s">
        <v>105</v>
      </c>
      <c r="AF15" s="55">
        <v>0.8</v>
      </c>
    </row>
    <row r="16" s="1" customFormat="1" ht="15" spans="1:33">
      <c r="B16" s="152" t="s">
        <v>0</v>
      </c>
      <c r="C16" s="153" t="s">
        <v>149</v>
      </c>
      <c r="D16" s="153" t="s">
        <v>150</v>
      </c>
      <c r="E16" s="153" t="s">
        <v>151</v>
      </c>
      <c r="F16" s="153" t="s">
        <v>152</v>
      </c>
      <c r="G16" s="2"/>
      <c r="O16" s="31">
        <v>0</v>
      </c>
      <c r="P16" s="49" t="s">
        <v>120</v>
      </c>
      <c r="Q16" s="136">
        <v>2.9822</v>
      </c>
      <c r="R16" s="49" t="s">
        <v>116</v>
      </c>
      <c r="S16" s="49">
        <v>10027</v>
      </c>
      <c r="T16" s="136">
        <v>0</v>
      </c>
      <c r="U16" s="136">
        <v>0</v>
      </c>
      <c r="V16" s="137">
        <v>1</v>
      </c>
      <c r="W16" s="138">
        <v>0</v>
      </c>
      <c r="X16" s="137">
        <f t="shared" si="11"/>
        <v>0.520376862401402</v>
      </c>
      <c r="Y16" s="49">
        <f t="shared" si="12"/>
        <v>0.8</v>
      </c>
      <c r="Z16" s="139">
        <v>0</v>
      </c>
      <c r="AA16" s="139">
        <v>0</v>
      </c>
      <c r="AB16" s="139">
        <v>0.5</v>
      </c>
      <c r="AC16" s="140">
        <f t="shared" si="13"/>
        <v>0</v>
      </c>
    </row>
    <row r="17" s="1" customFormat="1" ht="15" spans="1:30">
      <c r="B17" s="4" t="s">
        <v>164</v>
      </c>
      <c r="C17" s="154">
        <f>SUM(AC3:AC11)</f>
        <v>3118948.71777088</v>
      </c>
      <c r="D17" s="154">
        <f t="shared" ref="D17:D21" si="14">C17/$E$17</f>
        <v>124757.948710835</v>
      </c>
      <c r="E17" s="155">
        <v>25</v>
      </c>
      <c r="F17" s="156">
        <f t="shared" ref="F17:F21" si="15">C17/$C$23</f>
        <v>0.422672177039851</v>
      </c>
      <c r="G17" s="2"/>
      <c r="O17" s="42">
        <v>1</v>
      </c>
      <c r="P17" s="147" t="s">
        <v>123</v>
      </c>
      <c r="Q17" s="146">
        <v>16</v>
      </c>
      <c r="R17" s="147" t="s">
        <v>124</v>
      </c>
      <c r="S17" s="147">
        <v>10027</v>
      </c>
      <c r="T17" s="146">
        <v>0</v>
      </c>
      <c r="U17" s="146">
        <v>0</v>
      </c>
      <c r="V17" s="148">
        <v>1</v>
      </c>
      <c r="W17" s="149">
        <v>0</v>
      </c>
      <c r="X17" s="148">
        <f t="shared" si="11"/>
        <v>0.520376862401402</v>
      </c>
      <c r="Y17" s="147">
        <f t="shared" si="12"/>
        <v>0.8</v>
      </c>
      <c r="Z17" s="150">
        <v>0</v>
      </c>
      <c r="AA17" s="150">
        <v>0</v>
      </c>
      <c r="AB17" s="150">
        <v>0.1</v>
      </c>
      <c r="AC17" s="151">
        <f t="shared" si="13"/>
        <v>73466.888694128</v>
      </c>
    </row>
    <row r="18" s="1" customFormat="1" ht="15" spans="1:30">
      <c r="B18" s="4" t="s">
        <v>165</v>
      </c>
      <c r="C18" s="154">
        <v>371808</v>
      </c>
      <c r="D18" s="154">
        <f t="shared" si="14"/>
        <v>14872.32</v>
      </c>
      <c r="E18" s="161"/>
      <c r="F18" s="156">
        <f t="shared" si="15"/>
        <v>0.050386495906592</v>
      </c>
      <c r="G18" s="2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="1" customFormat="1" ht="15" spans="1:30">
      <c r="A19" s="1" t="s">
        <v>166</v>
      </c>
      <c r="B19" s="4" t="s">
        <v>167</v>
      </c>
      <c r="C19" s="154">
        <v>326986</v>
      </c>
      <c r="D19" s="154">
        <f t="shared" si="14"/>
        <v>13079.44</v>
      </c>
      <c r="E19" s="164"/>
      <c r="F19" s="156">
        <f t="shared" si="15"/>
        <v>0.0443123298866966</v>
      </c>
      <c r="G19" s="2"/>
      <c r="Q19" s="2"/>
      <c r="U19" s="2"/>
      <c r="V19" s="3"/>
      <c r="AB19" s="4"/>
      <c r="AC19" s="4"/>
    </row>
    <row r="20" s="1" customFormat="1" ht="15" spans="1:30">
      <c r="B20" s="4" t="s">
        <v>168</v>
      </c>
      <c r="C20" s="154">
        <f>21372*(6+(1+4+9)*2)*2*2.4</f>
        <v>3487910.4</v>
      </c>
      <c r="D20" s="154">
        <f t="shared" si="14"/>
        <v>139516.416</v>
      </c>
      <c r="E20" s="164"/>
      <c r="F20" s="156">
        <f t="shared" si="15"/>
        <v>0.47267294703761</v>
      </c>
      <c r="G20" s="2"/>
      <c r="Q20" s="2"/>
      <c r="U20" s="2"/>
      <c r="V20" s="3"/>
      <c r="AB20" s="4"/>
      <c r="AC20" s="4"/>
    </row>
    <row r="21" s="1" customFormat="1" ht="15" spans="1:30">
      <c r="B21" s="4" t="s">
        <v>123</v>
      </c>
      <c r="C21" s="154">
        <f>AC17</f>
        <v>73466.888694128</v>
      </c>
      <c r="D21" s="154">
        <f t="shared" si="14"/>
        <v>2938.67554776512</v>
      </c>
      <c r="E21" s="164"/>
      <c r="F21" s="156">
        <f t="shared" si="15"/>
        <v>0.00995605012925146</v>
      </c>
      <c r="G21" s="2"/>
      <c r="I21" s="59" t="s">
        <v>175</v>
      </c>
      <c r="J21" s="59" t="s">
        <v>1</v>
      </c>
      <c r="K21" s="59" t="s">
        <v>24</v>
      </c>
      <c r="Q21" s="2"/>
      <c r="U21" s="2"/>
      <c r="V21" s="3"/>
      <c r="AB21" s="4"/>
      <c r="AC21" s="4"/>
    </row>
    <row r="22" s="1" customFormat="1" ht="15" spans="1:30">
      <c r="B22" s="4"/>
      <c r="C22" s="154"/>
      <c r="D22" s="154"/>
      <c r="E22" s="164"/>
      <c r="F22" s="156"/>
      <c r="G22" s="2"/>
      <c r="I22" s="229" t="s">
        <v>176</v>
      </c>
      <c r="J22" s="1">
        <v>93346</v>
      </c>
      <c r="K22" s="1"/>
      <c r="Q22" s="2"/>
      <c r="U22" s="2"/>
      <c r="V22" s="3"/>
      <c r="AB22" s="4"/>
      <c r="AC22" s="4"/>
    </row>
    <row r="23" s="1" customFormat="1" ht="15" spans="1:30">
      <c r="B23" s="4" t="s">
        <v>153</v>
      </c>
      <c r="C23" s="167">
        <f>SUM(C17:C21)</f>
        <v>7379120.00646501</v>
      </c>
      <c r="D23" s="167">
        <f>C23/E17</f>
        <v>295164.8002586</v>
      </c>
      <c r="E23" s="168"/>
      <c r="F23" s="169"/>
      <c r="G23" s="170"/>
      <c r="I23" s="1">
        <v>11</v>
      </c>
      <c r="J23" s="1">
        <v>97308</v>
      </c>
      <c r="K23" s="2">
        <f t="shared" ref="K23:K28" si="16">J23/J22-1</f>
        <v>0.0424442397103251</v>
      </c>
      <c r="M23" s="1">
        <v>0.0526504458484562</v>
      </c>
      <c r="N23" s="1">
        <v>1.07872743773885</v>
      </c>
      <c r="O23" s="1">
        <v>0.0902</v>
      </c>
      <c r="P23" s="1">
        <v>0.136025962830557</v>
      </c>
      <c r="Q23" s="2"/>
      <c r="U23" s="2"/>
      <c r="V23" s="3"/>
      <c r="AB23" s="4"/>
      <c r="AC23" s="4"/>
    </row>
    <row r="24" s="1" customFormat="1" spans="1:30">
      <c r="B24" s="4"/>
      <c r="C24" s="4"/>
      <c r="D24" s="4"/>
      <c r="G24" s="2"/>
      <c r="I24" s="1">
        <v>21</v>
      </c>
      <c r="J24" s="1">
        <v>113857</v>
      </c>
      <c r="K24" s="2">
        <f t="shared" si="16"/>
        <v>0.170068236938381</v>
      </c>
      <c r="M24" s="1">
        <v>0.174719053294739</v>
      </c>
      <c r="N24" s="1">
        <v>1.4435312</v>
      </c>
      <c r="O24" s="1">
        <v>0.2024</v>
      </c>
      <c r="P24" s="1">
        <v>0.211232870597688</v>
      </c>
      <c r="Q24" s="2"/>
      <c r="U24" s="2"/>
      <c r="V24" s="3"/>
      <c r="AB24" s="4"/>
      <c r="AC24" s="4"/>
      <c r="AD24"/>
    </row>
    <row r="25" s="1" customFormat="1" ht="15" spans="1:30">
      <c r="B25" s="195" t="s">
        <v>154</v>
      </c>
      <c r="C25" s="196" t="s">
        <v>155</v>
      </c>
      <c r="D25" s="196" t="s">
        <v>156</v>
      </c>
      <c r="E25" s="196"/>
      <c r="F25" s="197"/>
      <c r="G25" s="2"/>
      <c r="I25" s="1">
        <v>31</v>
      </c>
      <c r="J25" s="1">
        <v>130741</v>
      </c>
      <c r="K25" s="2">
        <f t="shared" si="16"/>
        <v>0.148291277655304</v>
      </c>
      <c r="M25" s="1">
        <v>0.229630569093907</v>
      </c>
      <c r="N25" s="1">
        <v>1.14092542976486</v>
      </c>
      <c r="O25" s="1">
        <v>0.1784</v>
      </c>
      <c r="P25" s="1">
        <v>0.144848490432187</v>
      </c>
      <c r="Q25" s="2"/>
      <c r="U25" s="2"/>
      <c r="V25" s="3"/>
      <c r="AB25" s="4"/>
      <c r="AC25" s="4"/>
      <c r="AD25"/>
    </row>
    <row r="26" s="1" customFormat="1" ht="15" spans="1:30">
      <c r="B26" s="198"/>
      <c r="C26" s="199"/>
      <c r="D26" s="199"/>
      <c r="E26" s="199"/>
      <c r="F26" s="200"/>
      <c r="I26" s="1">
        <v>41</v>
      </c>
      <c r="J26" s="1">
        <v>137233</v>
      </c>
      <c r="K26" s="2">
        <f t="shared" si="16"/>
        <v>0.0496554256124704</v>
      </c>
      <c r="M26" s="1">
        <v>0.0511588842883877</v>
      </c>
      <c r="N26" s="1">
        <v>1.053</v>
      </c>
      <c r="O26" s="1">
        <v>0.0537</v>
      </c>
      <c r="P26" s="1">
        <v>0.0672686157585123</v>
      </c>
      <c r="Q26" s="2"/>
      <c r="U26" s="2"/>
      <c r="V26" s="3"/>
      <c r="AB26" s="4"/>
      <c r="AC26" s="4"/>
    </row>
    <row r="27" s="1" customFormat="1" spans="1:30">
      <c r="B27" s="201"/>
      <c r="C27" s="201"/>
      <c r="D27" s="201"/>
      <c r="E27" s="201"/>
      <c r="F27" s="201"/>
      <c r="G27" s="2"/>
      <c r="I27" s="1">
        <v>61</v>
      </c>
      <c r="J27" s="1">
        <v>257702</v>
      </c>
      <c r="K27" s="2">
        <f t="shared" si="16"/>
        <v>0.877842792914241</v>
      </c>
      <c r="M27" s="1">
        <v>0</v>
      </c>
      <c r="N27" s="1">
        <v>1</v>
      </c>
      <c r="O27" s="1">
        <v>0.0741</v>
      </c>
      <c r="P27" s="1">
        <v>0</v>
      </c>
      <c r="Q27" s="2"/>
      <c r="U27" s="2"/>
      <c r="V27" s="3"/>
      <c r="AB27" s="4"/>
      <c r="AC27" s="4"/>
    </row>
    <row r="28" s="1" customFormat="1" ht="15" spans="1:30">
      <c r="B28" s="202" t="s">
        <v>157</v>
      </c>
      <c r="C28" s="203" t="s">
        <v>36</v>
      </c>
      <c r="D28" s="203" t="s">
        <v>158</v>
      </c>
      <c r="E28" s="128"/>
      <c r="F28" s="204"/>
      <c r="G28" s="2"/>
      <c r="I28" s="1">
        <v>65</v>
      </c>
      <c r="J28" s="1">
        <v>295165</v>
      </c>
      <c r="K28" s="2">
        <f t="shared" si="16"/>
        <v>0.145373338196832</v>
      </c>
      <c r="M28" s="1">
        <v>0.643813341930781</v>
      </c>
      <c r="N28" s="1">
        <v>1.3874</v>
      </c>
      <c r="O28" s="1">
        <v>0.6417</v>
      </c>
      <c r="P28" s="1">
        <v>0.430584669210237</v>
      </c>
      <c r="Q28" s="2"/>
      <c r="U28" s="2"/>
      <c r="V28" s="3"/>
      <c r="AB28" s="4"/>
      <c r="AC28" s="4"/>
    </row>
    <row r="29" s="1" customFormat="1" ht="15" spans="1:30">
      <c r="B29" s="205"/>
      <c r="C29" s="164" t="s">
        <v>100</v>
      </c>
      <c r="D29" s="164" t="s">
        <v>159</v>
      </c>
      <c r="F29" s="206"/>
      <c r="G29" s="2"/>
      <c r="Q29" s="2"/>
      <c r="U29" s="2"/>
      <c r="V29" s="3"/>
      <c r="AB29" s="4"/>
      <c r="AC29" s="4"/>
    </row>
    <row r="30" s="1" customFormat="1" ht="15" spans="1:30">
      <c r="B30" s="207"/>
      <c r="C30" s="208" t="s">
        <v>160</v>
      </c>
      <c r="D30" s="208" t="s">
        <v>161</v>
      </c>
      <c r="E30" s="147"/>
      <c r="F30" s="43"/>
      <c r="G30" s="2"/>
      <c r="Q30" s="2"/>
      <c r="U30" s="2"/>
      <c r="V30" s="3"/>
      <c r="AB30" s="4"/>
      <c r="AC30" s="4"/>
      <c r="AD30"/>
    </row>
    <row r="31" s="1" customFormat="1" spans="1:30">
      <c r="B31" s="4"/>
      <c r="C31" s="4"/>
      <c r="D31" s="4"/>
      <c r="F31" s="4"/>
      <c r="G31" s="2"/>
      <c r="Q31" s="2"/>
      <c r="U31" s="2"/>
      <c r="V31" s="3"/>
      <c r="AB31" s="4"/>
      <c r="AC31" s="4"/>
    </row>
    <row r="32" s="1" customFormat="1" spans="1:30">
      <c r="B32" s="4"/>
      <c r="C32" s="4"/>
      <c r="D32" s="4"/>
      <c r="F32" s="4"/>
      <c r="G32" s="2"/>
      <c r="Q32" s="2"/>
      <c r="U32" s="2"/>
      <c r="V32" s="3"/>
      <c r="AB32" s="4"/>
      <c r="AC32" s="4"/>
    </row>
    <row r="33" s="1" customFormat="1" spans="2:29">
      <c r="D33"/>
      <c r="E33"/>
      <c r="F33"/>
      <c r="G33"/>
      <c r="H33"/>
      <c r="I33"/>
      <c r="L33" s="209"/>
      <c r="M33" s="209" t="s">
        <v>177</v>
      </c>
      <c r="N33" s="209" t="s">
        <v>178</v>
      </c>
      <c r="O33" s="209" t="s">
        <v>179</v>
      </c>
      <c r="P33" s="209" t="s">
        <v>180</v>
      </c>
      <c r="Q33" s="210" t="s">
        <v>181</v>
      </c>
      <c r="R33" s="209" t="s">
        <v>182</v>
      </c>
      <c r="S33" s="209" t="s">
        <v>183</v>
      </c>
      <c r="U33" s="2"/>
      <c r="V33" s="3"/>
      <c r="AB33" s="4"/>
      <c r="AC33" s="4"/>
    </row>
    <row r="34" s="1" customFormat="1" spans="2:29">
      <c r="B34" s="4"/>
      <c r="C34" s="4"/>
      <c r="D34"/>
      <c r="E34"/>
      <c r="F34"/>
      <c r="G34"/>
      <c r="H34"/>
      <c r="I34"/>
      <c r="L34" s="209" t="s">
        <v>184</v>
      </c>
      <c r="M34" s="210">
        <v>1</v>
      </c>
      <c r="N34" s="211">
        <v>1.13602596283056</v>
      </c>
      <c r="O34" s="210">
        <v>1.37599198803276</v>
      </c>
      <c r="P34" s="210">
        <v>1.57530235034609</v>
      </c>
      <c r="Q34" s="210">
        <v>1.681270758855</v>
      </c>
      <c r="R34" s="210">
        <v>1.681270758855</v>
      </c>
      <c r="S34" s="210">
        <v>2.40520017240942</v>
      </c>
      <c r="U34" s="2"/>
      <c r="V34" s="3"/>
      <c r="AB34" s="4"/>
      <c r="AC34" s="4"/>
    </row>
    <row r="35" s="1" customFormat="1" spans="2:29">
      <c r="B35" s="4"/>
      <c r="C35" s="4"/>
      <c r="D35"/>
      <c r="E35"/>
      <c r="F35"/>
      <c r="G35"/>
      <c r="H35"/>
      <c r="I35"/>
      <c r="L35" s="209" t="s">
        <v>185</v>
      </c>
      <c r="M35" s="210">
        <v>1</v>
      </c>
      <c r="N35" s="210">
        <v>1.0902</v>
      </c>
      <c r="O35" s="210">
        <v>1.31085648</v>
      </c>
      <c r="P35" s="210">
        <v>1.544713276032</v>
      </c>
      <c r="Q35" s="210">
        <v>1.62766437895492</v>
      </c>
      <c r="R35" s="210">
        <v>1.74827430943548</v>
      </c>
      <c r="S35" s="210">
        <v>2.87014193380022</v>
      </c>
      <c r="U35" s="2"/>
      <c r="V35" s="3"/>
      <c r="AB35" s="4"/>
      <c r="AC35" s="4"/>
    </row>
    <row r="36" s="1" customFormat="1" spans="2:29">
      <c r="D36"/>
      <c r="E36"/>
      <c r="F36"/>
      <c r="G36"/>
      <c r="H36"/>
      <c r="I36"/>
      <c r="L36" s="209" t="s">
        <v>186</v>
      </c>
      <c r="M36" s="210">
        <v>1</v>
      </c>
      <c r="N36" s="210">
        <v>1.07872743773885</v>
      </c>
      <c r="O36" s="210">
        <v>1.55717671267209</v>
      </c>
      <c r="P36" s="210">
        <v>1.77662251012523</v>
      </c>
      <c r="Q36" s="210">
        <v>1.87078350316187</v>
      </c>
      <c r="R36" s="210">
        <v>1.87078350316187</v>
      </c>
      <c r="S36" s="210">
        <v>2.59552503228678</v>
      </c>
      <c r="U36" s="2"/>
      <c r="V36" s="3"/>
      <c r="AB36" s="4"/>
      <c r="AC36" s="4"/>
    </row>
    <row r="37" s="1" customFormat="1" spans="2:29">
      <c r="B37" s="4"/>
      <c r="C37" s="4"/>
      <c r="D37"/>
      <c r="E37"/>
      <c r="F37"/>
      <c r="G37"/>
      <c r="H37"/>
      <c r="I37"/>
      <c r="L37" s="209" t="s">
        <v>187</v>
      </c>
      <c r="M37" s="210">
        <v>1</v>
      </c>
      <c r="N37" s="210">
        <v>1.05265044584846</v>
      </c>
      <c r="O37" s="210">
        <v>1.23656853519738</v>
      </c>
      <c r="P37" s="210">
        <v>1.52052247165838</v>
      </c>
      <c r="Q37" s="210">
        <v>1.59831070484384</v>
      </c>
      <c r="R37" s="210">
        <v>1.59831070484384</v>
      </c>
      <c r="S37" s="210">
        <v>2.6273244611731</v>
      </c>
      <c r="U37" s="2"/>
      <c r="V37" s="3"/>
      <c r="AB37" s="4"/>
      <c r="AC37" s="4"/>
    </row>
    <row r="38" s="1" customFormat="1" spans="2:29">
      <c r="B38" s="4"/>
      <c r="C38" s="4"/>
      <c r="D38"/>
      <c r="E38"/>
      <c r="F38"/>
      <c r="G38"/>
      <c r="H38"/>
      <c r="I38"/>
      <c r="L38" s="209" t="s">
        <v>188</v>
      </c>
      <c r="M38" s="210">
        <v>1</v>
      </c>
      <c r="N38" s="210">
        <v>1.04244423971033</v>
      </c>
      <c r="O38" s="210">
        <v>1.21973089366443</v>
      </c>
      <c r="P38" s="210">
        <v>1.40060634628158</v>
      </c>
      <c r="Q38" s="210">
        <v>1.47015405052171</v>
      </c>
      <c r="R38" s="210">
        <v>1.47</v>
      </c>
      <c r="S38" s="210">
        <v>2.761</v>
      </c>
      <c r="U38" s="2"/>
      <c r="V38" s="3"/>
      <c r="AB38" s="4"/>
      <c r="AC38" s="4"/>
    </row>
    <row r="39" s="1" customFormat="1" spans="2:29">
      <c r="D39"/>
      <c r="E39"/>
      <c r="F39"/>
      <c r="G39"/>
      <c r="H39"/>
      <c r="I39"/>
      <c r="Q39" s="2"/>
      <c r="U39" s="2"/>
      <c r="V39" s="3"/>
      <c r="AB39" s="4"/>
      <c r="AC39" s="4"/>
    </row>
    <row r="40" s="1" customFormat="1" spans="2:29">
      <c r="B40" s="4"/>
      <c r="C40" s="4"/>
      <c r="D40"/>
      <c r="E40"/>
      <c r="F40"/>
      <c r="G40"/>
      <c r="H40"/>
      <c r="I40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8" s="1" customFormat="1" spans="7:29">
      <c r="G58" s="2"/>
      <c r="Q58" s="2"/>
      <c r="U58" s="2"/>
      <c r="V58" s="3"/>
      <c r="AB58" s="4"/>
      <c r="AC58" s="4"/>
    </row>
    <row r="59" s="1" customFormat="1" spans="7:29">
      <c r="G59" s="2"/>
      <c r="Q59" s="2"/>
      <c r="U59" s="2"/>
      <c r="V59" s="3"/>
      <c r="AB59" s="4"/>
      <c r="AC59" s="4"/>
    </row>
    <row r="61" s="1" customFormat="1" spans="7:29">
      <c r="G61" s="2"/>
      <c r="H61" s="1"/>
      <c r="I61" s="1"/>
      <c r="Q61" s="2"/>
      <c r="U61" s="2"/>
      <c r="V61" s="3"/>
      <c r="AB61" s="4"/>
      <c r="AC61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conditionalFormatting sqref="K23:K2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{a492a7cb-9c4b-4914-9da7-278731545793}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92a7cb-9c4b-4914-9da7-2787315457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K23:K28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workbookViewId="0">
      <selection activeCell="I9" sqref="I9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17.2727272727273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0" width="9.54545454545454" style="1" customWidth="1"/>
    <col min="31" max="31" width="5.90909090909091" style="1" customWidth="1"/>
    <col min="32" max="32" width="8" style="1" customWidth="1"/>
    <col min="33" max="33" width="9.54545454545454" style="1" customWidth="1"/>
    <col min="34" max="16384" width="9.69090909090909" style="1"/>
  </cols>
  <sheetData>
    <row r="1" s="1" customFormat="1" spans="1:33">
      <c r="B1" s="5" t="s">
        <v>33</v>
      </c>
      <c r="C1" s="5" t="s">
        <v>34</v>
      </c>
      <c r="D1" s="6" t="s">
        <v>35</v>
      </c>
      <c r="E1" s="6">
        <v>0</v>
      </c>
      <c r="Q1" s="2"/>
      <c r="U1" s="2"/>
      <c r="V1" s="3"/>
      <c r="AB1" s="4"/>
      <c r="AC1" s="4"/>
    </row>
    <row r="2" s="1" customFormat="1" ht="15" spans="1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0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5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1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173">
        <v>1</v>
      </c>
      <c r="P3" s="29" t="s">
        <v>59</v>
      </c>
      <c r="Q3" s="70">
        <v>2.736</v>
      </c>
      <c r="R3" s="174" t="s">
        <v>59</v>
      </c>
      <c r="S3" s="175">
        <f t="shared" ref="S3:S11" si="0">$C$4*(1+C$5+C$6+C$7+C$8)+C$9</f>
        <v>2882.024</v>
      </c>
      <c r="T3" s="176">
        <f t="shared" ref="T3:T11" si="1">S3/$C$4-1</f>
        <v>1.84784980237154</v>
      </c>
      <c r="U3" s="176">
        <f t="shared" ref="U3:U10" si="2">IF(R3=$C$1,SUM($E$4:$E$9),SUM($E$4:$E$8))</f>
        <v>1.47</v>
      </c>
      <c r="V3" s="177">
        <f t="shared" ref="V3:V11" si="3">1+$G$10*($I$10-1)</f>
        <v>3.35</v>
      </c>
      <c r="W3" s="178">
        <f t="shared" ref="W3:W9" si="4">IF(R3=$C$1,$K$4+$K$5,$K$4)</f>
        <v>0.25</v>
      </c>
      <c r="X3" s="177">
        <f t="shared" ref="X3:X6" si="5">$AF$3</f>
        <v>0.488431876606684</v>
      </c>
      <c r="Y3" s="174">
        <f t="shared" ref="Y3:Y6" si="6">$AF$14</f>
        <v>0.8</v>
      </c>
      <c r="Z3" s="179">
        <v>0</v>
      </c>
      <c r="AA3" s="179">
        <v>0</v>
      </c>
      <c r="AB3" s="180">
        <v>0</v>
      </c>
      <c r="AC3" s="29">
        <f t="shared" ref="AC3:AC11" si="7">Q3*$C$4*(1+T3)*(1+U3)*V3*(1+W3)*X3*Y3*(1+Z3)*(1+AA3)*(1+AB3)*O3</f>
        <v>31868.3402996039</v>
      </c>
      <c r="AD3" s="16">
        <v>18</v>
      </c>
      <c r="AE3" s="16"/>
      <c r="AF3" s="17">
        <f t="shared" ref="AF3:AF8" si="8">1520/(1520+(792+8*AG3)*(1-AE3/100))</f>
        <v>0.488431876606684</v>
      </c>
      <c r="AG3" s="30">
        <v>100</v>
      </c>
    </row>
    <row r="4" s="1" customFormat="1" ht="15" spans="1:33">
      <c r="B4" s="31" t="s">
        <v>60</v>
      </c>
      <c r="C4" s="32">
        <f>425+587</f>
        <v>1012</v>
      </c>
      <c r="D4" s="31" t="s">
        <v>61</v>
      </c>
      <c r="E4" s="33">
        <f>E1*30%</f>
        <v>0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v>0.25</v>
      </c>
      <c r="L4" s="31" t="s">
        <v>64</v>
      </c>
      <c r="M4" s="34">
        <f>8.6%*2</f>
        <v>0.172</v>
      </c>
      <c r="O4" s="181">
        <v>1</v>
      </c>
      <c r="P4" s="29" t="s">
        <v>65</v>
      </c>
      <c r="Q4" s="81">
        <v>1.3458</v>
      </c>
      <c r="R4" s="23" t="s">
        <v>66</v>
      </c>
      <c r="S4" s="24">
        <f t="shared" si="0"/>
        <v>2882.024</v>
      </c>
      <c r="T4" s="25">
        <f t="shared" si="1"/>
        <v>1.84784980237154</v>
      </c>
      <c r="U4" s="25">
        <f t="shared" si="2"/>
        <v>1.47</v>
      </c>
      <c r="V4" s="177">
        <f t="shared" si="3"/>
        <v>3.35</v>
      </c>
      <c r="W4" s="27">
        <f t="shared" si="4"/>
        <v>0.25</v>
      </c>
      <c r="X4" s="177">
        <f t="shared" si="5"/>
        <v>0.488431876606684</v>
      </c>
      <c r="Y4" s="23">
        <f t="shared" si="6"/>
        <v>0.8</v>
      </c>
      <c r="Z4" s="28">
        <v>0</v>
      </c>
      <c r="AA4" s="28">
        <v>0</v>
      </c>
      <c r="AB4" s="182">
        <v>0</v>
      </c>
      <c r="AC4" s="29">
        <f t="shared" si="7"/>
        <v>15675.5893184236</v>
      </c>
      <c r="AD4" s="16">
        <f>32+18</f>
        <v>50</v>
      </c>
      <c r="AE4" s="16"/>
      <c r="AF4" s="17">
        <f>1520/(1520+(792+8*AG4)*(1-AE4/100)*(1-AD4/100))</f>
        <v>0.656303972366149</v>
      </c>
      <c r="AG4" s="30">
        <v>100</v>
      </c>
    </row>
    <row r="5" s="1" customFormat="1" ht="15" spans="1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/>
      <c r="L5" s="31" t="s">
        <v>71</v>
      </c>
      <c r="M5" s="34">
        <f>8.6%*2</f>
        <v>0.172</v>
      </c>
      <c r="O5" s="181">
        <v>1</v>
      </c>
      <c r="P5" s="29" t="s">
        <v>72</v>
      </c>
      <c r="Q5" s="81">
        <v>10.0402</v>
      </c>
      <c r="R5" s="23" t="s">
        <v>34</v>
      </c>
      <c r="S5" s="24">
        <f t="shared" si="0"/>
        <v>2882.024</v>
      </c>
      <c r="T5" s="25">
        <f t="shared" si="1"/>
        <v>1.84784980237154</v>
      </c>
      <c r="U5" s="25">
        <f t="shared" si="2"/>
        <v>1.892</v>
      </c>
      <c r="V5" s="177">
        <f t="shared" si="3"/>
        <v>3.35</v>
      </c>
      <c r="W5" s="27">
        <f t="shared" si="4"/>
        <v>0.25</v>
      </c>
      <c r="X5" s="26">
        <f t="shared" ref="X5:X11" si="9">$AF$4</f>
        <v>0.656303972366149</v>
      </c>
      <c r="Y5" s="23">
        <f t="shared" ref="Y5:Y11" si="10">$AF$12</f>
        <v>0.9</v>
      </c>
      <c r="Z5" s="28">
        <v>0</v>
      </c>
      <c r="AA5" s="28">
        <v>0</v>
      </c>
      <c r="AB5" s="182">
        <v>0</v>
      </c>
      <c r="AC5" s="29">
        <f t="shared" si="7"/>
        <v>206985.826605056</v>
      </c>
      <c r="AD5" s="16">
        <v>0</v>
      </c>
      <c r="AE5" s="16"/>
      <c r="AF5" s="17">
        <f t="shared" si="8"/>
        <v>0.488431876606684</v>
      </c>
      <c r="AG5" s="30">
        <v>100</v>
      </c>
    </row>
    <row r="6" s="1" customFormat="1" ht="15" spans="1:33">
      <c r="B6" s="31" t="s">
        <v>73</v>
      </c>
      <c r="C6" s="34">
        <f>18%+18%+M4+(2-E1)*30%+25%</f>
        <v>1.382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181">
        <v>1</v>
      </c>
      <c r="P6" s="29" t="s">
        <v>76</v>
      </c>
      <c r="Q6" s="81">
        <v>3.4395</v>
      </c>
      <c r="R6" s="23" t="s">
        <v>77</v>
      </c>
      <c r="S6" s="24">
        <f t="shared" si="0"/>
        <v>2882.024</v>
      </c>
      <c r="T6" s="25">
        <f t="shared" si="1"/>
        <v>1.84784980237154</v>
      </c>
      <c r="U6" s="183">
        <f t="shared" si="2"/>
        <v>1.47</v>
      </c>
      <c r="V6" s="177">
        <f t="shared" si="3"/>
        <v>3.35</v>
      </c>
      <c r="W6" s="27">
        <f t="shared" si="4"/>
        <v>0.25</v>
      </c>
      <c r="X6" s="177">
        <f t="shared" si="5"/>
        <v>0.488431876606684</v>
      </c>
      <c r="Y6" s="23">
        <f t="shared" si="6"/>
        <v>0.8</v>
      </c>
      <c r="Z6" s="28">
        <v>0</v>
      </c>
      <c r="AA6" s="28">
        <v>0</v>
      </c>
      <c r="AB6" s="182">
        <v>0</v>
      </c>
      <c r="AC6" s="29">
        <f t="shared" si="7"/>
        <v>40062.5571858508</v>
      </c>
      <c r="AD6" s="16">
        <v>0</v>
      </c>
      <c r="AE6" s="16">
        <v>21.6</v>
      </c>
      <c r="AF6" s="17">
        <f t="shared" si="8"/>
        <v>0.549107555719967</v>
      </c>
      <c r="AG6" s="30">
        <v>100</v>
      </c>
    </row>
    <row r="7" s="1" customFormat="1" ht="15" spans="1:33">
      <c r="B7" s="31" t="s">
        <v>78</v>
      </c>
      <c r="C7" s="34"/>
      <c r="D7" s="31" t="s">
        <v>79</v>
      </c>
      <c r="E7" s="33">
        <f>65%</f>
        <v>0.65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181">
        <v>1</v>
      </c>
      <c r="P7" s="29" t="s">
        <v>81</v>
      </c>
      <c r="Q7" s="81">
        <v>3.579</v>
      </c>
      <c r="R7" s="23" t="s">
        <v>34</v>
      </c>
      <c r="S7" s="24">
        <f t="shared" si="0"/>
        <v>2882.024</v>
      </c>
      <c r="T7" s="25">
        <f t="shared" si="1"/>
        <v>1.84784980237154</v>
      </c>
      <c r="U7" s="183">
        <f t="shared" si="2"/>
        <v>1.892</v>
      </c>
      <c r="V7" s="177">
        <f t="shared" si="3"/>
        <v>3.35</v>
      </c>
      <c r="W7" s="27">
        <f t="shared" si="4"/>
        <v>0.25</v>
      </c>
      <c r="X7" s="26">
        <f t="shared" si="9"/>
        <v>0.656303972366149</v>
      </c>
      <c r="Y7" s="23">
        <f t="shared" si="10"/>
        <v>0.9</v>
      </c>
      <c r="Z7" s="28">
        <v>0</v>
      </c>
      <c r="AA7" s="28">
        <v>0</v>
      </c>
      <c r="AB7" s="182">
        <v>0</v>
      </c>
      <c r="AC7" s="29">
        <f t="shared" si="7"/>
        <v>73783.6172008025</v>
      </c>
      <c r="AD7" s="16">
        <v>0</v>
      </c>
      <c r="AE7" s="16">
        <v>28.8</v>
      </c>
      <c r="AF7" s="17">
        <f t="shared" si="8"/>
        <v>0.572827476423627</v>
      </c>
      <c r="AG7" s="30">
        <v>100</v>
      </c>
    </row>
    <row r="8" s="1" customFormat="1" ht="15" spans="1:33">
      <c r="B8" s="31" t="s">
        <v>82</v>
      </c>
      <c r="C8" s="39"/>
      <c r="D8" s="31" t="s">
        <v>83</v>
      </c>
      <c r="E8" s="184">
        <v>0.4</v>
      </c>
      <c r="F8" s="31" t="s">
        <v>84</v>
      </c>
      <c r="G8" s="34">
        <v>0.3</v>
      </c>
      <c r="H8" s="31" t="s">
        <v>85</v>
      </c>
      <c r="I8" s="34">
        <v>0.6</v>
      </c>
      <c r="J8" s="37"/>
      <c r="K8" s="33"/>
      <c r="L8" s="31"/>
      <c r="M8" s="32"/>
      <c r="O8" s="181">
        <v>1</v>
      </c>
      <c r="P8" s="29" t="s">
        <v>86</v>
      </c>
      <c r="Q8" s="81">
        <v>3.4395</v>
      </c>
      <c r="R8" s="23" t="s">
        <v>77</v>
      </c>
      <c r="S8" s="24">
        <f t="shared" si="0"/>
        <v>2882.024</v>
      </c>
      <c r="T8" s="25">
        <f t="shared" si="1"/>
        <v>1.84784980237154</v>
      </c>
      <c r="U8" s="183">
        <f t="shared" si="2"/>
        <v>1.47</v>
      </c>
      <c r="V8" s="177">
        <f t="shared" si="3"/>
        <v>3.35</v>
      </c>
      <c r="W8" s="27">
        <f t="shared" si="4"/>
        <v>0.25</v>
      </c>
      <c r="X8" s="177">
        <f>$AF$3</f>
        <v>0.488431876606684</v>
      </c>
      <c r="Y8" s="23">
        <f>$AF$14</f>
        <v>0.8</v>
      </c>
      <c r="Z8" s="28">
        <v>0</v>
      </c>
      <c r="AA8" s="28">
        <v>0</v>
      </c>
      <c r="AB8" s="182">
        <v>0</v>
      </c>
      <c r="AC8" s="29">
        <f t="shared" si="7"/>
        <v>40062.5571858508</v>
      </c>
      <c r="AD8" s="16">
        <v>0</v>
      </c>
      <c r="AE8" s="16">
        <v>36</v>
      </c>
      <c r="AF8" s="17">
        <f t="shared" si="8"/>
        <v>0.598689185782707</v>
      </c>
      <c r="AG8" s="30">
        <v>100</v>
      </c>
    </row>
    <row r="9" s="1" customFormat="1" ht="15" spans="1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181">
        <v>1</v>
      </c>
      <c r="P9" s="29" t="s">
        <v>90</v>
      </c>
      <c r="Q9" s="81">
        <v>3.579</v>
      </c>
      <c r="R9" s="23" t="s">
        <v>34</v>
      </c>
      <c r="S9" s="24">
        <f t="shared" si="0"/>
        <v>2882.024</v>
      </c>
      <c r="T9" s="25">
        <f t="shared" si="1"/>
        <v>1.84784980237154</v>
      </c>
      <c r="U9" s="183">
        <f t="shared" si="2"/>
        <v>1.892</v>
      </c>
      <c r="V9" s="177">
        <f t="shared" si="3"/>
        <v>3.35</v>
      </c>
      <c r="W9" s="27">
        <f t="shared" si="4"/>
        <v>0.25</v>
      </c>
      <c r="X9" s="26">
        <f t="shared" si="9"/>
        <v>0.656303972366149</v>
      </c>
      <c r="Y9" s="23">
        <f t="shared" si="10"/>
        <v>0.9</v>
      </c>
      <c r="Z9" s="28">
        <v>0</v>
      </c>
      <c r="AA9" s="28">
        <v>0</v>
      </c>
      <c r="AB9" s="182">
        <v>0</v>
      </c>
      <c r="AC9" s="29">
        <f t="shared" si="7"/>
        <v>73783.6172008025</v>
      </c>
    </row>
    <row r="10" s="1" customFormat="1" ht="15" spans="1:33">
      <c r="B10" s="42" t="s">
        <v>91</v>
      </c>
      <c r="C10" s="43"/>
      <c r="D10" s="42"/>
      <c r="E10" s="44"/>
      <c r="F10" s="45" t="s">
        <v>92</v>
      </c>
      <c r="G10" s="46">
        <f>MIN(100%,SUM(G4:G9))</f>
        <v>1</v>
      </c>
      <c r="H10" s="45" t="s">
        <v>93</v>
      </c>
      <c r="I10" s="46">
        <f>SUM(I4:I9)</f>
        <v>3.35</v>
      </c>
      <c r="J10" s="47"/>
      <c r="K10" s="44"/>
      <c r="L10" s="42"/>
      <c r="M10" s="43"/>
      <c r="O10" s="181">
        <v>1</v>
      </c>
      <c r="P10" s="29" t="s">
        <v>94</v>
      </c>
      <c r="Q10" s="81">
        <v>2.32</v>
      </c>
      <c r="R10" s="23" t="s">
        <v>34</v>
      </c>
      <c r="S10" s="24">
        <f t="shared" si="0"/>
        <v>2882.024</v>
      </c>
      <c r="T10" s="25">
        <f t="shared" si="1"/>
        <v>1.84784980237154</v>
      </c>
      <c r="U10" s="183">
        <f t="shared" si="2"/>
        <v>1.892</v>
      </c>
      <c r="V10" s="177">
        <f t="shared" si="3"/>
        <v>3.35</v>
      </c>
      <c r="W10" s="27">
        <f>IF(R10=$C$1,$K$4+$K$5,$K$4)+2</f>
        <v>2.25</v>
      </c>
      <c r="X10" s="26">
        <f t="shared" si="9"/>
        <v>0.656303972366149</v>
      </c>
      <c r="Y10" s="23">
        <f t="shared" si="10"/>
        <v>0.9</v>
      </c>
      <c r="Z10" s="28">
        <v>0</v>
      </c>
      <c r="AA10" s="28">
        <v>0</v>
      </c>
      <c r="AB10" s="182">
        <v>0</v>
      </c>
      <c r="AC10" s="29">
        <f t="shared" si="7"/>
        <v>124353.947738262</v>
      </c>
    </row>
    <row r="11" s="1" customFormat="1" ht="15" spans="1:33">
      <c r="B11" s="49"/>
      <c r="C11" s="49"/>
      <c r="E11" s="50"/>
      <c r="F11" s="18" t="s">
        <v>95</v>
      </c>
      <c r="G11" s="51">
        <f>MAX(0,SUM(G4:G9)-1)</f>
        <v>0.278</v>
      </c>
      <c r="J11" s="2"/>
      <c r="K11" s="2"/>
      <c r="O11" s="185">
        <v>1</v>
      </c>
      <c r="P11" s="29" t="s">
        <v>96</v>
      </c>
      <c r="Q11" s="108">
        <v>17.8929</v>
      </c>
      <c r="R11" s="186" t="s">
        <v>34</v>
      </c>
      <c r="S11" s="187">
        <f t="shared" si="0"/>
        <v>2882.024</v>
      </c>
      <c r="T11" s="188">
        <f t="shared" si="1"/>
        <v>1.84784980237154</v>
      </c>
      <c r="U11" s="189">
        <f>IF(R11=$C$1,SUM($E$4:$E$9),SUM($E$4:$E$8))+$E$10</f>
        <v>1.892</v>
      </c>
      <c r="V11" s="190">
        <f t="shared" si="3"/>
        <v>3.35</v>
      </c>
      <c r="W11" s="191">
        <v>0.5</v>
      </c>
      <c r="X11" s="192">
        <f t="shared" si="9"/>
        <v>0.656303972366149</v>
      </c>
      <c r="Y11" s="186">
        <f t="shared" si="10"/>
        <v>0.9</v>
      </c>
      <c r="Z11" s="193">
        <v>0</v>
      </c>
      <c r="AA11" s="193">
        <v>0</v>
      </c>
      <c r="AB11" s="194">
        <v>0</v>
      </c>
      <c r="AC11" s="29">
        <f t="shared" si="7"/>
        <v>442649.751621874</v>
      </c>
      <c r="AE11"/>
      <c r="AF11"/>
    </row>
    <row r="12" s="1" customFormat="1" spans="1:33">
      <c r="B12" s="49"/>
      <c r="C12" s="49"/>
      <c r="E12" s="50"/>
      <c r="G12" s="53"/>
      <c r="J12" s="2"/>
      <c r="K12" s="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E12" s="48" t="s">
        <v>34</v>
      </c>
      <c r="AF12" s="48">
        <v>0.9</v>
      </c>
    </row>
    <row r="13" s="1" customFormat="1" ht="15" spans="1:33">
      <c r="A13"/>
      <c r="B13"/>
      <c r="C13"/>
      <c r="D13" s="133"/>
      <c r="E13" s="133"/>
      <c r="F13" s="133" t="s">
        <v>147</v>
      </c>
      <c r="G13" s="134"/>
      <c r="H13" s="133"/>
      <c r="I13" s="133"/>
      <c r="J13" s="133"/>
      <c r="K13" s="133"/>
      <c r="L13" s="133"/>
      <c r="M13" s="133"/>
      <c r="O13" s="125">
        <v>0</v>
      </c>
      <c r="P13" s="127" t="s">
        <v>115</v>
      </c>
      <c r="Q13" s="127">
        <v>1.0935</v>
      </c>
      <c r="R13" s="128" t="s">
        <v>116</v>
      </c>
      <c r="S13" s="128">
        <v>10027</v>
      </c>
      <c r="T13" s="127">
        <v>0</v>
      </c>
      <c r="U13" s="127">
        <v>0</v>
      </c>
      <c r="V13" s="129">
        <v>1</v>
      </c>
      <c r="W13" s="130">
        <v>0</v>
      </c>
      <c r="X13" s="129">
        <f t="shared" ref="X13:X17" si="11">$AF$3</f>
        <v>0.488431876606684</v>
      </c>
      <c r="Y13" s="128">
        <f t="shared" ref="Y13:Y17" si="12">$AF$13</f>
        <v>0.8</v>
      </c>
      <c r="Z13" s="131">
        <v>1.2</v>
      </c>
      <c r="AA13" s="131">
        <v>0</v>
      </c>
      <c r="AB13" s="131">
        <v>0.5</v>
      </c>
      <c r="AC13" s="132">
        <f t="shared" ref="AC13:AC17" si="13">Q13*$S$17*(1+T13)*(1+U13)*V13*(1+W13)*X13*Y13*(1+Z13)*(1+AA13)*(1+AB13)*O13</f>
        <v>0</v>
      </c>
      <c r="AE13" s="52" t="s">
        <v>99</v>
      </c>
      <c r="AF13" s="52">
        <v>0.8</v>
      </c>
    </row>
    <row r="14" s="1" customFormat="1" ht="15" spans="1:33">
      <c r="A14" s="141"/>
      <c r="B14" s="142"/>
      <c r="C14" s="142"/>
      <c r="D14" s="142"/>
      <c r="E14" s="142"/>
      <c r="F14" s="142"/>
      <c r="G14" s="143"/>
      <c r="O14" s="31">
        <v>0</v>
      </c>
      <c r="P14" s="49" t="s">
        <v>117</v>
      </c>
      <c r="Q14" s="136">
        <v>5.9643</v>
      </c>
      <c r="R14" s="49" t="s">
        <v>116</v>
      </c>
      <c r="S14" s="49">
        <v>10027</v>
      </c>
      <c r="T14" s="136">
        <v>0</v>
      </c>
      <c r="U14" s="136">
        <v>0</v>
      </c>
      <c r="V14" s="137">
        <v>1</v>
      </c>
      <c r="W14" s="138">
        <v>0</v>
      </c>
      <c r="X14" s="137">
        <f t="shared" si="11"/>
        <v>0.488431876606684</v>
      </c>
      <c r="Y14" s="49">
        <f t="shared" si="12"/>
        <v>0.8</v>
      </c>
      <c r="Z14" s="139">
        <v>0</v>
      </c>
      <c r="AA14" s="139">
        <v>0</v>
      </c>
      <c r="AB14" s="139">
        <v>0.5</v>
      </c>
      <c r="AC14" s="140">
        <f t="shared" si="13"/>
        <v>0</v>
      </c>
      <c r="AE14" s="54" t="s">
        <v>103</v>
      </c>
      <c r="AF14" s="54">
        <v>0.8</v>
      </c>
    </row>
    <row r="15" s="1" customFormat="1" ht="15" spans="1:33">
      <c r="B15" s="144" t="s">
        <v>148</v>
      </c>
      <c r="G15" s="2"/>
      <c r="O15" s="31">
        <v>0</v>
      </c>
      <c r="P15" s="49" t="s">
        <v>118</v>
      </c>
      <c r="Q15" s="136">
        <v>18.8075</v>
      </c>
      <c r="R15" s="49" t="s">
        <v>116</v>
      </c>
      <c r="S15" s="49">
        <v>10027</v>
      </c>
      <c r="T15" s="136">
        <v>0</v>
      </c>
      <c r="U15" s="136">
        <v>0</v>
      </c>
      <c r="V15" s="137">
        <v>1</v>
      </c>
      <c r="W15" s="138">
        <v>0</v>
      </c>
      <c r="X15" s="137">
        <f t="shared" si="11"/>
        <v>0.488431876606684</v>
      </c>
      <c r="Y15" s="49">
        <f t="shared" si="12"/>
        <v>0.8</v>
      </c>
      <c r="Z15" s="139">
        <v>0</v>
      </c>
      <c r="AA15" s="139">
        <v>0</v>
      </c>
      <c r="AB15" s="139">
        <v>0.5</v>
      </c>
      <c r="AC15" s="140">
        <f t="shared" si="13"/>
        <v>0</v>
      </c>
      <c r="AE15" s="55" t="s">
        <v>105</v>
      </c>
      <c r="AF15" s="55">
        <v>0.8</v>
      </c>
    </row>
    <row r="16" s="1" customFormat="1" ht="15" spans="1:33">
      <c r="B16" s="152" t="s">
        <v>0</v>
      </c>
      <c r="C16" s="153" t="s">
        <v>149</v>
      </c>
      <c r="D16" s="153" t="s">
        <v>150</v>
      </c>
      <c r="E16" s="153" t="s">
        <v>151</v>
      </c>
      <c r="F16" s="153" t="s">
        <v>152</v>
      </c>
      <c r="G16" s="2"/>
      <c r="O16" s="31">
        <v>1</v>
      </c>
      <c r="P16" s="49" t="s">
        <v>120</v>
      </c>
      <c r="Q16" s="136">
        <v>2.9822</v>
      </c>
      <c r="R16" s="49" t="s">
        <v>116</v>
      </c>
      <c r="S16" s="49">
        <v>10027</v>
      </c>
      <c r="T16" s="136">
        <v>0</v>
      </c>
      <c r="U16" s="136">
        <v>0</v>
      </c>
      <c r="V16" s="137">
        <v>1</v>
      </c>
      <c r="W16" s="138">
        <v>0</v>
      </c>
      <c r="X16" s="137">
        <f t="shared" si="11"/>
        <v>0.488431876606684</v>
      </c>
      <c r="Y16" s="49">
        <f t="shared" si="12"/>
        <v>0.8</v>
      </c>
      <c r="Z16" s="139">
        <v>0</v>
      </c>
      <c r="AA16" s="139">
        <v>0</v>
      </c>
      <c r="AB16" s="139">
        <v>0.1</v>
      </c>
      <c r="AC16" s="140">
        <f t="shared" si="13"/>
        <v>12852.7024259126</v>
      </c>
    </row>
    <row r="17" s="1" customFormat="1" ht="15" spans="2:30">
      <c r="B17" s="4" t="s">
        <v>164</v>
      </c>
      <c r="C17" s="154">
        <f>SUM(AC3:AC11)</f>
        <v>1049225.80435653</v>
      </c>
      <c r="D17" s="154">
        <f t="shared" ref="D17:D21" si="14">C17/$E$17</f>
        <v>41969.0321742611</v>
      </c>
      <c r="E17" s="155">
        <v>25</v>
      </c>
      <c r="F17" s="156">
        <f t="shared" ref="F17:F21" si="15">C17/$C$23</f>
        <v>0.525541692728959</v>
      </c>
      <c r="G17" s="2"/>
      <c r="O17" s="42">
        <v>1</v>
      </c>
      <c r="P17" s="147" t="s">
        <v>123</v>
      </c>
      <c r="Q17" s="146">
        <v>16</v>
      </c>
      <c r="R17" s="147" t="s">
        <v>124</v>
      </c>
      <c r="S17" s="147">
        <v>10027</v>
      </c>
      <c r="T17" s="146">
        <v>0</v>
      </c>
      <c r="U17" s="146">
        <v>0</v>
      </c>
      <c r="V17" s="148">
        <v>1</v>
      </c>
      <c r="W17" s="149">
        <v>0</v>
      </c>
      <c r="X17" s="148">
        <f t="shared" si="11"/>
        <v>0.488431876606684</v>
      </c>
      <c r="Y17" s="147">
        <f t="shared" si="12"/>
        <v>0.8</v>
      </c>
      <c r="Z17" s="150">
        <v>0</v>
      </c>
      <c r="AA17" s="150">
        <v>0</v>
      </c>
      <c r="AB17" s="150">
        <v>0.1</v>
      </c>
      <c r="AC17" s="151">
        <f t="shared" si="13"/>
        <v>68956.8904884319</v>
      </c>
    </row>
    <row r="18" s="1" customFormat="1" ht="15" spans="2:30">
      <c r="B18" s="4" t="s">
        <v>165</v>
      </c>
      <c r="C18" s="154">
        <v>444527</v>
      </c>
      <c r="D18" s="154">
        <f t="shared" si="14"/>
        <v>17781.08</v>
      </c>
      <c r="E18" s="161"/>
      <c r="F18" s="156">
        <f t="shared" si="15"/>
        <v>0.222657002023506</v>
      </c>
      <c r="G18" s="2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 s="1" customFormat="1" ht="15" spans="2:30">
      <c r="B19" s="4" t="s">
        <v>160</v>
      </c>
      <c r="C19" s="154">
        <f>50067+AC16</f>
        <v>62919.7024259126</v>
      </c>
      <c r="D19" s="154">
        <f t="shared" si="14"/>
        <v>2516.7880970365</v>
      </c>
      <c r="E19" s="164"/>
      <c r="F19" s="156">
        <f t="shared" si="15"/>
        <v>0.0315155486851526</v>
      </c>
      <c r="G19" s="2"/>
      <c r="Q19" s="2"/>
      <c r="U19" s="2"/>
      <c r="V19" s="3"/>
      <c r="AB19" s="4"/>
      <c r="AC19" s="4"/>
    </row>
    <row r="20" s="1" customFormat="1" ht="15" spans="2:30">
      <c r="B20" s="4" t="s">
        <v>168</v>
      </c>
      <c r="C20" s="154">
        <f>20602*(6+6*2)</f>
        <v>370836</v>
      </c>
      <c r="D20" s="154">
        <f t="shared" si="14"/>
        <v>14833.44</v>
      </c>
      <c r="E20" s="164"/>
      <c r="F20" s="156">
        <f t="shared" si="15"/>
        <v>0.18574626963579</v>
      </c>
      <c r="G20" s="2"/>
      <c r="Q20" s="2"/>
      <c r="U20" s="2"/>
      <c r="V20" s="3"/>
      <c r="AB20" s="4"/>
      <c r="AC20" s="4"/>
    </row>
    <row r="21" s="1" customFormat="1" ht="15" spans="2:30">
      <c r="B21" s="4" t="s">
        <v>123</v>
      </c>
      <c r="C21" s="154">
        <f>AC17</f>
        <v>68956.8904884319</v>
      </c>
      <c r="D21" s="154">
        <f t="shared" si="14"/>
        <v>2758.27561953727</v>
      </c>
      <c r="E21" s="164"/>
      <c r="F21" s="156">
        <f t="shared" si="15"/>
        <v>0.0345394869265927</v>
      </c>
      <c r="G21" s="2"/>
      <c r="Q21" s="2"/>
      <c r="U21" s="2"/>
      <c r="V21" s="3"/>
      <c r="AB21" s="4"/>
      <c r="AC21" s="4"/>
    </row>
    <row r="22" s="1" customFormat="1" ht="15" spans="2:30">
      <c r="B22" s="4"/>
      <c r="C22" s="154"/>
      <c r="D22" s="154"/>
      <c r="E22" s="164"/>
      <c r="F22" s="156"/>
      <c r="G22" s="2"/>
      <c r="Q22" s="2"/>
      <c r="U22" s="2"/>
      <c r="V22" s="3"/>
      <c r="AB22" s="4"/>
      <c r="AC22" s="4"/>
    </row>
    <row r="23" s="1" customFormat="1" ht="15" spans="2:30">
      <c r="B23" s="4" t="s">
        <v>153</v>
      </c>
      <c r="C23" s="167">
        <f>SUM(C17:C21)</f>
        <v>1996465.39727087</v>
      </c>
      <c r="D23" s="167">
        <f>C23/E17</f>
        <v>79858.6158908348</v>
      </c>
      <c r="E23" s="168"/>
      <c r="F23" s="169"/>
      <c r="G23" s="170"/>
      <c r="Q23" s="2"/>
      <c r="U23" s="2"/>
      <c r="V23" s="3"/>
      <c r="AB23" s="4"/>
      <c r="AC23" s="4"/>
    </row>
    <row r="24" s="1" customFormat="1" spans="2:30">
      <c r="B24" s="4"/>
      <c r="C24" s="4"/>
      <c r="D24" s="4"/>
      <c r="G24" s="2"/>
      <c r="Q24" s="2"/>
      <c r="U24" s="2"/>
      <c r="V24" s="3"/>
      <c r="AB24" s="4"/>
      <c r="AC24" s="4"/>
      <c r="AD24"/>
    </row>
    <row r="25" s="1" customFormat="1" ht="15" spans="2:30">
      <c r="B25" s="195" t="s">
        <v>154</v>
      </c>
      <c r="C25" s="196" t="s">
        <v>155</v>
      </c>
      <c r="D25" s="196" t="s">
        <v>156</v>
      </c>
      <c r="E25" s="196"/>
      <c r="F25" s="197"/>
      <c r="G25" s="2"/>
      <c r="Q25" s="2"/>
      <c r="U25" s="2"/>
      <c r="V25" s="3"/>
      <c r="AB25" s="4"/>
      <c r="AC25" s="4"/>
      <c r="AD25"/>
    </row>
    <row r="26" s="1" customFormat="1" ht="15" spans="2:30">
      <c r="B26" s="198"/>
      <c r="C26" s="199"/>
      <c r="D26" s="199"/>
      <c r="E26" s="199"/>
      <c r="F26" s="200"/>
      <c r="Q26" s="2"/>
      <c r="U26" s="2"/>
      <c r="V26" s="3"/>
      <c r="AB26" s="4"/>
      <c r="AC26" s="4"/>
    </row>
    <row r="27" s="1" customFormat="1" spans="2:30">
      <c r="B27" s="201"/>
      <c r="C27" s="201"/>
      <c r="D27" s="201"/>
      <c r="E27" s="201"/>
      <c r="F27" s="201"/>
      <c r="G27" s="2"/>
      <c r="Q27" s="2"/>
      <c r="U27" s="2"/>
      <c r="V27" s="3"/>
      <c r="AB27" s="4"/>
      <c r="AC27" s="4"/>
    </row>
    <row r="28" s="1" customFormat="1" ht="15" spans="2:30">
      <c r="B28" s="202" t="s">
        <v>157</v>
      </c>
      <c r="C28" s="203" t="s">
        <v>36</v>
      </c>
      <c r="D28" s="203" t="s">
        <v>158</v>
      </c>
      <c r="E28" s="128"/>
      <c r="F28" s="204"/>
      <c r="G28" s="2"/>
      <c r="Q28" s="2"/>
      <c r="U28" s="2"/>
      <c r="V28" s="3"/>
      <c r="AB28" s="4"/>
      <c r="AC28" s="4"/>
    </row>
    <row r="29" s="1" customFormat="1" ht="15" spans="2:30">
      <c r="B29" s="205"/>
      <c r="C29" s="164" t="s">
        <v>100</v>
      </c>
      <c r="D29" s="164" t="s">
        <v>159</v>
      </c>
      <c r="F29" s="206"/>
      <c r="G29" s="2"/>
      <c r="Q29" s="2"/>
      <c r="U29" s="2"/>
      <c r="V29" s="3"/>
      <c r="AB29" s="4"/>
      <c r="AC29" s="4"/>
    </row>
    <row r="30" s="1" customFormat="1" ht="15" spans="2:30">
      <c r="B30" s="207"/>
      <c r="C30" s="208" t="s">
        <v>160</v>
      </c>
      <c r="D30" s="208" t="s">
        <v>161</v>
      </c>
      <c r="E30" s="147"/>
      <c r="F30" s="43"/>
      <c r="G30" s="2"/>
      <c r="Q30" s="2"/>
      <c r="U30" s="2"/>
      <c r="V30" s="3"/>
      <c r="AB30" s="4"/>
      <c r="AC30" s="4"/>
      <c r="AD30"/>
    </row>
    <row r="31" s="1" customFormat="1" spans="2:30">
      <c r="B31" s="4"/>
      <c r="C31" s="4"/>
      <c r="D31" s="4"/>
      <c r="F31" s="4"/>
      <c r="G31" s="2"/>
      <c r="Q31" s="2"/>
      <c r="U31" s="2"/>
      <c r="V31" s="3"/>
      <c r="AB31" s="4"/>
      <c r="AC31" s="4"/>
    </row>
    <row r="32" s="1" customFormat="1" spans="2:30">
      <c r="B32" s="4"/>
      <c r="C32" s="4"/>
      <c r="D32" s="4"/>
      <c r="F32" s="4"/>
      <c r="G32" s="2"/>
      <c r="Q32" s="2"/>
      <c r="U32" s="2"/>
      <c r="V32" s="3"/>
      <c r="AB32" s="4"/>
      <c r="AC32" s="4"/>
    </row>
    <row r="33" s="1" customFormat="1" spans="2:29">
      <c r="G33" s="2"/>
      <c r="N33" s="124"/>
      <c r="Q33" s="2"/>
      <c r="U33" s="2"/>
      <c r="V33" s="3"/>
      <c r="AB33" s="4"/>
      <c r="AC33" s="4"/>
    </row>
    <row r="34" s="1" customFormat="1" spans="2:29">
      <c r="B34" s="4"/>
      <c r="C34" s="4"/>
      <c r="D34" s="4"/>
      <c r="F34" s="4"/>
      <c r="G34" s="2"/>
      <c r="N34" s="49"/>
      <c r="Q34" s="2"/>
      <c r="U34" s="2"/>
      <c r="V34" s="3"/>
      <c r="AB34" s="4"/>
      <c r="AC34" s="4"/>
    </row>
    <row r="35" s="1" customFormat="1" spans="2:29">
      <c r="B35" s="4"/>
      <c r="C35" s="4"/>
      <c r="D35" s="4"/>
      <c r="F35" s="4"/>
      <c r="G35" s="2"/>
      <c r="N35" s="49"/>
      <c r="Q35" s="2"/>
      <c r="U35" s="2"/>
      <c r="V35" s="3"/>
      <c r="AB35" s="4"/>
      <c r="AC35" s="4"/>
    </row>
    <row r="36" s="1" customFormat="1" spans="2:29">
      <c r="G36" s="2"/>
      <c r="N36" s="49"/>
      <c r="Q36" s="2"/>
      <c r="U36" s="2"/>
      <c r="V36" s="3"/>
      <c r="AB36" s="4"/>
      <c r="AC36" s="4"/>
    </row>
    <row r="37" s="1" customFormat="1" spans="2:29">
      <c r="B37" s="4"/>
      <c r="C37" s="4"/>
      <c r="D37" s="4"/>
      <c r="F37" s="4"/>
      <c r="G37" s="2"/>
      <c r="N37" s="49"/>
      <c r="Q37" s="2"/>
      <c r="U37" s="2"/>
      <c r="V37" s="3"/>
      <c r="AB37" s="4"/>
      <c r="AC37" s="4"/>
    </row>
    <row r="38" s="1" customFormat="1" spans="2:29">
      <c r="B38" s="4"/>
      <c r="C38" s="4"/>
      <c r="D38" s="4"/>
      <c r="G38" s="2"/>
      <c r="Q38" s="2"/>
      <c r="U38" s="2"/>
      <c r="V38" s="3"/>
      <c r="AB38" s="4"/>
      <c r="AC38" s="4"/>
    </row>
    <row r="39" s="1" customFormat="1" spans="2:29">
      <c r="G39" s="2"/>
      <c r="Q39" s="2"/>
      <c r="U39" s="2"/>
      <c r="V39" s="3"/>
      <c r="AB39" s="4"/>
      <c r="AC39" s="4"/>
    </row>
    <row r="40" s="1" customFormat="1" spans="2:29">
      <c r="B40" s="4"/>
      <c r="C40" s="4"/>
      <c r="D40" s="4"/>
      <c r="G40" s="2"/>
      <c r="Q40" s="2"/>
      <c r="U40" s="2"/>
      <c r="V40" s="3"/>
      <c r="AB40" s="4"/>
      <c r="AC40" s="4"/>
    </row>
    <row r="41" s="1" customFormat="1" spans="2:29">
      <c r="G41" s="2"/>
      <c r="Q41" s="2"/>
      <c r="U41" s="2"/>
      <c r="V41" s="3"/>
      <c r="AB41" s="4"/>
      <c r="AC41" s="4"/>
    </row>
    <row r="42" s="1" customFormat="1" spans="2:29">
      <c r="G42" s="2"/>
      <c r="Q42" s="2"/>
      <c r="U42" s="2"/>
      <c r="V42" s="3"/>
      <c r="AB42" s="4"/>
      <c r="AC42" s="4"/>
    </row>
    <row r="43" s="1" customFormat="1" spans="2:29">
      <c r="G43" s="2"/>
      <c r="Q43" s="2"/>
      <c r="U43" s="2"/>
      <c r="V43" s="3"/>
      <c r="AB43" s="4"/>
      <c r="AC43" s="4"/>
    </row>
    <row r="44" s="1" customFormat="1" spans="2:29">
      <c r="G44" s="2"/>
      <c r="Q44" s="2"/>
      <c r="U44" s="2"/>
      <c r="V44" s="3"/>
      <c r="AB44" s="4"/>
      <c r="AC44" s="4"/>
    </row>
    <row r="45" s="1" customFormat="1" spans="2:29">
      <c r="G45" s="2"/>
      <c r="Q45" s="2"/>
      <c r="U45" s="2"/>
      <c r="V45" s="3"/>
      <c r="AB45" s="4"/>
      <c r="AC45" s="4"/>
    </row>
    <row r="46" s="1" customFormat="1" spans="2:29">
      <c r="G46" s="2"/>
      <c r="Q46" s="2"/>
      <c r="U46" s="2"/>
      <c r="V46" s="3"/>
      <c r="AB46" s="4"/>
      <c r="AC46" s="4"/>
    </row>
    <row r="47" s="1" customFormat="1" spans="2:29">
      <c r="G47" s="2"/>
      <c r="Q47" s="2"/>
      <c r="U47" s="2"/>
      <c r="V47" s="3"/>
      <c r="AB47" s="4"/>
      <c r="AC47" s="4"/>
    </row>
    <row r="48" s="1" customFormat="1" spans="2:29">
      <c r="G48" s="2"/>
      <c r="Q48" s="2"/>
      <c r="U48" s="2"/>
      <c r="V48" s="3"/>
      <c r="AB48" s="4"/>
      <c r="AC48" s="4"/>
    </row>
    <row r="49" s="1" customFormat="1" spans="7:29">
      <c r="G49" s="2"/>
      <c r="Q49" s="2"/>
      <c r="U49" s="2"/>
      <c r="V49" s="3"/>
      <c r="AB49" s="4"/>
      <c r="AC49" s="4"/>
    </row>
    <row r="50" s="1" customFormat="1" spans="7:29">
      <c r="G50" s="2"/>
      <c r="Q50" s="2"/>
      <c r="U50" s="2"/>
      <c r="V50" s="3"/>
      <c r="AB50" s="4"/>
      <c r="AC50" s="4"/>
    </row>
    <row r="51" s="1" customFormat="1" spans="7:29">
      <c r="G51" s="2"/>
      <c r="Q51" s="2"/>
      <c r="U51" s="2"/>
      <c r="V51" s="3"/>
      <c r="AB51" s="4"/>
      <c r="AC51" s="4"/>
    </row>
    <row r="52" s="1" customFormat="1" spans="7:29">
      <c r="G52" s="2"/>
      <c r="Q52" s="2"/>
      <c r="U52" s="2"/>
      <c r="V52" s="3"/>
      <c r="AB52" s="4"/>
      <c r="AC52" s="4"/>
    </row>
    <row r="53" s="1" customFormat="1" spans="7:29">
      <c r="G53" s="2"/>
      <c r="Q53" s="2"/>
      <c r="U53" s="2"/>
      <c r="V53" s="3"/>
      <c r="AB53" s="4"/>
      <c r="AC53" s="4"/>
    </row>
    <row r="54" s="1" customFormat="1" spans="7:29">
      <c r="G54" s="2"/>
      <c r="Q54" s="2"/>
      <c r="U54" s="2"/>
      <c r="V54" s="3"/>
      <c r="AB54" s="4"/>
      <c r="AC54" s="4"/>
    </row>
    <row r="55" s="1" customFormat="1" spans="7:29">
      <c r="G55" s="2"/>
      <c r="Q55" s="2"/>
      <c r="U55" s="2"/>
      <c r="V55" s="3"/>
      <c r="AB55" s="4"/>
      <c r="AC55" s="4"/>
    </row>
    <row r="56" s="1" customFormat="1" spans="7:29">
      <c r="G56" s="2"/>
      <c r="Q56" s="2"/>
      <c r="U56" s="2"/>
      <c r="V56" s="3"/>
      <c r="AB56" s="4"/>
      <c r="AC56" s="4"/>
    </row>
    <row r="57" s="1" customFormat="1" spans="7:29">
      <c r="G57" s="2"/>
      <c r="Q57" s="2"/>
      <c r="U57" s="2"/>
      <c r="V57" s="3"/>
      <c r="AB57" s="4"/>
      <c r="AC57" s="4"/>
    </row>
    <row r="58" s="1" customFormat="1" spans="7:29">
      <c r="G58" s="2"/>
      <c r="Q58" s="2"/>
      <c r="U58" s="2"/>
      <c r="V58" s="3"/>
      <c r="AB58" s="4"/>
      <c r="AC58" s="4"/>
    </row>
    <row r="59" s="1" customFormat="1" spans="7:29">
      <c r="G59" s="2"/>
      <c r="Q59" s="2"/>
      <c r="U59" s="2"/>
      <c r="V59" s="3"/>
      <c r="AB59" s="4"/>
      <c r="AC59" s="4"/>
    </row>
    <row r="61" s="1" customFormat="1" spans="7:29">
      <c r="G61" s="2"/>
      <c r="Q61" s="2"/>
      <c r="U61" s="2"/>
      <c r="V61" s="3"/>
      <c r="AB61" s="4"/>
      <c r="AC61" s="4"/>
    </row>
  </sheetData>
  <mergeCells count="7">
    <mergeCell ref="B2:M2"/>
    <mergeCell ref="B3:C3"/>
    <mergeCell ref="D3:E3"/>
    <mergeCell ref="F3:G3"/>
    <mergeCell ref="H3:I3"/>
    <mergeCell ref="J3:K3"/>
    <mergeCell ref="L3:M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abSelected="1" topLeftCell="A19" workbookViewId="0">
      <selection activeCell="K31" sqref="K31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15.2727272727273" style="2" customWidth="1"/>
    <col min="8" max="8" width="8.0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23.7272727272727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9.54545454545454" style="1" customWidth="1"/>
    <col min="32" max="32" width="8.54545454545454" style="1" customWidth="1"/>
    <col min="33" max="33" width="8" style="1" customWidth="1"/>
    <col min="34" max="34" width="9.54545454545454" style="1" customWidth="1"/>
    <col min="35" max="16368" width="9.69090909090909" style="1"/>
    <col min="16370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1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4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20">
        <v>1</v>
      </c>
      <c r="P3" s="21" t="s">
        <v>59</v>
      </c>
      <c r="Q3" s="22">
        <v>2.736</v>
      </c>
      <c r="R3" s="23" t="s">
        <v>59</v>
      </c>
      <c r="S3" s="24">
        <f>$C$4*(1+C$5+C$6+C$7+C$8)+C$9</f>
        <v>2578.424</v>
      </c>
      <c r="T3" s="25">
        <f>S3/$C$4-1</f>
        <v>1.54784980237154</v>
      </c>
      <c r="U3" s="25">
        <f t="shared" ref="U3:U10" si="0">IF(R3=$C$1,SUM($E$4:$E$9),SUM($E$4:$E$8))</f>
        <v>1.12</v>
      </c>
      <c r="V3" s="26">
        <f t="shared" ref="V3:V13" si="1">1+$G$10*($I$10-1)</f>
        <v>3.1027</v>
      </c>
      <c r="W3" s="27">
        <f t="shared" ref="W3:W9" si="2">IF(R3=$C$1,$K$4+$K$5,$K$4)</f>
        <v>0.25</v>
      </c>
      <c r="X3" s="26">
        <f t="shared" ref="X3:X6" si="3">$AF$3</f>
        <v>0.488431876606684</v>
      </c>
      <c r="Y3" s="23">
        <f t="shared" ref="Y3:Y6" si="4">$AG$12</f>
        <v>0.8</v>
      </c>
      <c r="Z3" s="28">
        <v>0</v>
      </c>
      <c r="AA3" s="28">
        <v>0</v>
      </c>
      <c r="AB3" s="28">
        <v>0</v>
      </c>
      <c r="AC3" s="29">
        <f t="shared" ref="AC3:AC17" si="5">Q3*$C$4*(1+T3)*(1+U3)*V3*(1+W3)*X3*Y3*(1+Z3)*(1+AA3)*(1+AB3)*O3</f>
        <v>22664.7051830314</v>
      </c>
      <c r="AD3" s="16">
        <v>0</v>
      </c>
      <c r="AE3" s="16">
        <v>0</v>
      </c>
      <c r="AF3" s="17">
        <f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25%</f>
        <v>0.25</v>
      </c>
      <c r="L4" s="31" t="s">
        <v>64</v>
      </c>
      <c r="M4" s="34">
        <f>8.6%*2</f>
        <v>0.172</v>
      </c>
      <c r="O4" s="20">
        <v>1</v>
      </c>
      <c r="P4" s="21" t="s">
        <v>189</v>
      </c>
      <c r="Q4" s="22">
        <f>65.3%+97.95%</f>
        <v>1.6325</v>
      </c>
      <c r="R4" s="23" t="s">
        <v>66</v>
      </c>
      <c r="S4" s="24">
        <f>$C$4*(1+C$5+C$6+C$7+C$8)+C$9</f>
        <v>2578.424</v>
      </c>
      <c r="T4" s="25">
        <f>S4/$C$4-1</f>
        <v>1.54784980237154</v>
      </c>
      <c r="U4" s="25">
        <f t="shared" si="0"/>
        <v>1.12</v>
      </c>
      <c r="V4" s="26">
        <f t="shared" si="1"/>
        <v>3.1027</v>
      </c>
      <c r="W4" s="27">
        <f t="shared" si="2"/>
        <v>0.25</v>
      </c>
      <c r="X4" s="26">
        <f t="shared" si="3"/>
        <v>0.488431876606684</v>
      </c>
      <c r="Y4" s="23">
        <f t="shared" si="4"/>
        <v>0.8</v>
      </c>
      <c r="Z4" s="28">
        <v>0</v>
      </c>
      <c r="AA4" s="28">
        <v>0</v>
      </c>
      <c r="AB4" s="28">
        <v>0</v>
      </c>
      <c r="AC4" s="29">
        <f t="shared" si="5"/>
        <v>13523.4397702115</v>
      </c>
      <c r="AD4" s="16">
        <v>32</v>
      </c>
      <c r="AE4" s="16">
        <v>0</v>
      </c>
      <c r="AF4" s="17">
        <f>1520/(1520+(792+8*AG4)*(1-AE4/100)*(1-AD4/100))</f>
        <v>0.584040329521702</v>
      </c>
      <c r="AG4" s="30">
        <v>100</v>
      </c>
    </row>
    <row r="5" s="1" customFormat="1" ht="15" spans="2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20">
        <v>1</v>
      </c>
      <c r="P5" s="21" t="s">
        <v>72</v>
      </c>
      <c r="Q5" s="22">
        <v>10.0402</v>
      </c>
      <c r="R5" s="23" t="s">
        <v>34</v>
      </c>
      <c r="S5" s="24">
        <f>$C$4*(1+C$5+C$6+C$7+C$8)+C$9</f>
        <v>2578.424</v>
      </c>
      <c r="T5" s="25">
        <f>S5/$C$4-1</f>
        <v>1.54784980237154</v>
      </c>
      <c r="U5" s="25">
        <f t="shared" si="0"/>
        <v>1.542</v>
      </c>
      <c r="V5" s="26">
        <f t="shared" si="1"/>
        <v>3.1027</v>
      </c>
      <c r="W5" s="27">
        <f t="shared" si="2"/>
        <v>0.5</v>
      </c>
      <c r="X5" s="26">
        <f t="shared" ref="X5:X11" si="6">$AF$4</f>
        <v>0.584040329521702</v>
      </c>
      <c r="Y5" s="23">
        <f t="shared" ref="Y5:Y11" si="7">$AG$10</f>
        <v>0.9</v>
      </c>
      <c r="Z5" s="28">
        <v>0</v>
      </c>
      <c r="AA5" s="28">
        <v>0</v>
      </c>
      <c r="AB5" s="28">
        <v>0</v>
      </c>
      <c r="AC5" s="29">
        <f t="shared" si="5"/>
        <v>160986.195359232</v>
      </c>
      <c r="AD5" s="16">
        <v>0</v>
      </c>
      <c r="AE5" s="16">
        <v>30</v>
      </c>
      <c r="AF5" s="17">
        <f>1520/(1520+(792+8*AG5)*(1-AE5/100)*(1-AD5/100))</f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20">
        <v>1</v>
      </c>
      <c r="P6" s="21" t="s">
        <v>190</v>
      </c>
      <c r="Q6" s="22">
        <f>18.57%+74.26%+3.89%*6+81.54%+11.65%</f>
        <v>2.0936</v>
      </c>
      <c r="R6" s="23" t="s">
        <v>77</v>
      </c>
      <c r="S6" s="24">
        <f t="shared" ref="S6:S13" si="8">$C$4*(1+C$5+C$6+C$7+C$8)+C$9</f>
        <v>2578.424</v>
      </c>
      <c r="T6" s="25">
        <f t="shared" ref="T6:T13" si="9">S6/$C$4-1</f>
        <v>1.54784980237154</v>
      </c>
      <c r="U6" s="38">
        <f t="shared" si="0"/>
        <v>1.12</v>
      </c>
      <c r="V6" s="26">
        <f t="shared" si="1"/>
        <v>3.1027</v>
      </c>
      <c r="W6" s="27">
        <f t="shared" si="2"/>
        <v>0.25</v>
      </c>
      <c r="X6" s="26">
        <f t="shared" si="3"/>
        <v>0.488431876606684</v>
      </c>
      <c r="Y6" s="23">
        <f t="shared" si="4"/>
        <v>0.8</v>
      </c>
      <c r="Z6" s="28">
        <v>0</v>
      </c>
      <c r="AA6" s="28">
        <v>0</v>
      </c>
      <c r="AB6" s="28">
        <v>0</v>
      </c>
      <c r="AC6" s="29">
        <f t="shared" si="5"/>
        <v>17343.1384397641</v>
      </c>
      <c r="AD6" s="16">
        <v>8</v>
      </c>
      <c r="AE6" s="16">
        <v>0</v>
      </c>
      <c r="AF6" s="17">
        <f>1520/(1520+(792+8*AG6)*(1-AE6/100)*(1-AD6/100))</f>
        <v>0.509274150316286</v>
      </c>
      <c r="AG6" s="30">
        <v>100</v>
      </c>
    </row>
    <row r="7" s="1" customFormat="1" ht="15" spans="2:33">
      <c r="B7" s="31" t="s">
        <v>78</v>
      </c>
      <c r="C7" s="34"/>
      <c r="D7" s="31" t="s">
        <v>79</v>
      </c>
      <c r="E7" s="33">
        <f>40%</f>
        <v>0.4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20">
        <v>1</v>
      </c>
      <c r="P7" s="21" t="s">
        <v>81</v>
      </c>
      <c r="Q7" s="22">
        <v>3.579</v>
      </c>
      <c r="R7" s="23" t="s">
        <v>34</v>
      </c>
      <c r="S7" s="24">
        <f t="shared" si="8"/>
        <v>2578.424</v>
      </c>
      <c r="T7" s="25">
        <f t="shared" si="9"/>
        <v>1.54784980237154</v>
      </c>
      <c r="U7" s="38">
        <f t="shared" si="0"/>
        <v>1.542</v>
      </c>
      <c r="V7" s="26">
        <f t="shared" si="1"/>
        <v>3.1027</v>
      </c>
      <c r="W7" s="27">
        <f t="shared" si="2"/>
        <v>0.5</v>
      </c>
      <c r="X7" s="26">
        <f t="shared" si="6"/>
        <v>0.584040329521702</v>
      </c>
      <c r="Y7" s="23">
        <f t="shared" si="7"/>
        <v>0.9</v>
      </c>
      <c r="Z7" s="28">
        <v>0</v>
      </c>
      <c r="AA7" s="28">
        <v>0</v>
      </c>
      <c r="AB7" s="28">
        <v>0</v>
      </c>
      <c r="AC7" s="29">
        <f t="shared" si="5"/>
        <v>57386.2665276281</v>
      </c>
    </row>
    <row r="8" s="1" customFormat="1" ht="15" spans="2:33">
      <c r="B8" s="31" t="s">
        <v>82</v>
      </c>
      <c r="C8" s="39">
        <f>25%</f>
        <v>0.25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0.4</v>
      </c>
      <c r="J8" s="37"/>
      <c r="K8" s="33"/>
      <c r="L8" s="31"/>
      <c r="M8" s="32"/>
      <c r="O8" s="20">
        <v>1</v>
      </c>
      <c r="P8" s="21" t="s">
        <v>86</v>
      </c>
      <c r="Q8" s="22">
        <v>3.4395</v>
      </c>
      <c r="R8" s="23" t="s">
        <v>77</v>
      </c>
      <c r="S8" s="24">
        <f t="shared" si="8"/>
        <v>2578.424</v>
      </c>
      <c r="T8" s="25">
        <f t="shared" si="9"/>
        <v>1.54784980237154</v>
      </c>
      <c r="U8" s="38">
        <f t="shared" si="0"/>
        <v>1.12</v>
      </c>
      <c r="V8" s="26">
        <f t="shared" si="1"/>
        <v>3.1027</v>
      </c>
      <c r="W8" s="27">
        <f t="shared" si="2"/>
        <v>0.25</v>
      </c>
      <c r="X8" s="26">
        <f t="shared" ref="X8:X13" si="10">$AF$3</f>
        <v>0.488431876606684</v>
      </c>
      <c r="Y8" s="23">
        <f t="shared" ref="Y8:Y13" si="11">$AG$12</f>
        <v>0.8</v>
      </c>
      <c r="Z8" s="28">
        <v>0</v>
      </c>
      <c r="AA8" s="28">
        <v>0</v>
      </c>
      <c r="AB8" s="28">
        <v>0</v>
      </c>
      <c r="AC8" s="29">
        <f t="shared" si="5"/>
        <v>28492.4172065192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20">
        <v>1</v>
      </c>
      <c r="P9" s="21" t="s">
        <v>90</v>
      </c>
      <c r="Q9" s="22">
        <v>3.579</v>
      </c>
      <c r="R9" s="23" t="s">
        <v>34</v>
      </c>
      <c r="S9" s="24">
        <f t="shared" si="8"/>
        <v>2578.424</v>
      </c>
      <c r="T9" s="25">
        <f t="shared" si="9"/>
        <v>1.54784980237154</v>
      </c>
      <c r="U9" s="38">
        <f t="shared" si="0"/>
        <v>1.542</v>
      </c>
      <c r="V9" s="26">
        <f t="shared" si="1"/>
        <v>3.1027</v>
      </c>
      <c r="W9" s="27">
        <f t="shared" si="2"/>
        <v>0.5</v>
      </c>
      <c r="X9" s="26">
        <f t="shared" si="6"/>
        <v>0.584040329521702</v>
      </c>
      <c r="Y9" s="23">
        <f t="shared" si="7"/>
        <v>0.9</v>
      </c>
      <c r="Z9" s="28">
        <v>0</v>
      </c>
      <c r="AA9" s="28">
        <v>0</v>
      </c>
      <c r="AB9" s="28">
        <v>0</v>
      </c>
      <c r="AC9" s="29">
        <f t="shared" si="5"/>
        <v>57386.2665276281</v>
      </c>
      <c r="AF9"/>
      <c r="AG9"/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3.15</v>
      </c>
      <c r="J10" s="47"/>
      <c r="K10" s="44"/>
      <c r="L10" s="42"/>
      <c r="M10" s="43"/>
      <c r="O10" s="20">
        <v>1</v>
      </c>
      <c r="P10" s="21" t="s">
        <v>94</v>
      </c>
      <c r="Q10" s="22">
        <v>2.32</v>
      </c>
      <c r="R10" s="23" t="s">
        <v>34</v>
      </c>
      <c r="S10" s="24">
        <f t="shared" si="8"/>
        <v>2578.424</v>
      </c>
      <c r="T10" s="25">
        <f t="shared" si="9"/>
        <v>1.54784980237154</v>
      </c>
      <c r="U10" s="38">
        <f t="shared" si="0"/>
        <v>1.542</v>
      </c>
      <c r="V10" s="26">
        <f t="shared" si="1"/>
        <v>3.1027</v>
      </c>
      <c r="W10" s="27">
        <f>IF(R10=$C$1,$K$4+$K$5,$K$4)+2</f>
        <v>2.5</v>
      </c>
      <c r="X10" s="26">
        <f t="shared" si="6"/>
        <v>0.584040329521702</v>
      </c>
      <c r="Y10" s="23">
        <f t="shared" si="7"/>
        <v>0.9</v>
      </c>
      <c r="Z10" s="28">
        <v>0</v>
      </c>
      <c r="AA10" s="28">
        <v>0</v>
      </c>
      <c r="AB10" s="28">
        <v>0</v>
      </c>
      <c r="AC10" s="29">
        <f t="shared" si="5"/>
        <v>86798.2647302487</v>
      </c>
      <c r="AF10" s="48" t="s">
        <v>34</v>
      </c>
      <c r="AG10" s="48">
        <v>0.9</v>
      </c>
    </row>
    <row r="11" s="1" customFormat="1" ht="15" spans="2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20">
        <v>1</v>
      </c>
      <c r="P11" s="21" t="s">
        <v>96</v>
      </c>
      <c r="Q11" s="22">
        <v>17.8929</v>
      </c>
      <c r="R11" s="23" t="s">
        <v>34</v>
      </c>
      <c r="S11" s="24">
        <f t="shared" si="8"/>
        <v>2578.424</v>
      </c>
      <c r="T11" s="25">
        <f t="shared" si="9"/>
        <v>1.54784980237154</v>
      </c>
      <c r="U11" s="38">
        <f>IF(R11=$C$1,SUM($E$4:$E$9),SUM($E$4:$E$8))+$E$10</f>
        <v>1.542</v>
      </c>
      <c r="V11" s="26">
        <f t="shared" si="1"/>
        <v>3.1027</v>
      </c>
      <c r="W11" s="27">
        <f>IF(R11=$C$1,$K$4+$K$5,$K$4)+$K$6</f>
        <v>0.5</v>
      </c>
      <c r="X11" s="26">
        <f t="shared" si="6"/>
        <v>0.584040329521702</v>
      </c>
      <c r="Y11" s="23">
        <f t="shared" si="7"/>
        <v>0.9</v>
      </c>
      <c r="Z11" s="28">
        <v>0</v>
      </c>
      <c r="AA11" s="28">
        <v>0</v>
      </c>
      <c r="AB11" s="28">
        <v>0</v>
      </c>
      <c r="AC11" s="29">
        <f t="shared" si="5"/>
        <v>286897.660897512</v>
      </c>
      <c r="AF11" s="52" t="s">
        <v>99</v>
      </c>
      <c r="AG11" s="52">
        <v>0.8</v>
      </c>
    </row>
    <row r="12" s="1" customFormat="1" ht="15" spans="2:33">
      <c r="B12" s="49"/>
      <c r="C12" s="49"/>
      <c r="E12" s="50"/>
      <c r="G12" s="53"/>
      <c r="J12" s="2"/>
      <c r="K12" s="2"/>
      <c r="O12" s="20">
        <v>1</v>
      </c>
      <c r="P12" s="21" t="s">
        <v>191</v>
      </c>
      <c r="Q12" s="22">
        <f>18.57%+74.26%+3.89%*6+81.54%+11.65%+40.38%+94.21%</f>
        <v>3.4395</v>
      </c>
      <c r="R12" s="23" t="s">
        <v>77</v>
      </c>
      <c r="S12" s="24">
        <f t="shared" si="8"/>
        <v>2578.424</v>
      </c>
      <c r="T12" s="25">
        <f t="shared" si="9"/>
        <v>1.54784980237154</v>
      </c>
      <c r="U12" s="38">
        <f>IF(R12=$C$1,SUM($E$4:$E$9),SUM($E$4:$E$8))</f>
        <v>1.12</v>
      </c>
      <c r="V12" s="26">
        <f t="shared" si="1"/>
        <v>3.1027</v>
      </c>
      <c r="W12" s="27">
        <f>IF(R12=$C$1,$K$4+$K$5,$K$4)</f>
        <v>0.25</v>
      </c>
      <c r="X12" s="26">
        <f t="shared" si="10"/>
        <v>0.488431876606684</v>
      </c>
      <c r="Y12" s="23">
        <f t="shared" si="11"/>
        <v>0.8</v>
      </c>
      <c r="Z12" s="28">
        <v>0</v>
      </c>
      <c r="AA12" s="28">
        <v>0</v>
      </c>
      <c r="AB12" s="28">
        <v>0</v>
      </c>
      <c r="AC12" s="29">
        <f t="shared" si="5"/>
        <v>28492.4172065192</v>
      </c>
      <c r="AF12" s="54" t="s">
        <v>103</v>
      </c>
      <c r="AG12" s="54">
        <v>0.8</v>
      </c>
    </row>
    <row r="13" s="1" customFormat="1" ht="15" spans="2:33">
      <c r="B13" s="5" t="s">
        <v>33</v>
      </c>
      <c r="C13" s="5" t="s">
        <v>102</v>
      </c>
      <c r="D13" s="6" t="s">
        <v>35</v>
      </c>
      <c r="E13" s="6">
        <v>2</v>
      </c>
      <c r="O13" s="20">
        <v>1</v>
      </c>
      <c r="P13" s="21" t="s">
        <v>192</v>
      </c>
      <c r="Q13" s="22">
        <f>23.2%*3+18.57%+74.26%+3.89%*6+81.54%+11.65%+40.38%+94.21%</f>
        <v>4.1355</v>
      </c>
      <c r="R13" s="23" t="s">
        <v>77</v>
      </c>
      <c r="S13" s="24">
        <f t="shared" si="8"/>
        <v>2578.424</v>
      </c>
      <c r="T13" s="25">
        <f t="shared" si="9"/>
        <v>1.54784980237154</v>
      </c>
      <c r="U13" s="38">
        <f>IF(R13=$C$1,SUM($E$4:$E$9),SUM($E$4:$E$8))</f>
        <v>1.12</v>
      </c>
      <c r="V13" s="26">
        <f t="shared" si="1"/>
        <v>3.1027</v>
      </c>
      <c r="W13" s="27">
        <f>IF(R13=$C$1,$K$4+$K$5,$K$4)</f>
        <v>0.25</v>
      </c>
      <c r="X13" s="26">
        <f t="shared" si="10"/>
        <v>0.488431876606684</v>
      </c>
      <c r="Y13" s="23">
        <f t="shared" si="11"/>
        <v>0.8</v>
      </c>
      <c r="Z13" s="28">
        <v>0</v>
      </c>
      <c r="AA13" s="28">
        <v>0</v>
      </c>
      <c r="AB13" s="28">
        <v>0</v>
      </c>
      <c r="AC13" s="29">
        <f t="shared" si="5"/>
        <v>34258.000103957</v>
      </c>
      <c r="AF13" s="55" t="s">
        <v>105</v>
      </c>
      <c r="AG13" s="55">
        <v>0.8</v>
      </c>
    </row>
    <row r="14" s="1" customFormat="1" ht="15" spans="2:33">
      <c r="B14" s="56" t="s">
        <v>193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O14" s="20"/>
      <c r="P14" s="21"/>
      <c r="Q14" s="22"/>
      <c r="R14" s="23"/>
      <c r="S14" s="24"/>
      <c r="T14" s="25"/>
      <c r="U14" s="38"/>
      <c r="V14" s="26"/>
      <c r="W14" s="27"/>
      <c r="X14" s="26"/>
      <c r="Y14" s="23"/>
      <c r="Z14" s="28"/>
      <c r="AA14" s="28"/>
      <c r="AB14" s="28"/>
      <c r="AC14" s="29"/>
      <c r="AD14" s="1"/>
      <c r="AE14" s="1"/>
      <c r="AF14" s="59" t="s">
        <v>194</v>
      </c>
      <c r="AG14" s="59">
        <v>0.8</v>
      </c>
    </row>
    <row r="15" s="1" customFormat="1" ht="15" spans="2:33">
      <c r="B15" s="60" t="s">
        <v>55</v>
      </c>
      <c r="C15" s="61"/>
      <c r="D15" s="60" t="s">
        <v>43</v>
      </c>
      <c r="E15" s="61"/>
      <c r="F15" s="60" t="s">
        <v>56</v>
      </c>
      <c r="G15" s="61"/>
      <c r="H15" s="60" t="s">
        <v>57</v>
      </c>
      <c r="I15" s="61"/>
      <c r="J15" s="60" t="s">
        <v>45</v>
      </c>
      <c r="K15" s="61"/>
      <c r="L15" s="60" t="s">
        <v>58</v>
      </c>
      <c r="M15" s="61"/>
      <c r="O15" s="20">
        <v>1</v>
      </c>
      <c r="P15" s="21" t="s">
        <v>96</v>
      </c>
      <c r="Q15" s="22">
        <v>17.8929</v>
      </c>
      <c r="R15" s="23" t="s">
        <v>34</v>
      </c>
      <c r="S15" s="24">
        <f t="shared" ref="S15:S25" si="12">$C$4*(1+C$5+C$6+C$7+C$8)+C$9</f>
        <v>2578.424</v>
      </c>
      <c r="T15" s="25">
        <f>S15/$C$4-1</f>
        <v>1.54784980237154</v>
      </c>
      <c r="U15" s="38">
        <f>IF(R15=$C$1,SUM($E$4:$E$9),SUM($E$4:$E$8))+$E$10</f>
        <v>1.542</v>
      </c>
      <c r="V15" s="26">
        <f>1+$G$10*($I$10-1)</f>
        <v>3.1027</v>
      </c>
      <c r="W15" s="27">
        <f>IF(R15=$C$1,$K$4+$K$5,$K$4)+$K$6</f>
        <v>0.5</v>
      </c>
      <c r="X15" s="26">
        <f>$AF$4</f>
        <v>0.584040329521702</v>
      </c>
      <c r="Y15" s="23">
        <f>$AG$10</f>
        <v>0.9</v>
      </c>
      <c r="Z15" s="28">
        <v>0</v>
      </c>
      <c r="AA15" s="28">
        <v>0</v>
      </c>
      <c r="AB15" s="28">
        <v>0</v>
      </c>
      <c r="AC15" s="29"/>
    </row>
    <row r="16" s="1" customFormat="1" ht="15" spans="2:33">
      <c r="B16" s="62" t="s">
        <v>60</v>
      </c>
      <c r="C16" s="63">
        <f>437+587</f>
        <v>1024</v>
      </c>
      <c r="D16" s="62" t="s">
        <v>61</v>
      </c>
      <c r="E16" s="64">
        <f>E13*30%</f>
        <v>0.6</v>
      </c>
      <c r="F16" s="62" t="s">
        <v>62</v>
      </c>
      <c r="G16" s="65">
        <v>0.13</v>
      </c>
      <c r="H16" s="62" t="s">
        <v>62</v>
      </c>
      <c r="I16" s="65">
        <v>1.5</v>
      </c>
      <c r="J16" s="66" t="s">
        <v>63</v>
      </c>
      <c r="K16" s="67">
        <f>25%+10%</f>
        <v>0.35</v>
      </c>
      <c r="L16" s="62" t="s">
        <v>64</v>
      </c>
      <c r="M16" s="65">
        <f>8.6%*3</f>
        <v>0.258</v>
      </c>
      <c r="O16" s="68">
        <v>1</v>
      </c>
      <c r="P16" s="69" t="s">
        <v>195</v>
      </c>
      <c r="Q16" s="70">
        <v>5.9643</v>
      </c>
      <c r="R16" s="71" t="s">
        <v>102</v>
      </c>
      <c r="S16" s="72">
        <f>$C$16*(1+C$17+C$18+C$19+C$20)+C$21</f>
        <v>2764.592</v>
      </c>
      <c r="T16" s="73">
        <f>S16/$C$16-1</f>
        <v>1.699796875</v>
      </c>
      <c r="U16" s="73">
        <f>IF(R16=$C$13,SUM($E$16:$E$21),SUM($E$16:$E$20))</f>
        <v>1.712</v>
      </c>
      <c r="V16" s="74">
        <f>1+$G$22*($I$22-1+AD16*2.5%+AE16*1%)</f>
        <v>3.1516</v>
      </c>
      <c r="W16" s="75">
        <f t="shared" ref="W16:W19" si="13">IF(R16=$C$1,$K$16+$K$17,$K$16)</f>
        <v>0.35</v>
      </c>
      <c r="X16" s="74">
        <f>$AF$6</f>
        <v>0.509274150316286</v>
      </c>
      <c r="Y16" s="71">
        <f>$AG$14</f>
        <v>0.8</v>
      </c>
      <c r="Z16" s="76">
        <v>0</v>
      </c>
      <c r="AA16" s="76">
        <v>0</v>
      </c>
      <c r="AB16" s="77">
        <v>0</v>
      </c>
      <c r="AC16" s="78">
        <f>Q16*$C$16*(1+T16)*(1+U16)*V16*(1+W16)*X16*Y16*(1+Z16)*(1+AA16)*(1+AB16)*O16</f>
        <v>77515.1679481747</v>
      </c>
      <c r="AD16" s="79">
        <v>18</v>
      </c>
      <c r="AE16" s="79"/>
    </row>
    <row r="17" s="1" customFormat="1" ht="15" spans="1:31">
      <c r="B17" s="62" t="s">
        <v>67</v>
      </c>
      <c r="C17" s="65">
        <f>12%+12%</f>
        <v>0.24</v>
      </c>
      <c r="D17" s="62" t="s">
        <v>68</v>
      </c>
      <c r="E17" s="64">
        <f>12%+10%</f>
        <v>0.22</v>
      </c>
      <c r="F17" s="62" t="s">
        <v>69</v>
      </c>
      <c r="G17" s="65">
        <v>0.243</v>
      </c>
      <c r="H17" s="62" t="s">
        <v>69</v>
      </c>
      <c r="I17" s="65">
        <v>0</v>
      </c>
      <c r="J17" s="80" t="s">
        <v>196</v>
      </c>
      <c r="K17" s="64"/>
      <c r="L17" s="62" t="s">
        <v>197</v>
      </c>
      <c r="M17" s="65">
        <f>8.6%*2</f>
        <v>0.172</v>
      </c>
      <c r="O17" s="68">
        <v>1</v>
      </c>
      <c r="P17" s="69" t="s">
        <v>198</v>
      </c>
      <c r="Q17" s="81">
        <f>39.23%+26.15%*2</f>
        <v>0.9153</v>
      </c>
      <c r="R17" s="82" t="s">
        <v>77</v>
      </c>
      <c r="S17" s="83">
        <f t="shared" ref="S17:S31" si="14">$C$16*(1+C$17+C$18+C$19+C$20)+C$21</f>
        <v>2764.592</v>
      </c>
      <c r="T17" s="84">
        <f t="shared" ref="T17:T31" si="15">S17/$C$16-1</f>
        <v>1.699796875</v>
      </c>
      <c r="U17" s="84">
        <f t="shared" ref="U17:U31" si="16">IF(R17=$C$13,SUM($E$16:$E$21),SUM($E$16:$E$20))</f>
        <v>1.22</v>
      </c>
      <c r="V17" s="85">
        <f t="shared" ref="V17:V31" si="17">1+$G$22*($I$22-1+AD17*2.5%+AE17*1%)</f>
        <v>3.1516</v>
      </c>
      <c r="W17" s="86">
        <f t="shared" si="13"/>
        <v>0.35</v>
      </c>
      <c r="X17" s="85">
        <f t="shared" ref="X17:X31" si="18">$AF$6</f>
        <v>0.509274150316286</v>
      </c>
      <c r="Y17" s="82">
        <f t="shared" ref="Y17:Y31" si="19">$AG$14</f>
        <v>0.8</v>
      </c>
      <c r="Z17" s="87">
        <v>0</v>
      </c>
      <c r="AA17" s="87">
        <v>0</v>
      </c>
      <c r="AB17" s="88">
        <v>0</v>
      </c>
      <c r="AC17" s="78">
        <f t="shared" ref="AC17:AC31" si="20">Q17*$C$16*(1+T17)*(1+U17)*V17*(1+W17)*X17*Y17*(1+Z17)*(1+AA17)*(1+AB17)*O17</f>
        <v>9737.64558878157</v>
      </c>
      <c r="AD17" s="79">
        <v>18</v>
      </c>
      <c r="AE17" s="79"/>
    </row>
    <row r="18" s="1" customFormat="1" ht="15" spans="1:31">
      <c r="B18" s="62" t="s">
        <v>73</v>
      </c>
      <c r="C18" s="65">
        <f>18%+18%+M16+(2-E13)*30%</f>
        <v>0.618</v>
      </c>
      <c r="D18" s="62" t="s">
        <v>74</v>
      </c>
      <c r="E18" s="64"/>
      <c r="F18" s="62" t="s">
        <v>75</v>
      </c>
      <c r="G18" s="65">
        <v>0.2</v>
      </c>
      <c r="H18" s="62" t="s">
        <v>75</v>
      </c>
      <c r="I18" s="65">
        <v>0</v>
      </c>
      <c r="J18" s="80" t="s">
        <v>199</v>
      </c>
      <c r="K18" s="64">
        <v>0.32</v>
      </c>
      <c r="L18" s="62" t="s">
        <v>56</v>
      </c>
      <c r="M18" s="65">
        <f>8.1*5%</f>
        <v>0.405</v>
      </c>
      <c r="O18" s="68">
        <v>1</v>
      </c>
      <c r="P18" s="69" t="s">
        <v>200</v>
      </c>
      <c r="Q18" s="81">
        <f t="shared" ref="Q18:Q23" si="21">37.88%*4+117.88%*3</f>
        <v>5.0516</v>
      </c>
      <c r="R18" s="82" t="s">
        <v>102</v>
      </c>
      <c r="S18" s="83">
        <f t="shared" si="14"/>
        <v>2764.592</v>
      </c>
      <c r="T18" s="84">
        <f t="shared" si="15"/>
        <v>1.699796875</v>
      </c>
      <c r="U18" s="84">
        <f t="shared" si="16"/>
        <v>1.712</v>
      </c>
      <c r="V18" s="85">
        <f t="shared" si="17"/>
        <v>3.1516</v>
      </c>
      <c r="W18" s="86">
        <f t="shared" si="13"/>
        <v>0.35</v>
      </c>
      <c r="X18" s="85">
        <f t="shared" si="18"/>
        <v>0.509274150316286</v>
      </c>
      <c r="Y18" s="82">
        <f t="shared" si="19"/>
        <v>0.8</v>
      </c>
      <c r="Z18" s="87">
        <v>0</v>
      </c>
      <c r="AA18" s="87">
        <v>0</v>
      </c>
      <c r="AB18" s="88">
        <v>0</v>
      </c>
      <c r="AC18" s="78">
        <f t="shared" si="20"/>
        <v>65653.2405155676</v>
      </c>
      <c r="AD18" s="79">
        <v>18</v>
      </c>
      <c r="AE18" s="79"/>
    </row>
    <row r="19" s="1" customFormat="1" ht="15" spans="1:31">
      <c r="B19" s="62" t="s">
        <v>78</v>
      </c>
      <c r="C19" s="65"/>
      <c r="D19" s="62" t="s">
        <v>79</v>
      </c>
      <c r="E19" s="64">
        <f>40%</f>
        <v>0.4</v>
      </c>
      <c r="F19" s="62" t="s">
        <v>73</v>
      </c>
      <c r="G19" s="65">
        <f>M18</f>
        <v>0.405</v>
      </c>
      <c r="H19" s="62" t="s">
        <v>73</v>
      </c>
      <c r="I19" s="65">
        <f>M19+44%</f>
        <v>1.25</v>
      </c>
      <c r="J19" s="80"/>
      <c r="K19" s="64"/>
      <c r="L19" s="62" t="s">
        <v>80</v>
      </c>
      <c r="M19" s="64">
        <f>16.2%*5</f>
        <v>0.81</v>
      </c>
      <c r="O19" s="68">
        <v>1</v>
      </c>
      <c r="P19" s="69" t="s">
        <v>102</v>
      </c>
      <c r="Q19" s="81">
        <f>105.97%*2</f>
        <v>2.1194</v>
      </c>
      <c r="R19" s="82" t="s">
        <v>102</v>
      </c>
      <c r="S19" s="83">
        <f t="shared" si="14"/>
        <v>2764.592</v>
      </c>
      <c r="T19" s="84">
        <f t="shared" si="15"/>
        <v>1.699796875</v>
      </c>
      <c r="U19" s="84">
        <f t="shared" si="16"/>
        <v>1.712</v>
      </c>
      <c r="V19" s="85">
        <f t="shared" si="17"/>
        <v>3.1516</v>
      </c>
      <c r="W19" s="86">
        <f t="shared" si="13"/>
        <v>0.35</v>
      </c>
      <c r="X19" s="85">
        <f t="shared" si="18"/>
        <v>0.509274150316286</v>
      </c>
      <c r="Y19" s="82">
        <f t="shared" si="19"/>
        <v>0.8</v>
      </c>
      <c r="Z19" s="87">
        <v>0</v>
      </c>
      <c r="AA19" s="87">
        <v>0</v>
      </c>
      <c r="AB19" s="88">
        <v>0</v>
      </c>
      <c r="AC19" s="78">
        <f t="shared" si="20"/>
        <v>27544.8329140656</v>
      </c>
      <c r="AD19" s="79">
        <v>18</v>
      </c>
      <c r="AE19" s="79"/>
    </row>
    <row r="20" s="1" customFormat="1" ht="15" spans="1:31">
      <c r="B20" s="62" t="s">
        <v>82</v>
      </c>
      <c r="C20" s="65">
        <f>25%+25%</f>
        <v>0.5</v>
      </c>
      <c r="D20" s="62" t="s">
        <v>83</v>
      </c>
      <c r="E20" s="89"/>
      <c r="F20" s="62" t="s">
        <v>84</v>
      </c>
      <c r="G20" s="65">
        <v>0</v>
      </c>
      <c r="H20" s="62" t="s">
        <v>84</v>
      </c>
      <c r="I20" s="65">
        <v>0</v>
      </c>
      <c r="J20" s="80"/>
      <c r="K20" s="64"/>
      <c r="L20" s="62"/>
      <c r="M20" s="63"/>
      <c r="O20" s="68">
        <v>1</v>
      </c>
      <c r="P20" s="69" t="s">
        <v>200</v>
      </c>
      <c r="Q20" s="81">
        <f t="shared" si="21"/>
        <v>5.0516</v>
      </c>
      <c r="R20" s="82" t="s">
        <v>102</v>
      </c>
      <c r="S20" s="83">
        <f t="shared" si="14"/>
        <v>2764.592</v>
      </c>
      <c r="T20" s="84">
        <f t="shared" si="15"/>
        <v>1.699796875</v>
      </c>
      <c r="U20" s="84">
        <f t="shared" si="16"/>
        <v>1.712</v>
      </c>
      <c r="V20" s="85">
        <f t="shared" si="17"/>
        <v>3.1516</v>
      </c>
      <c r="W20" s="86">
        <f t="shared" ref="W20:W25" si="22">IF(R20=$C$1,$K$16+$K$17,$K$16)</f>
        <v>0.35</v>
      </c>
      <c r="X20" s="85">
        <f t="shared" si="18"/>
        <v>0.509274150316286</v>
      </c>
      <c r="Y20" s="82">
        <f t="shared" si="19"/>
        <v>0.8</v>
      </c>
      <c r="Z20" s="87">
        <v>0</v>
      </c>
      <c r="AA20" s="87">
        <v>0</v>
      </c>
      <c r="AB20" s="88">
        <v>0</v>
      </c>
      <c r="AC20" s="78">
        <f t="shared" si="20"/>
        <v>65653.2405155676</v>
      </c>
      <c r="AD20" s="79">
        <v>18</v>
      </c>
      <c r="AE20" s="79"/>
    </row>
    <row r="21" s="1" customFormat="1" ht="15" spans="1:31">
      <c r="B21" s="62" t="s">
        <v>87</v>
      </c>
      <c r="C21" s="63">
        <v>350</v>
      </c>
      <c r="D21" s="62" t="s">
        <v>143</v>
      </c>
      <c r="E21" s="64">
        <f>32%+M17</f>
        <v>0.492</v>
      </c>
      <c r="F21" s="62" t="s">
        <v>89</v>
      </c>
      <c r="G21" s="65"/>
      <c r="H21" s="62" t="s">
        <v>89</v>
      </c>
      <c r="I21" s="65"/>
      <c r="J21" s="80"/>
      <c r="K21" s="64"/>
      <c r="L21" s="62"/>
      <c r="M21" s="63"/>
      <c r="O21" s="68">
        <v>1</v>
      </c>
      <c r="P21" s="69" t="s">
        <v>201</v>
      </c>
      <c r="Q21" s="81">
        <f>53.45%*2+95.43%+39.23%+26.15%*2</f>
        <v>2.9386</v>
      </c>
      <c r="R21" s="82" t="s">
        <v>77</v>
      </c>
      <c r="S21" s="83">
        <f t="shared" si="14"/>
        <v>2764.592</v>
      </c>
      <c r="T21" s="84">
        <f t="shared" si="15"/>
        <v>1.699796875</v>
      </c>
      <c r="U21" s="84">
        <f t="shared" si="16"/>
        <v>1.22</v>
      </c>
      <c r="V21" s="85">
        <f t="shared" si="17"/>
        <v>3.1516</v>
      </c>
      <c r="W21" s="86">
        <f t="shared" si="22"/>
        <v>0.35</v>
      </c>
      <c r="X21" s="85">
        <f t="shared" si="18"/>
        <v>0.509274150316286</v>
      </c>
      <c r="Y21" s="82">
        <f t="shared" si="19"/>
        <v>0.8</v>
      </c>
      <c r="Z21" s="87">
        <v>0</v>
      </c>
      <c r="AA21" s="87">
        <v>0</v>
      </c>
      <c r="AB21" s="88">
        <v>0</v>
      </c>
      <c r="AC21" s="78">
        <f t="shared" si="20"/>
        <v>31263.0234100224</v>
      </c>
      <c r="AD21" s="79">
        <v>18</v>
      </c>
      <c r="AE21" s="79"/>
    </row>
    <row r="22" s="1" customFormat="1" ht="15" spans="1:31">
      <c r="B22" s="90" t="s">
        <v>91</v>
      </c>
      <c r="C22" s="91"/>
      <c r="D22" s="90" t="s">
        <v>145</v>
      </c>
      <c r="E22" s="92">
        <f>20%+35%</f>
        <v>0.55</v>
      </c>
      <c r="F22" s="45" t="s">
        <v>92</v>
      </c>
      <c r="G22" s="46">
        <f>MIN(100%,SUM(G16:G21))</f>
        <v>0.978</v>
      </c>
      <c r="H22" s="45" t="s">
        <v>93</v>
      </c>
      <c r="I22" s="46">
        <f>SUM(I16:I21)</f>
        <v>2.75</v>
      </c>
      <c r="J22" s="93"/>
      <c r="K22" s="92"/>
      <c r="L22" s="90"/>
      <c r="M22" s="91"/>
      <c r="O22" s="68">
        <v>1</v>
      </c>
      <c r="P22" s="69" t="s">
        <v>142</v>
      </c>
      <c r="Q22" s="81">
        <f>152.39%*3</f>
        <v>4.5717</v>
      </c>
      <c r="R22" s="82" t="s">
        <v>59</v>
      </c>
      <c r="S22" s="83">
        <f t="shared" si="14"/>
        <v>2764.592</v>
      </c>
      <c r="T22" s="84">
        <f t="shared" si="15"/>
        <v>1.699796875</v>
      </c>
      <c r="U22" s="84">
        <f t="shared" ref="U22:U28" si="23">IF(R22=$C$13,SUM($E$16:$E$21),SUM($E$16:$E$20))+E$22</f>
        <v>1.77</v>
      </c>
      <c r="V22" s="85">
        <f t="shared" si="17"/>
        <v>3.1516</v>
      </c>
      <c r="W22" s="86">
        <f>IF(R22=$C$1,$K$16+$K$17,$K$16)+K$18</f>
        <v>0.67</v>
      </c>
      <c r="X22" s="85">
        <f t="shared" si="18"/>
        <v>0.509274150316286</v>
      </c>
      <c r="Y22" s="82">
        <f t="shared" si="19"/>
        <v>0.8</v>
      </c>
      <c r="Z22" s="87">
        <v>0</v>
      </c>
      <c r="AA22" s="87">
        <v>0</v>
      </c>
      <c r="AB22" s="88">
        <v>0</v>
      </c>
      <c r="AC22" s="78">
        <f t="shared" si="20"/>
        <v>75071.9544517133</v>
      </c>
      <c r="AD22" s="79">
        <v>18</v>
      </c>
      <c r="AE22" s="79"/>
    </row>
    <row r="23" s="1" customFormat="1" ht="15" spans="1:31">
      <c r="B23" s="49"/>
      <c r="C23" s="49"/>
      <c r="E23" s="50"/>
      <c r="F23" s="18" t="s">
        <v>95</v>
      </c>
      <c r="G23" s="51">
        <f>MAX(0,SUM(G16:G21)-1)</f>
        <v>0</v>
      </c>
      <c r="J23" s="2"/>
      <c r="K23" s="2"/>
      <c r="O23" s="68">
        <v>1</v>
      </c>
      <c r="P23" s="69" t="s">
        <v>200</v>
      </c>
      <c r="Q23" s="81">
        <f t="shared" si="21"/>
        <v>5.0516</v>
      </c>
      <c r="R23" s="82" t="s">
        <v>102</v>
      </c>
      <c r="S23" s="83">
        <f t="shared" si="14"/>
        <v>2764.592</v>
      </c>
      <c r="T23" s="84">
        <f t="shared" si="15"/>
        <v>1.699796875</v>
      </c>
      <c r="U23" s="84">
        <f>IF(R23=$C$13,SUM($E$16:$E$21),SUM($E$16:$E$20))</f>
        <v>1.712</v>
      </c>
      <c r="V23" s="85">
        <f t="shared" si="17"/>
        <v>3.1516</v>
      </c>
      <c r="W23" s="86">
        <f t="shared" si="22"/>
        <v>0.35</v>
      </c>
      <c r="X23" s="85">
        <f t="shared" si="18"/>
        <v>0.509274150316286</v>
      </c>
      <c r="Y23" s="82">
        <f t="shared" si="19"/>
        <v>0.8</v>
      </c>
      <c r="Z23" s="87">
        <v>0</v>
      </c>
      <c r="AA23" s="87">
        <v>0</v>
      </c>
      <c r="AB23" s="88">
        <v>0</v>
      </c>
      <c r="AC23" s="78">
        <f t="shared" si="20"/>
        <v>65653.2405155676</v>
      </c>
      <c r="AD23" s="79">
        <v>18</v>
      </c>
      <c r="AE23" s="79"/>
    </row>
    <row r="24" s="1" customFormat="1" ht="15" spans="1:31">
      <c r="B24" s="49"/>
      <c r="C24" s="49"/>
      <c r="E24" s="50"/>
      <c r="J24" s="2"/>
      <c r="K24" s="2"/>
      <c r="O24" s="68">
        <v>1</v>
      </c>
      <c r="P24" s="69" t="s">
        <v>202</v>
      </c>
      <c r="Q24" s="81">
        <f>33.01%*2+12.38%*8+495.1%</f>
        <v>6.6016</v>
      </c>
      <c r="R24" s="82" t="s">
        <v>102</v>
      </c>
      <c r="S24" s="83">
        <f t="shared" si="14"/>
        <v>2764.592</v>
      </c>
      <c r="T24" s="84">
        <f t="shared" si="15"/>
        <v>1.699796875</v>
      </c>
      <c r="U24" s="84">
        <f t="shared" si="16"/>
        <v>1.712</v>
      </c>
      <c r="V24" s="85">
        <f t="shared" si="17"/>
        <v>3.1516</v>
      </c>
      <c r="W24" s="86">
        <f t="shared" si="22"/>
        <v>0.35</v>
      </c>
      <c r="X24" s="85">
        <f t="shared" si="18"/>
        <v>0.509274150316286</v>
      </c>
      <c r="Y24" s="82">
        <f t="shared" si="19"/>
        <v>0.8</v>
      </c>
      <c r="Z24" s="87">
        <v>0</v>
      </c>
      <c r="AA24" s="87">
        <v>0</v>
      </c>
      <c r="AB24" s="88">
        <v>0</v>
      </c>
      <c r="AC24" s="78">
        <f t="shared" si="20"/>
        <v>85797.8526778784</v>
      </c>
      <c r="AD24" s="79">
        <v>18</v>
      </c>
      <c r="AE24" s="79"/>
    </row>
    <row r="25" s="1" customFormat="1" ht="15" spans="1:31">
      <c r="A25" s="94"/>
      <c r="B25" s="95" t="s">
        <v>163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O25" s="68">
        <v>1</v>
      </c>
      <c r="P25" s="69" t="s">
        <v>203</v>
      </c>
      <c r="Q25" s="81">
        <f>82.55%*AD25</f>
        <v>14.859</v>
      </c>
      <c r="R25" s="82" t="s">
        <v>102</v>
      </c>
      <c r="S25" s="83">
        <f t="shared" si="14"/>
        <v>2764.592</v>
      </c>
      <c r="T25" s="84">
        <f t="shared" si="15"/>
        <v>1.699796875</v>
      </c>
      <c r="U25" s="84">
        <f t="shared" si="16"/>
        <v>1.712</v>
      </c>
      <c r="V25" s="85">
        <f t="shared" si="17"/>
        <v>3.1516</v>
      </c>
      <c r="W25" s="86">
        <f t="shared" si="22"/>
        <v>0.35</v>
      </c>
      <c r="X25" s="85">
        <f t="shared" si="18"/>
        <v>0.509274150316286</v>
      </c>
      <c r="Y25" s="82">
        <f t="shared" si="19"/>
        <v>0.8</v>
      </c>
      <c r="Z25" s="87">
        <v>0</v>
      </c>
      <c r="AA25" s="87">
        <v>0</v>
      </c>
      <c r="AB25" s="88">
        <v>0</v>
      </c>
      <c r="AC25" s="78">
        <f t="shared" si="20"/>
        <v>193115.349754695</v>
      </c>
      <c r="AD25" s="79">
        <v>18</v>
      </c>
      <c r="AE25" s="79"/>
    </row>
    <row r="26" s="1" customFormat="1" ht="15" spans="1:31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O26" s="68">
        <v>0</v>
      </c>
      <c r="P26" s="69" t="s">
        <v>204</v>
      </c>
      <c r="Q26" s="81">
        <f t="shared" ref="Q26:Q30" si="24">104.38%+243.55%</f>
        <v>3.4793</v>
      </c>
      <c r="R26" s="82" t="s">
        <v>59</v>
      </c>
      <c r="S26" s="83">
        <f t="shared" ref="S26:S31" si="25">$C$16*(1+C$17+C$18+C$19+C$20+120%)+C$21</f>
        <v>3993.392</v>
      </c>
      <c r="T26" s="84">
        <f t="shared" si="15"/>
        <v>2.899796875</v>
      </c>
      <c r="U26" s="84">
        <f t="shared" si="23"/>
        <v>1.77</v>
      </c>
      <c r="V26" s="85">
        <f t="shared" si="17"/>
        <v>3.1516</v>
      </c>
      <c r="W26" s="86">
        <f>IF(R26=$C$1,$K$16+$K$17,$K$16)+K$18</f>
        <v>0.67</v>
      </c>
      <c r="X26" s="85">
        <f t="shared" si="18"/>
        <v>0.509274150316286</v>
      </c>
      <c r="Y26" s="82">
        <f t="shared" si="19"/>
        <v>0.8</v>
      </c>
      <c r="Z26" s="87">
        <v>0</v>
      </c>
      <c r="AA26" s="87">
        <v>0</v>
      </c>
      <c r="AB26" s="88">
        <v>0</v>
      </c>
      <c r="AC26" s="78">
        <f t="shared" si="20"/>
        <v>0</v>
      </c>
      <c r="AD26" s="79">
        <v>18</v>
      </c>
      <c r="AE26" s="79"/>
    </row>
    <row r="27" s="1" customFormat="1" ht="15" spans="1:31">
      <c r="A27" s="94">
        <v>1357</v>
      </c>
      <c r="B27" s="98" t="s">
        <v>60</v>
      </c>
      <c r="C27" s="99">
        <f>288+337</f>
        <v>625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 s="68">
        <v>1</v>
      </c>
      <c r="P27" s="69" t="s">
        <v>205</v>
      </c>
      <c r="Q27" s="81">
        <f t="shared" si="24"/>
        <v>3.4793</v>
      </c>
      <c r="R27" s="82" t="s">
        <v>59</v>
      </c>
      <c r="S27" s="83">
        <f t="shared" si="25"/>
        <v>3993.392</v>
      </c>
      <c r="T27" s="84">
        <f t="shared" si="15"/>
        <v>2.899796875</v>
      </c>
      <c r="U27" s="84">
        <f t="shared" si="23"/>
        <v>1.77</v>
      </c>
      <c r="V27" s="85">
        <f t="shared" si="17"/>
        <v>3.07825</v>
      </c>
      <c r="W27" s="86">
        <f>IF(R27=$C$1,$K$16+$K$17,$K$16)+K$18</f>
        <v>0.67</v>
      </c>
      <c r="X27" s="85">
        <f t="shared" si="18"/>
        <v>0.509274150316286</v>
      </c>
      <c r="Y27" s="82">
        <f t="shared" si="19"/>
        <v>0.8</v>
      </c>
      <c r="Z27" s="87">
        <v>0</v>
      </c>
      <c r="AA27" s="87">
        <v>0</v>
      </c>
      <c r="AB27" s="88">
        <v>0</v>
      </c>
      <c r="AC27" s="78">
        <f t="shared" si="20"/>
        <v>80607.5216999224</v>
      </c>
      <c r="AD27" s="79">
        <v>15</v>
      </c>
      <c r="AE27" s="79"/>
    </row>
    <row r="28" s="1" customFormat="1" ht="15" spans="1:31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68">
        <v>1</v>
      </c>
      <c r="P28" s="69" t="s">
        <v>205</v>
      </c>
      <c r="Q28" s="81">
        <f>99.16%+231.37%</f>
        <v>3.3053</v>
      </c>
      <c r="R28" s="82" t="s">
        <v>59</v>
      </c>
      <c r="S28" s="83">
        <f t="shared" si="25"/>
        <v>3993.392</v>
      </c>
      <c r="T28" s="84">
        <f t="shared" si="15"/>
        <v>2.899796875</v>
      </c>
      <c r="U28" s="84">
        <f t="shared" si="23"/>
        <v>1.77</v>
      </c>
      <c r="V28" s="85">
        <f t="shared" si="17"/>
        <v>3.1027</v>
      </c>
      <c r="W28" s="86">
        <f t="shared" ref="W28:W31" si="26">IF(R28=$C$1,$K$16+$K$17,$K$16)+K$18</f>
        <v>0.67</v>
      </c>
      <c r="X28" s="85">
        <f t="shared" si="18"/>
        <v>0.509274150316286</v>
      </c>
      <c r="Y28" s="82">
        <f t="shared" si="19"/>
        <v>0.8</v>
      </c>
      <c r="Z28" s="87">
        <v>0</v>
      </c>
      <c r="AA28" s="87">
        <v>0</v>
      </c>
      <c r="AB28" s="88">
        <v>0</v>
      </c>
      <c r="AC28" s="78">
        <f t="shared" si="20"/>
        <v>77184.5671437238</v>
      </c>
      <c r="AD28" s="79">
        <v>16</v>
      </c>
      <c r="AE28" s="79"/>
    </row>
    <row r="29" s="1" customFormat="1" ht="15" spans="1:31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68">
        <v>1</v>
      </c>
      <c r="P29" s="69" t="s">
        <v>206</v>
      </c>
      <c r="Q29" s="81">
        <f>99.16%+231.37%</f>
        <v>3.3053</v>
      </c>
      <c r="R29" s="82" t="s">
        <v>59</v>
      </c>
      <c r="S29" s="83">
        <f t="shared" si="25"/>
        <v>3993.392</v>
      </c>
      <c r="T29" s="84">
        <f t="shared" si="15"/>
        <v>2.899796875</v>
      </c>
      <c r="U29" s="84">
        <f t="shared" ref="U29:U31" si="27">IF(R29=$C$13,SUM($E$16:$E$21),SUM($E$16:$E$20))+E$22</f>
        <v>1.77</v>
      </c>
      <c r="V29" s="85">
        <f t="shared" si="17"/>
        <v>3.12715</v>
      </c>
      <c r="W29" s="86">
        <f t="shared" si="26"/>
        <v>0.67</v>
      </c>
      <c r="X29" s="85">
        <f t="shared" si="18"/>
        <v>0.509274150316286</v>
      </c>
      <c r="Y29" s="82">
        <f t="shared" si="19"/>
        <v>0.8</v>
      </c>
      <c r="Z29" s="87">
        <v>0</v>
      </c>
      <c r="AA29" s="87">
        <v>0</v>
      </c>
      <c r="AB29" s="88">
        <v>0</v>
      </c>
      <c r="AC29" s="78">
        <f t="shared" si="20"/>
        <v>77792.7995434608</v>
      </c>
      <c r="AD29" s="79">
        <v>17</v>
      </c>
      <c r="AE29" s="79"/>
    </row>
    <row r="30" s="1" customFormat="1" ht="15" spans="1:31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48%+40%</f>
        <v>0.88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68">
        <v>1</v>
      </c>
      <c r="P30" s="69" t="s">
        <v>207</v>
      </c>
      <c r="Q30" s="81">
        <f t="shared" si="24"/>
        <v>3.4793</v>
      </c>
      <c r="R30" s="82" t="s">
        <v>59</v>
      </c>
      <c r="S30" s="83">
        <f t="shared" si="25"/>
        <v>3993.392</v>
      </c>
      <c r="T30" s="84">
        <f t="shared" si="15"/>
        <v>2.899796875</v>
      </c>
      <c r="U30" s="84">
        <f t="shared" si="27"/>
        <v>1.77</v>
      </c>
      <c r="V30" s="85">
        <f t="shared" si="17"/>
        <v>3.1516</v>
      </c>
      <c r="W30" s="86">
        <f t="shared" si="26"/>
        <v>0.67</v>
      </c>
      <c r="X30" s="85">
        <f t="shared" si="18"/>
        <v>0.509274150316286</v>
      </c>
      <c r="Y30" s="82">
        <f t="shared" si="19"/>
        <v>0.8</v>
      </c>
      <c r="Z30" s="87">
        <v>0</v>
      </c>
      <c r="AA30" s="87">
        <v>0</v>
      </c>
      <c r="AB30" s="88">
        <v>0</v>
      </c>
      <c r="AC30" s="78">
        <f t="shared" si="20"/>
        <v>82528.2759325836</v>
      </c>
      <c r="AD30" s="79">
        <v>18</v>
      </c>
      <c r="AE30" s="79"/>
    </row>
    <row r="31" s="1" customFormat="1" ht="15" spans="1:31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/>
      <c r="I31" s="100"/>
      <c r="J31" s="103"/>
      <c r="K31" s="100"/>
      <c r="L31" s="98"/>
      <c r="M31" s="100"/>
      <c r="O31" s="107">
        <v>3</v>
      </c>
      <c r="P31" s="69" t="s">
        <v>208</v>
      </c>
      <c r="Q31" s="108">
        <f>27.84%+13.92%*2</f>
        <v>0.5568</v>
      </c>
      <c r="R31" s="109" t="s">
        <v>59</v>
      </c>
      <c r="S31" s="110">
        <f t="shared" si="25"/>
        <v>3993.392</v>
      </c>
      <c r="T31" s="111">
        <f t="shared" si="15"/>
        <v>2.899796875</v>
      </c>
      <c r="U31" s="111">
        <f t="shared" si="27"/>
        <v>1.77</v>
      </c>
      <c r="V31" s="112">
        <f t="shared" si="17"/>
        <v>3.1027</v>
      </c>
      <c r="W31" s="113">
        <f t="shared" si="26"/>
        <v>0.67</v>
      </c>
      <c r="X31" s="112">
        <f t="shared" si="18"/>
        <v>0.509274150316286</v>
      </c>
      <c r="Y31" s="109">
        <f t="shared" si="19"/>
        <v>0.8</v>
      </c>
      <c r="Z31" s="114">
        <v>0</v>
      </c>
      <c r="AA31" s="114">
        <v>0</v>
      </c>
      <c r="AB31" s="115">
        <v>0</v>
      </c>
      <c r="AC31" s="78">
        <f t="shared" si="20"/>
        <v>39006.7772840215</v>
      </c>
      <c r="AD31" s="79">
        <v>16</v>
      </c>
      <c r="AE31" s="79"/>
    </row>
    <row r="32" s="1" customFormat="1" spans="1:31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1.7</v>
      </c>
      <c r="J32" s="103"/>
      <c r="K32" s="100"/>
      <c r="L32" s="98"/>
      <c r="M32" s="99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="1" customFormat="1" ht="15" spans="1:31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25">
        <v>20</v>
      </c>
      <c r="P33" s="126" t="s">
        <v>115</v>
      </c>
      <c r="Q33" s="127">
        <v>1.0935</v>
      </c>
      <c r="R33" s="128" t="s">
        <v>116</v>
      </c>
      <c r="S33" s="128">
        <v>10027</v>
      </c>
      <c r="T33" s="127">
        <v>0</v>
      </c>
      <c r="U33" s="127">
        <v>0</v>
      </c>
      <c r="V33" s="129">
        <v>1</v>
      </c>
      <c r="W33" s="130">
        <v>0</v>
      </c>
      <c r="X33" s="129">
        <f>$AF$3</f>
        <v>0.488431876606684</v>
      </c>
      <c r="Y33" s="128">
        <f>$AG$11</f>
        <v>0.8</v>
      </c>
      <c r="Z33" s="131">
        <v>0.8</v>
      </c>
      <c r="AA33" s="131">
        <v>0</v>
      </c>
      <c r="AB33" s="131">
        <v>0.1</v>
      </c>
      <c r="AC33" s="132">
        <f>Q33*$S$36*(1+T33)*(1+U33)*V33*(1+W33)*X33*Y33*(1+Z33)*(1+AA33)*(1+AB33)*O33</f>
        <v>169659.809435476</v>
      </c>
    </row>
    <row r="34" s="1" customFormat="1" ht="15" spans="1:31">
      <c r="A34" s="94">
        <f>A27*(1+A28+A29+A30+A31)</f>
        <v>3551.269</v>
      </c>
      <c r="B34" s="133"/>
      <c r="C34" s="133">
        <f>C27*(1+C30)+C32</f>
        <v>1225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O34" s="31">
        <v>1.5</v>
      </c>
      <c r="P34" s="135" t="s">
        <v>117</v>
      </c>
      <c r="Q34" s="136">
        <v>5.9643</v>
      </c>
      <c r="R34" s="49" t="s">
        <v>116</v>
      </c>
      <c r="S34" s="49">
        <v>10027</v>
      </c>
      <c r="T34" s="136">
        <v>0</v>
      </c>
      <c r="U34" s="136">
        <v>0</v>
      </c>
      <c r="V34" s="137">
        <v>1</v>
      </c>
      <c r="W34" s="138">
        <v>0</v>
      </c>
      <c r="X34" s="137">
        <f>$AF$3</f>
        <v>0.488431876606684</v>
      </c>
      <c r="Y34" s="49">
        <f>$AG$11</f>
        <v>0.8</v>
      </c>
      <c r="Z34" s="139">
        <v>0</v>
      </c>
      <c r="AA34" s="139">
        <v>0</v>
      </c>
      <c r="AB34" s="139">
        <v>0.1</v>
      </c>
      <c r="AC34" s="140">
        <f>Q34*$S$36*(1+T34)*(1+U34)*V34*(1+W34)*X34*Y34*(1+Z34)*(1+AA34)*(1+AB34)*O34</f>
        <v>38557.4608068895</v>
      </c>
      <c r="AD34"/>
      <c r="AE34"/>
    </row>
    <row r="35" s="1" customFormat="1" ht="15" spans="1:31">
      <c r="A35" s="141"/>
      <c r="B35" s="142"/>
      <c r="C35" s="142"/>
      <c r="D35" s="142"/>
      <c r="E35" s="142"/>
      <c r="F35" s="142"/>
      <c r="G35" s="143"/>
      <c r="N35" s="49"/>
      <c r="O35" s="31">
        <v>1.5</v>
      </c>
      <c r="P35" s="135" t="s">
        <v>120</v>
      </c>
      <c r="Q35" s="136">
        <v>2.9822</v>
      </c>
      <c r="R35" s="49" t="s">
        <v>116</v>
      </c>
      <c r="S35" s="49">
        <v>10027</v>
      </c>
      <c r="T35" s="136">
        <v>0</v>
      </c>
      <c r="U35" s="136">
        <v>0</v>
      </c>
      <c r="V35" s="137">
        <v>1</v>
      </c>
      <c r="W35" s="138">
        <v>0</v>
      </c>
      <c r="X35" s="137">
        <f>$AF$3</f>
        <v>0.488431876606684</v>
      </c>
      <c r="Y35" s="49">
        <f>$AG$11</f>
        <v>0.8</v>
      </c>
      <c r="Z35" s="139">
        <v>0</v>
      </c>
      <c r="AA35" s="139">
        <v>0</v>
      </c>
      <c r="AB35" s="139">
        <v>0.1</v>
      </c>
      <c r="AC35" s="140">
        <f>Q35*$S$36*(1+T35)*(1+U35)*V35*(1+W35)*X35*Y35*(1+Z35)*(1+AA35)*(1+AB35)*O35</f>
        <v>19279.0536388689</v>
      </c>
    </row>
    <row r="36" s="1" customFormat="1" ht="15" spans="1:31">
      <c r="B36" s="144" t="s">
        <v>148</v>
      </c>
      <c r="C36" s="1" t="s">
        <v>209</v>
      </c>
      <c r="G36" s="2"/>
      <c r="N36" s="49"/>
      <c r="O36" s="42">
        <v>1.5</v>
      </c>
      <c r="P36" s="145" t="s">
        <v>123</v>
      </c>
      <c r="Q36" s="146">
        <v>16</v>
      </c>
      <c r="R36" s="147" t="s">
        <v>124</v>
      </c>
      <c r="S36" s="147">
        <v>10027</v>
      </c>
      <c r="T36" s="146">
        <v>0</v>
      </c>
      <c r="U36" s="146">
        <v>0</v>
      </c>
      <c r="V36" s="148">
        <v>1</v>
      </c>
      <c r="W36" s="149">
        <v>0</v>
      </c>
      <c r="X36" s="148">
        <f>$AF$3</f>
        <v>0.488431876606684</v>
      </c>
      <c r="Y36" s="147">
        <f>$AG$11</f>
        <v>0.8</v>
      </c>
      <c r="Z36" s="150">
        <v>0</v>
      </c>
      <c r="AA36" s="150">
        <v>0</v>
      </c>
      <c r="AB36" s="150">
        <v>0.1</v>
      </c>
      <c r="AC36" s="151">
        <f>Q36*$S$36*(1+T36)*(1+U36)*V36*(1+W36)*X36*Y36*(1+Z36)*(1+AA36)*(1+AB36)*O36</f>
        <v>103435.335732648</v>
      </c>
    </row>
    <row r="37" s="1" customFormat="1" spans="1:31">
      <c r="B37" s="152" t="s">
        <v>210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N37" s="49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="1" customFormat="1" ht="15" spans="1:31">
      <c r="B38" s="4" t="s">
        <v>36</v>
      </c>
      <c r="C38" s="154">
        <f>SUM(AC3:AC15)</f>
        <v>794228.771952251</v>
      </c>
      <c r="D38" s="154">
        <f t="shared" ref="D38:D42" si="28">C38/$E$38</f>
        <v>31769.1508780901</v>
      </c>
      <c r="E38" s="155">
        <v>25</v>
      </c>
      <c r="F38" s="156">
        <f t="shared" ref="F38:F42" si="29">C38/$C$44</f>
        <v>0.355979993878988</v>
      </c>
      <c r="G38" s="2"/>
      <c r="O38" s="157">
        <v>1</v>
      </c>
      <c r="P38" s="158" t="s">
        <v>130</v>
      </c>
      <c r="Q38" s="159">
        <v>2.0279</v>
      </c>
      <c r="R38" s="128" t="s">
        <v>66</v>
      </c>
      <c r="S38" s="160">
        <f t="shared" ref="S38:S41" si="30">C$34</f>
        <v>1225</v>
      </c>
      <c r="T38" s="127">
        <f t="shared" ref="T38:T41" si="31">S38/$C$27-1</f>
        <v>0.96</v>
      </c>
      <c r="U38" s="127">
        <f t="shared" ref="U38:U41" si="32">E$30</f>
        <v>0.88</v>
      </c>
      <c r="V38" s="129">
        <f t="shared" ref="V38:V41" si="33">1+$G$32*($I$32-1)</f>
        <v>1.3752</v>
      </c>
      <c r="W38" s="130">
        <f t="shared" ref="W38:W43" si="34">K$27</f>
        <v>0.35</v>
      </c>
      <c r="X38" s="129">
        <f t="shared" ref="X38:X43" si="35">$AF$3</f>
        <v>0.488431876606684</v>
      </c>
      <c r="Y38" s="128">
        <f t="shared" ref="Y38:Y43" si="36">$AG$12</f>
        <v>0.8</v>
      </c>
      <c r="Z38" s="131">
        <v>0</v>
      </c>
      <c r="AA38" s="131">
        <v>0</v>
      </c>
      <c r="AB38" s="36">
        <v>0</v>
      </c>
      <c r="AC38" s="29">
        <f t="shared" ref="AC38:AC43" si="37">Q38*$C$27*(1+T38)*(1+U38)*V38*(1+W38)*X38*Y38*(1+Z38)*(1+AA38)*(1+AB38)*O38</f>
        <v>3387.9273744649</v>
      </c>
    </row>
    <row r="39" s="1" customFormat="1" ht="15" spans="1:31">
      <c r="B39" s="4" t="s">
        <v>193</v>
      </c>
      <c r="C39" s="154">
        <f>SUM(AC16:AC31)</f>
        <v>1054125.48989575</v>
      </c>
      <c r="D39" s="154">
        <f t="shared" si="28"/>
        <v>42165.0195958298</v>
      </c>
      <c r="E39" s="161"/>
      <c r="F39" s="156">
        <f t="shared" si="29"/>
        <v>0.472467881663865</v>
      </c>
      <c r="G39" s="2"/>
      <c r="O39" s="162">
        <v>1</v>
      </c>
      <c r="P39" s="158" t="s">
        <v>135</v>
      </c>
      <c r="Q39" s="37">
        <f>22.27%+16.71%*2+23.86%+23.86%+17.9%*4+41.36%+10.34%*6</f>
        <v>2.7841</v>
      </c>
      <c r="R39" s="49" t="s">
        <v>77</v>
      </c>
      <c r="S39" s="163">
        <f t="shared" si="30"/>
        <v>1225</v>
      </c>
      <c r="T39" s="136">
        <f t="shared" si="31"/>
        <v>0.96</v>
      </c>
      <c r="U39" s="136">
        <f t="shared" si="32"/>
        <v>0.88</v>
      </c>
      <c r="V39" s="137">
        <f t="shared" si="33"/>
        <v>1.3752</v>
      </c>
      <c r="W39" s="138">
        <f t="shared" si="34"/>
        <v>0.35</v>
      </c>
      <c r="X39" s="137">
        <f t="shared" si="35"/>
        <v>0.488431876606684</v>
      </c>
      <c r="Y39" s="49">
        <f t="shared" si="36"/>
        <v>0.8</v>
      </c>
      <c r="Z39" s="139">
        <v>0</v>
      </c>
      <c r="AA39" s="139">
        <v>0</v>
      </c>
      <c r="AB39" s="33">
        <v>0</v>
      </c>
      <c r="AC39" s="29">
        <f t="shared" si="37"/>
        <v>4651.27896013006</v>
      </c>
    </row>
    <row r="40" s="1" customFormat="1" ht="15" spans="1:31">
      <c r="B40" s="4" t="s">
        <v>163</v>
      </c>
      <c r="C40" s="154">
        <f>SUM(AC38:AC43)+AC35</f>
        <v>51819.1563764028</v>
      </c>
      <c r="D40" s="154">
        <f t="shared" si="28"/>
        <v>2072.76625505611</v>
      </c>
      <c r="E40" s="164"/>
      <c r="F40" s="156">
        <f t="shared" si="29"/>
        <v>0.0232257803055203</v>
      </c>
      <c r="G40" s="2"/>
      <c r="O40" s="162">
        <v>1</v>
      </c>
      <c r="P40" s="158" t="s">
        <v>138</v>
      </c>
      <c r="Q40" s="37">
        <f>39.77%*4</f>
        <v>1.5908</v>
      </c>
      <c r="R40" s="49" t="s">
        <v>102</v>
      </c>
      <c r="S40" s="163">
        <f t="shared" si="30"/>
        <v>1225</v>
      </c>
      <c r="T40" s="136">
        <f t="shared" si="31"/>
        <v>0.96</v>
      </c>
      <c r="U40" s="136">
        <f t="shared" si="32"/>
        <v>0.88</v>
      </c>
      <c r="V40" s="137">
        <f t="shared" si="33"/>
        <v>1.3752</v>
      </c>
      <c r="W40" s="138">
        <f t="shared" si="34"/>
        <v>0.35</v>
      </c>
      <c r="X40" s="137">
        <f t="shared" si="35"/>
        <v>0.488431876606684</v>
      </c>
      <c r="Y40" s="49">
        <f t="shared" si="36"/>
        <v>0.8</v>
      </c>
      <c r="Z40" s="139">
        <v>0</v>
      </c>
      <c r="AA40" s="139">
        <v>0</v>
      </c>
      <c r="AB40" s="33">
        <v>0</v>
      </c>
      <c r="AC40" s="29">
        <f t="shared" si="37"/>
        <v>2657.68275915912</v>
      </c>
    </row>
    <row r="41" s="1" customFormat="1" ht="15" spans="1:31">
      <c r="B41" s="4" t="s">
        <v>116</v>
      </c>
      <c r="C41" s="154">
        <f>SUM(AC33:AC35)</f>
        <v>227496.323881234</v>
      </c>
      <c r="D41" s="154">
        <f t="shared" si="28"/>
        <v>9099.85295524936</v>
      </c>
      <c r="E41" s="164"/>
      <c r="F41" s="156">
        <f t="shared" si="29"/>
        <v>0.101965759542646</v>
      </c>
      <c r="G41" s="2"/>
      <c r="O41" s="162">
        <v>1</v>
      </c>
      <c r="P41" s="158" t="s">
        <v>142</v>
      </c>
      <c r="Q41" s="37">
        <v>3.51</v>
      </c>
      <c r="R41" s="49" t="s">
        <v>59</v>
      </c>
      <c r="S41" s="163">
        <f t="shared" si="30"/>
        <v>1225</v>
      </c>
      <c r="T41" s="136">
        <f t="shared" si="31"/>
        <v>0.96</v>
      </c>
      <c r="U41" s="136">
        <f t="shared" si="32"/>
        <v>0.88</v>
      </c>
      <c r="V41" s="137">
        <f t="shared" si="33"/>
        <v>1.3752</v>
      </c>
      <c r="W41" s="138">
        <f t="shared" si="34"/>
        <v>0.35</v>
      </c>
      <c r="X41" s="137">
        <f t="shared" si="35"/>
        <v>0.488431876606684</v>
      </c>
      <c r="Y41" s="49">
        <f t="shared" si="36"/>
        <v>0.8</v>
      </c>
      <c r="Z41" s="139">
        <v>0</v>
      </c>
      <c r="AA41" s="139">
        <v>0</v>
      </c>
      <c r="AB41" s="33">
        <v>0</v>
      </c>
      <c r="AC41" s="29">
        <f t="shared" si="37"/>
        <v>5864.00960815219</v>
      </c>
    </row>
    <row r="42" s="1" customFormat="1" ht="15" spans="1:31">
      <c r="B42" s="4" t="s">
        <v>123</v>
      </c>
      <c r="C42" s="154">
        <f>AC36</f>
        <v>103435.335732648</v>
      </c>
      <c r="D42" s="154">
        <f t="shared" si="28"/>
        <v>4137.41342930591</v>
      </c>
      <c r="E42" s="164"/>
      <c r="F42" s="156">
        <f t="shared" si="29"/>
        <v>0.0463605846089805</v>
      </c>
      <c r="G42" s="2"/>
      <c r="O42" s="162">
        <v>1</v>
      </c>
      <c r="P42" s="158" t="s">
        <v>144</v>
      </c>
      <c r="Q42" s="37">
        <v>5.2233</v>
      </c>
      <c r="R42" s="49" t="s">
        <v>34</v>
      </c>
      <c r="S42" s="163">
        <f>A34</f>
        <v>3551.269</v>
      </c>
      <c r="T42" s="136">
        <v>0</v>
      </c>
      <c r="U42" s="136">
        <f>E$30+M30</f>
        <v>1.052</v>
      </c>
      <c r="V42" s="137">
        <f>I32+1.6</f>
        <v>3.3</v>
      </c>
      <c r="W42" s="138">
        <f t="shared" si="34"/>
        <v>0.35</v>
      </c>
      <c r="X42" s="137">
        <f t="shared" si="35"/>
        <v>0.488431876606684</v>
      </c>
      <c r="Y42" s="49">
        <f t="shared" si="36"/>
        <v>0.8</v>
      </c>
      <c r="Z42" s="139">
        <v>0</v>
      </c>
      <c r="AA42" s="139">
        <v>0</v>
      </c>
      <c r="AB42" s="33">
        <v>0</v>
      </c>
      <c r="AC42" s="29">
        <f t="shared" si="37"/>
        <v>11661.2213480977</v>
      </c>
    </row>
    <row r="43" s="1" customFormat="1" ht="15" spans="1:31">
      <c r="B43" s="4"/>
      <c r="C43" s="154"/>
      <c r="D43" s="154"/>
      <c r="E43" s="164"/>
      <c r="F43" s="156"/>
      <c r="G43" s="2"/>
      <c r="O43" s="165">
        <v>1</v>
      </c>
      <c r="P43" s="158" t="s">
        <v>146</v>
      </c>
      <c r="Q43" s="47">
        <f>258.46%</f>
        <v>2.5846</v>
      </c>
      <c r="R43" s="147" t="s">
        <v>102</v>
      </c>
      <c r="S43" s="166">
        <f>C$34</f>
        <v>1225</v>
      </c>
      <c r="T43" s="146">
        <f>S43/$C$27-1</f>
        <v>0.96</v>
      </c>
      <c r="U43" s="146">
        <f>E$30</f>
        <v>0.88</v>
      </c>
      <c r="V43" s="148">
        <f>1+$G$32*($I$32-1)</f>
        <v>1.3752</v>
      </c>
      <c r="W43" s="149">
        <f t="shared" si="34"/>
        <v>0.35</v>
      </c>
      <c r="X43" s="148">
        <f t="shared" si="35"/>
        <v>0.488431876606684</v>
      </c>
      <c r="Y43" s="147">
        <f t="shared" si="36"/>
        <v>0.8</v>
      </c>
      <c r="Z43" s="150">
        <v>0</v>
      </c>
      <c r="AA43" s="150">
        <v>0</v>
      </c>
      <c r="AB43" s="44">
        <v>0</v>
      </c>
      <c r="AC43" s="29">
        <f t="shared" si="37"/>
        <v>4317.98268752995</v>
      </c>
    </row>
    <row r="44" s="1" customFormat="1" ht="15" spans="1:31">
      <c r="B44" s="4" t="s">
        <v>153</v>
      </c>
      <c r="C44" s="167">
        <f>SUM(C38:C42)</f>
        <v>2231105.07783828</v>
      </c>
      <c r="D44" s="167">
        <f>C44/E38</f>
        <v>89244.2031135313</v>
      </c>
      <c r="E44" s="168"/>
      <c r="F44" s="169"/>
      <c r="G44" s="170"/>
      <c r="Q44" s="2"/>
      <c r="U44" s="2"/>
      <c r="V44" s="3"/>
      <c r="AB44" s="4"/>
      <c r="AC44" s="4"/>
    </row>
    <row r="45" s="1" customFormat="1" spans="1:31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spans="1:31">
      <c r="B46" s="4"/>
      <c r="C46" s="4"/>
      <c r="D46" s="4"/>
      <c r="F46" s="4"/>
      <c r="G46" s="2"/>
      <c r="Q46" s="2"/>
      <c r="U46" s="2"/>
      <c r="V46" s="3"/>
      <c r="AB46" s="4"/>
      <c r="AC46" s="4"/>
    </row>
    <row r="47" s="1" customFormat="1" ht="15" spans="1:31">
      <c r="B47" s="4"/>
      <c r="C47" s="4"/>
      <c r="D47" s="4"/>
      <c r="F47" s="4"/>
      <c r="G47" s="171" t="s">
        <v>211</v>
      </c>
      <c r="H47" s="171" t="s">
        <v>150</v>
      </c>
      <c r="Q47" s="2"/>
      <c r="U47" s="2"/>
      <c r="V47" s="3"/>
      <c r="AB47" s="4"/>
      <c r="AC47" s="4"/>
    </row>
    <row r="48" s="1" customFormat="1" ht="15" spans="1:31">
      <c r="G48" s="161" t="s">
        <v>212</v>
      </c>
      <c r="Q48" s="2"/>
      <c r="U48" s="2"/>
      <c r="V48" s="3"/>
      <c r="AB48" s="4"/>
      <c r="AC48" s="4"/>
    </row>
    <row r="49" s="1" customFormat="1" ht="17.5" spans="2:29">
      <c r="B49" s="4"/>
      <c r="C49" s="4"/>
      <c r="D49" s="4"/>
      <c r="F49" s="4"/>
      <c r="G49" s="161" t="s">
        <v>213</v>
      </c>
      <c r="H49" s="172">
        <v>86360</v>
      </c>
      <c r="I49" s="1"/>
      <c r="Q49" s="2"/>
      <c r="U49" s="2"/>
      <c r="V49" s="3"/>
      <c r="AB49" s="4"/>
      <c r="AC49" s="4"/>
    </row>
    <row r="50" s="1" customFormat="1" ht="17.5" spans="2:29">
      <c r="B50" s="4"/>
      <c r="C50" s="4"/>
      <c r="D50" s="4"/>
      <c r="F50" s="4"/>
      <c r="G50" s="161" t="s">
        <v>214</v>
      </c>
      <c r="H50" s="172">
        <v>89338</v>
      </c>
      <c r="I50" s="1"/>
      <c r="Q50" s="2"/>
      <c r="U50" s="2"/>
      <c r="V50" s="3"/>
      <c r="AB50" s="4"/>
      <c r="AC50" s="4"/>
    </row>
    <row r="51" s="1" customFormat="1" ht="17.5" spans="2:29">
      <c r="G51" s="161" t="s">
        <v>215</v>
      </c>
      <c r="H51" s="172">
        <v>92421</v>
      </c>
      <c r="I51" s="1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1" s="1" customFormat="1" spans="2:29">
      <c r="G61" s="2"/>
      <c r="Q61" s="2"/>
      <c r="R61" s="1"/>
      <c r="S61" s="1"/>
      <c r="T61" s="1"/>
      <c r="U61" s="2"/>
      <c r="V61" s="3"/>
      <c r="W61" s="1"/>
      <c r="X61" s="1"/>
      <c r="Y61" s="1"/>
      <c r="Z61" s="1"/>
      <c r="AA61" s="1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1"/>
  <sheetViews>
    <sheetView topLeftCell="K10" workbookViewId="0">
      <selection activeCell="T44" sqref="T44"/>
    </sheetView>
  </sheetViews>
  <sheetFormatPr defaultColWidth="9.69090909090909" defaultRowHeight="14"/>
  <cols>
    <col min="1" max="1" width="7.54545454545455" style="1" customWidth="1"/>
    <col min="2" max="2" width="15" style="1" customWidth="1"/>
    <col min="3" max="3" width="15.3636363636364" style="1" customWidth="1"/>
    <col min="4" max="4" width="13.9090909090909" style="1" customWidth="1"/>
    <col min="5" max="5" width="9.54545454545454" style="1" customWidth="1"/>
    <col min="6" max="6" width="13.9090909090909" style="1" customWidth="1"/>
    <col min="7" max="7" width="8.45454545454546" style="2" customWidth="1"/>
    <col min="8" max="8" width="13.9090909090909" style="1" customWidth="1"/>
    <col min="9" max="9" width="8.45454545454546" style="1" customWidth="1"/>
    <col min="10" max="10" width="11.6363636363636" style="1" customWidth="1"/>
    <col min="11" max="11" width="4.72727272727273" style="1" customWidth="1"/>
    <col min="12" max="12" width="9.54545454545454" style="1" customWidth="1"/>
    <col min="13" max="13" width="7.36363636363636" style="1" customWidth="1"/>
    <col min="14" max="14" width="5.54545454545455" style="1" customWidth="1"/>
    <col min="15" max="15" width="6.09090909090909" style="1" customWidth="1"/>
    <col min="16" max="16" width="23.7272727272727" style="1" customWidth="1"/>
    <col min="17" max="17" width="9.54545454545454" style="2" customWidth="1"/>
    <col min="18" max="18" width="6.09090909090909" style="1" customWidth="1"/>
    <col min="19" max="19" width="10.4545454545455" style="1" customWidth="1"/>
    <col min="20" max="20" width="8.45454545454546" style="1" customWidth="1"/>
    <col min="21" max="21" width="8.45454545454546" style="2" customWidth="1"/>
    <col min="22" max="22" width="8.27272727272727" style="3" customWidth="1"/>
    <col min="23" max="25" width="8.27272727272727" style="1" customWidth="1"/>
    <col min="26" max="26" width="10.4545454545455" style="1" customWidth="1"/>
    <col min="27" max="27" width="8.27272727272727" style="1" customWidth="1"/>
    <col min="28" max="28" width="10.4545454545455" style="4" customWidth="1"/>
    <col min="29" max="29" width="9.45454545454546" style="4" customWidth="1"/>
    <col min="30" max="31" width="9.54545454545454" style="1" customWidth="1"/>
    <col min="32" max="32" width="8.54545454545454" style="1" customWidth="1"/>
    <col min="33" max="33" width="8" style="1" customWidth="1"/>
    <col min="34" max="34" width="9.54545454545454" style="1" customWidth="1"/>
    <col min="35" max="16379" width="9.69090909090909" style="1"/>
    <col min="16381" max="16384" width="9.69090909090909" style="1"/>
  </cols>
  <sheetData>
    <row r="1" s="1" customFormat="1" spans="2:33">
      <c r="B1" s="5" t="s">
        <v>33</v>
      </c>
      <c r="C1" s="5" t="s">
        <v>34</v>
      </c>
      <c r="D1" s="6" t="s">
        <v>35</v>
      </c>
      <c r="E1" s="6">
        <v>1</v>
      </c>
      <c r="Q1" s="2"/>
      <c r="U1" s="2"/>
      <c r="V1" s="3"/>
      <c r="AB1" s="4"/>
      <c r="AC1" s="4"/>
    </row>
    <row r="2" s="1" customFormat="1" ht="15" spans="2:33">
      <c r="B2" s="7" t="s">
        <v>36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37</v>
      </c>
      <c r="P2" s="11" t="s">
        <v>38</v>
      </c>
      <c r="Q2" s="12" t="s">
        <v>39</v>
      </c>
      <c r="R2" s="10" t="s">
        <v>40</v>
      </c>
      <c r="S2" s="10" t="s">
        <v>41</v>
      </c>
      <c r="T2" s="10" t="s">
        <v>42</v>
      </c>
      <c r="U2" s="12" t="s">
        <v>43</v>
      </c>
      <c r="V2" s="13" t="s">
        <v>44</v>
      </c>
      <c r="W2" s="10" t="s">
        <v>45</v>
      </c>
      <c r="X2" s="10" t="s">
        <v>46</v>
      </c>
      <c r="Y2" s="10" t="s">
        <v>47</v>
      </c>
      <c r="Z2" s="10" t="s">
        <v>48</v>
      </c>
      <c r="AA2" s="10" t="s">
        <v>49</v>
      </c>
      <c r="AB2" s="14" t="s">
        <v>50</v>
      </c>
      <c r="AC2" s="15" t="s">
        <v>51</v>
      </c>
      <c r="AD2" s="16" t="s">
        <v>52</v>
      </c>
      <c r="AE2" s="16" t="s">
        <v>53</v>
      </c>
      <c r="AF2" s="17" t="s">
        <v>46</v>
      </c>
      <c r="AG2" s="17" t="s">
        <v>54</v>
      </c>
    </row>
    <row r="3" s="1" customFormat="1" ht="15" spans="2:33">
      <c r="B3" s="18" t="s">
        <v>55</v>
      </c>
      <c r="C3" s="19"/>
      <c r="D3" s="18" t="s">
        <v>43</v>
      </c>
      <c r="E3" s="19"/>
      <c r="F3" s="18" t="s">
        <v>56</v>
      </c>
      <c r="G3" s="19"/>
      <c r="H3" s="18" t="s">
        <v>57</v>
      </c>
      <c r="I3" s="19"/>
      <c r="J3" s="18" t="s">
        <v>45</v>
      </c>
      <c r="K3" s="19"/>
      <c r="L3" s="18" t="s">
        <v>58</v>
      </c>
      <c r="M3" s="19"/>
      <c r="O3" s="20">
        <v>1</v>
      </c>
      <c r="P3" s="21" t="s">
        <v>59</v>
      </c>
      <c r="Q3" s="22">
        <v>2.736</v>
      </c>
      <c r="R3" s="23" t="s">
        <v>59</v>
      </c>
      <c r="S3" s="24">
        <f t="shared" ref="S3:S13" si="0">$C$4*(1+C$5+C$6+C$7+C$8)+C$9</f>
        <v>2578.424</v>
      </c>
      <c r="T3" s="25">
        <f t="shared" ref="T3:T13" si="1">S3/$C$4-1</f>
        <v>1.54784980237154</v>
      </c>
      <c r="U3" s="25">
        <f t="shared" ref="U3:U10" si="2">IF(R3=$C$1,SUM($E$4:$E$9),SUM($E$4:$E$8))</f>
        <v>1.12</v>
      </c>
      <c r="V3" s="26">
        <f t="shared" ref="V3:V13" si="3">1+$G$10*($I$10-1)</f>
        <v>3.1027</v>
      </c>
      <c r="W3" s="27">
        <f t="shared" ref="W3:W9" si="4">IF(R3=$C$1,$K$4+$K$5,$K$4)</f>
        <v>0.25</v>
      </c>
      <c r="X3" s="26">
        <f t="shared" ref="X3:X6" si="5">$AF$3</f>
        <v>0.488431876606684</v>
      </c>
      <c r="Y3" s="23">
        <f t="shared" ref="Y3:Y6" si="6">$AG$12</f>
        <v>0.8</v>
      </c>
      <c r="Z3" s="28">
        <v>0</v>
      </c>
      <c r="AA3" s="28">
        <v>0</v>
      </c>
      <c r="AB3" s="28">
        <v>0</v>
      </c>
      <c r="AC3" s="29">
        <f t="shared" ref="AC3:AC13" si="7">Q3*$C$4*(1+T3)*(1+U3)*V3*(1+W3)*X3*Y3*(1+Z3)*(1+AA3)*(1+AB3)*O3</f>
        <v>22664.7051830314</v>
      </c>
      <c r="AD3" s="16">
        <v>0</v>
      </c>
      <c r="AE3" s="16">
        <v>0</v>
      </c>
      <c r="AF3" s="17">
        <f>1520/(1520+(792+8*AG3)*(1-AE3/100))</f>
        <v>0.488431876606684</v>
      </c>
      <c r="AG3" s="30">
        <v>100</v>
      </c>
    </row>
    <row r="4" s="1" customFormat="1" ht="15" spans="2:33">
      <c r="B4" s="31" t="s">
        <v>60</v>
      </c>
      <c r="C4" s="32">
        <f>425+587</f>
        <v>1012</v>
      </c>
      <c r="D4" s="31" t="s">
        <v>61</v>
      </c>
      <c r="E4" s="33">
        <f>E1*30%</f>
        <v>0.3</v>
      </c>
      <c r="F4" s="31" t="s">
        <v>62</v>
      </c>
      <c r="G4" s="34">
        <v>0.13</v>
      </c>
      <c r="H4" s="31" t="s">
        <v>62</v>
      </c>
      <c r="I4" s="34">
        <v>1.5</v>
      </c>
      <c r="J4" s="35" t="s">
        <v>63</v>
      </c>
      <c r="K4" s="36">
        <f>25%</f>
        <v>0.25</v>
      </c>
      <c r="L4" s="31" t="s">
        <v>64</v>
      </c>
      <c r="M4" s="34">
        <f>8.6%*2</f>
        <v>0.172</v>
      </c>
      <c r="O4" s="20">
        <v>1</v>
      </c>
      <c r="P4" s="21" t="s">
        <v>189</v>
      </c>
      <c r="Q4" s="22">
        <f>65.3%+97.95%</f>
        <v>1.6325</v>
      </c>
      <c r="R4" s="23" t="s">
        <v>66</v>
      </c>
      <c r="S4" s="24">
        <f t="shared" si="0"/>
        <v>2578.424</v>
      </c>
      <c r="T4" s="25">
        <f t="shared" si="1"/>
        <v>1.54784980237154</v>
      </c>
      <c r="U4" s="25">
        <f t="shared" si="2"/>
        <v>1.12</v>
      </c>
      <c r="V4" s="26">
        <f t="shared" si="3"/>
        <v>3.1027</v>
      </c>
      <c r="W4" s="27">
        <f t="shared" si="4"/>
        <v>0.25</v>
      </c>
      <c r="X4" s="26">
        <f t="shared" si="5"/>
        <v>0.488431876606684</v>
      </c>
      <c r="Y4" s="23">
        <f t="shared" si="6"/>
        <v>0.8</v>
      </c>
      <c r="Z4" s="28">
        <v>0</v>
      </c>
      <c r="AA4" s="28">
        <v>0</v>
      </c>
      <c r="AB4" s="28">
        <v>0</v>
      </c>
      <c r="AC4" s="29">
        <f t="shared" si="7"/>
        <v>13523.4397702115</v>
      </c>
      <c r="AD4" s="16">
        <v>32</v>
      </c>
      <c r="AE4" s="16">
        <v>0</v>
      </c>
      <c r="AF4" s="17">
        <f t="shared" ref="AF4:AF6" si="8">1520/(1520+(792+8*AG4)*(1-AE4/100)*(1-AD4/100))</f>
        <v>0.584040329521702</v>
      </c>
      <c r="AG4" s="30">
        <v>100</v>
      </c>
    </row>
    <row r="5" s="1" customFormat="1" ht="15" spans="2:33">
      <c r="B5" s="31" t="s">
        <v>67</v>
      </c>
      <c r="C5" s="33">
        <v>0.12</v>
      </c>
      <c r="D5" s="31" t="s">
        <v>68</v>
      </c>
      <c r="E5" s="33">
        <v>0.3</v>
      </c>
      <c r="F5" s="31" t="s">
        <v>69</v>
      </c>
      <c r="G5" s="34">
        <v>0.243</v>
      </c>
      <c r="H5" s="31" t="s">
        <v>69</v>
      </c>
      <c r="I5" s="34">
        <v>0</v>
      </c>
      <c r="J5" s="37" t="s">
        <v>70</v>
      </c>
      <c r="K5" s="36">
        <v>0.25</v>
      </c>
      <c r="L5" s="31" t="s">
        <v>71</v>
      </c>
      <c r="M5" s="34">
        <f>8.6%*2</f>
        <v>0.172</v>
      </c>
      <c r="O5" s="20">
        <v>1</v>
      </c>
      <c r="P5" s="21" t="s">
        <v>72</v>
      </c>
      <c r="Q5" s="22">
        <v>10.0402</v>
      </c>
      <c r="R5" s="23" t="s">
        <v>34</v>
      </c>
      <c r="S5" s="24">
        <f t="shared" si="0"/>
        <v>2578.424</v>
      </c>
      <c r="T5" s="25">
        <f t="shared" si="1"/>
        <v>1.54784980237154</v>
      </c>
      <c r="U5" s="25">
        <f t="shared" si="2"/>
        <v>1.542</v>
      </c>
      <c r="V5" s="26">
        <f t="shared" si="3"/>
        <v>3.1027</v>
      </c>
      <c r="W5" s="27">
        <f t="shared" si="4"/>
        <v>0.5</v>
      </c>
      <c r="X5" s="26">
        <f t="shared" ref="X5:X11" si="9">$AF$4</f>
        <v>0.584040329521702</v>
      </c>
      <c r="Y5" s="23">
        <f t="shared" ref="Y5:Y11" si="10">$AG$10</f>
        <v>0.9</v>
      </c>
      <c r="Z5" s="28">
        <v>0</v>
      </c>
      <c r="AA5" s="28">
        <v>0</v>
      </c>
      <c r="AB5" s="28">
        <v>0</v>
      </c>
      <c r="AC5" s="29">
        <f t="shared" si="7"/>
        <v>160986.195359232</v>
      </c>
      <c r="AD5" s="16">
        <v>0</v>
      </c>
      <c r="AE5" s="16">
        <v>30</v>
      </c>
      <c r="AF5" s="17">
        <f t="shared" si="8"/>
        <v>0.57698147585788</v>
      </c>
      <c r="AG5" s="30">
        <v>100</v>
      </c>
    </row>
    <row r="6" s="1" customFormat="1" ht="15" spans="2:33">
      <c r="B6" s="31" t="s">
        <v>73</v>
      </c>
      <c r="C6" s="34">
        <f>18%+18%+M4+(2-E1)*30%</f>
        <v>0.832</v>
      </c>
      <c r="D6" s="31" t="s">
        <v>74</v>
      </c>
      <c r="E6" s="33">
        <v>0.12</v>
      </c>
      <c r="F6" s="31" t="s">
        <v>75</v>
      </c>
      <c r="G6" s="34">
        <v>0.2</v>
      </c>
      <c r="H6" s="31" t="s">
        <v>75</v>
      </c>
      <c r="I6" s="34">
        <v>0</v>
      </c>
      <c r="J6" s="37"/>
      <c r="K6" s="33"/>
      <c r="L6" s="31" t="s">
        <v>56</v>
      </c>
      <c r="M6" s="34">
        <f>8.1*5%</f>
        <v>0.405</v>
      </c>
      <c r="O6" s="20">
        <v>1</v>
      </c>
      <c r="P6" s="21" t="s">
        <v>216</v>
      </c>
      <c r="Q6" s="22">
        <f>18.57%+74.26%+3.89%*6+81.54%+11.65%</f>
        <v>2.0936</v>
      </c>
      <c r="R6" s="23" t="s">
        <v>77</v>
      </c>
      <c r="S6" s="24">
        <f t="shared" si="0"/>
        <v>2578.424</v>
      </c>
      <c r="T6" s="25">
        <f t="shared" si="1"/>
        <v>1.54784980237154</v>
      </c>
      <c r="U6" s="38">
        <f t="shared" si="2"/>
        <v>1.12</v>
      </c>
      <c r="V6" s="26">
        <f t="shared" si="3"/>
        <v>3.1027</v>
      </c>
      <c r="W6" s="27">
        <f t="shared" si="4"/>
        <v>0.25</v>
      </c>
      <c r="X6" s="26">
        <f t="shared" si="5"/>
        <v>0.488431876606684</v>
      </c>
      <c r="Y6" s="23">
        <f t="shared" si="6"/>
        <v>0.8</v>
      </c>
      <c r="Z6" s="28">
        <v>0</v>
      </c>
      <c r="AA6" s="28">
        <v>0</v>
      </c>
      <c r="AB6" s="28">
        <v>0</v>
      </c>
      <c r="AC6" s="29">
        <f t="shared" si="7"/>
        <v>17343.1384397641</v>
      </c>
      <c r="AD6" s="16">
        <v>8</v>
      </c>
      <c r="AE6" s="16">
        <v>0</v>
      </c>
      <c r="AF6" s="17">
        <f t="shared" si="8"/>
        <v>0.509274150316286</v>
      </c>
      <c r="AG6" s="30">
        <v>100</v>
      </c>
    </row>
    <row r="7" s="1" customFormat="1" ht="15" spans="2:33">
      <c r="B7" s="31" t="s">
        <v>78</v>
      </c>
      <c r="C7" s="34"/>
      <c r="D7" s="31" t="s">
        <v>79</v>
      </c>
      <c r="E7" s="33">
        <f>40%</f>
        <v>0.4</v>
      </c>
      <c r="F7" s="31" t="s">
        <v>73</v>
      </c>
      <c r="G7" s="34">
        <f>M6</f>
        <v>0.405</v>
      </c>
      <c r="H7" s="31" t="s">
        <v>73</v>
      </c>
      <c r="I7" s="34">
        <f>M7+44%</f>
        <v>1.25</v>
      </c>
      <c r="J7" s="37"/>
      <c r="K7" s="33"/>
      <c r="L7" s="31" t="s">
        <v>80</v>
      </c>
      <c r="M7" s="33">
        <f>16.2%*5</f>
        <v>0.81</v>
      </c>
      <c r="O7" s="20">
        <v>1</v>
      </c>
      <c r="P7" s="21" t="s">
        <v>81</v>
      </c>
      <c r="Q7" s="22">
        <v>3.579</v>
      </c>
      <c r="R7" s="23" t="s">
        <v>34</v>
      </c>
      <c r="S7" s="24">
        <f t="shared" si="0"/>
        <v>2578.424</v>
      </c>
      <c r="T7" s="25">
        <f t="shared" si="1"/>
        <v>1.54784980237154</v>
      </c>
      <c r="U7" s="38">
        <f t="shared" si="2"/>
        <v>1.542</v>
      </c>
      <c r="V7" s="26">
        <f t="shared" si="3"/>
        <v>3.1027</v>
      </c>
      <c r="W7" s="27">
        <f t="shared" si="4"/>
        <v>0.5</v>
      </c>
      <c r="X7" s="26">
        <f t="shared" si="9"/>
        <v>0.584040329521702</v>
      </c>
      <c r="Y7" s="23">
        <f t="shared" si="10"/>
        <v>0.9</v>
      </c>
      <c r="Z7" s="28">
        <v>0</v>
      </c>
      <c r="AA7" s="28">
        <v>0</v>
      </c>
      <c r="AB7" s="28">
        <v>0</v>
      </c>
      <c r="AC7" s="29">
        <f t="shared" si="7"/>
        <v>57386.2665276281</v>
      </c>
    </row>
    <row r="8" s="1" customFormat="1" ht="15" spans="2:33">
      <c r="B8" s="31" t="s">
        <v>82</v>
      </c>
      <c r="C8" s="39">
        <f>25%</f>
        <v>0.25</v>
      </c>
      <c r="D8" s="31" t="s">
        <v>83</v>
      </c>
      <c r="E8" s="40"/>
      <c r="F8" s="31" t="s">
        <v>84</v>
      </c>
      <c r="G8" s="34">
        <v>0</v>
      </c>
      <c r="H8" s="31" t="s">
        <v>85</v>
      </c>
      <c r="I8" s="34">
        <v>0.4</v>
      </c>
      <c r="J8" s="37"/>
      <c r="K8" s="33"/>
      <c r="L8" s="31"/>
      <c r="M8" s="32"/>
      <c r="O8" s="20">
        <v>1</v>
      </c>
      <c r="P8" s="21" t="s">
        <v>86</v>
      </c>
      <c r="Q8" s="22">
        <v>3.4395</v>
      </c>
      <c r="R8" s="23" t="s">
        <v>77</v>
      </c>
      <c r="S8" s="24">
        <f t="shared" si="0"/>
        <v>2578.424</v>
      </c>
      <c r="T8" s="25">
        <f t="shared" si="1"/>
        <v>1.54784980237154</v>
      </c>
      <c r="U8" s="38">
        <f t="shared" si="2"/>
        <v>1.12</v>
      </c>
      <c r="V8" s="26">
        <f t="shared" si="3"/>
        <v>3.1027</v>
      </c>
      <c r="W8" s="27">
        <f t="shared" si="4"/>
        <v>0.25</v>
      </c>
      <c r="X8" s="26">
        <f t="shared" ref="X8:X13" si="11">$AF$3</f>
        <v>0.488431876606684</v>
      </c>
      <c r="Y8" s="23">
        <f t="shared" ref="Y8:Y13" si="12">$AG$12</f>
        <v>0.8</v>
      </c>
      <c r="Z8" s="28">
        <v>0</v>
      </c>
      <c r="AA8" s="28">
        <v>0</v>
      </c>
      <c r="AB8" s="28">
        <v>0</v>
      </c>
      <c r="AC8" s="29">
        <f t="shared" si="7"/>
        <v>28492.4172065192</v>
      </c>
    </row>
    <row r="9" s="1" customFormat="1" ht="15" spans="2:33">
      <c r="B9" s="31" t="s">
        <v>87</v>
      </c>
      <c r="C9" s="32">
        <v>350</v>
      </c>
      <c r="D9" s="31" t="s">
        <v>88</v>
      </c>
      <c r="E9" s="41">
        <f>25%+M5</f>
        <v>0.422</v>
      </c>
      <c r="F9" s="31" t="s">
        <v>89</v>
      </c>
      <c r="G9" s="34"/>
      <c r="H9" s="31" t="s">
        <v>89</v>
      </c>
      <c r="I9" s="34"/>
      <c r="J9" s="37"/>
      <c r="K9" s="33"/>
      <c r="L9" s="31"/>
      <c r="M9" s="32"/>
      <c r="O9" s="20">
        <v>1</v>
      </c>
      <c r="P9" s="21" t="s">
        <v>90</v>
      </c>
      <c r="Q9" s="22">
        <v>3.579</v>
      </c>
      <c r="R9" s="23" t="s">
        <v>34</v>
      </c>
      <c r="S9" s="24">
        <f t="shared" si="0"/>
        <v>2578.424</v>
      </c>
      <c r="T9" s="25">
        <f t="shared" si="1"/>
        <v>1.54784980237154</v>
      </c>
      <c r="U9" s="38">
        <f t="shared" si="2"/>
        <v>1.542</v>
      </c>
      <c r="V9" s="26">
        <f t="shared" si="3"/>
        <v>3.1027</v>
      </c>
      <c r="W9" s="27">
        <f t="shared" si="4"/>
        <v>0.5</v>
      </c>
      <c r="X9" s="26">
        <f t="shared" si="9"/>
        <v>0.584040329521702</v>
      </c>
      <c r="Y9" s="23">
        <f t="shared" si="10"/>
        <v>0.9</v>
      </c>
      <c r="Z9" s="28">
        <v>0</v>
      </c>
      <c r="AA9" s="28">
        <v>0</v>
      </c>
      <c r="AB9" s="28">
        <v>0</v>
      </c>
      <c r="AC9" s="29">
        <f t="shared" si="7"/>
        <v>57386.2665276281</v>
      </c>
      <c r="AF9"/>
      <c r="AG9"/>
    </row>
    <row r="10" s="1" customFormat="1" ht="15" spans="2:33">
      <c r="B10" s="42" t="s">
        <v>91</v>
      </c>
      <c r="C10" s="43"/>
      <c r="D10" s="42"/>
      <c r="E10" s="44"/>
      <c r="F10" s="45" t="s">
        <v>92</v>
      </c>
      <c r="G10" s="46">
        <f>MIN(100%,SUM(G4:G9))</f>
        <v>0.978</v>
      </c>
      <c r="H10" s="45" t="s">
        <v>93</v>
      </c>
      <c r="I10" s="46">
        <f>SUM(I4:I9)</f>
        <v>3.15</v>
      </c>
      <c r="J10" s="47"/>
      <c r="K10" s="44"/>
      <c r="L10" s="42"/>
      <c r="M10" s="43"/>
      <c r="O10" s="20">
        <v>1</v>
      </c>
      <c r="P10" s="21" t="s">
        <v>94</v>
      </c>
      <c r="Q10" s="22">
        <v>2.32</v>
      </c>
      <c r="R10" s="23" t="s">
        <v>34</v>
      </c>
      <c r="S10" s="24">
        <f t="shared" si="0"/>
        <v>2578.424</v>
      </c>
      <c r="T10" s="25">
        <f t="shared" si="1"/>
        <v>1.54784980237154</v>
      </c>
      <c r="U10" s="38">
        <f t="shared" si="2"/>
        <v>1.542</v>
      </c>
      <c r="V10" s="26">
        <f t="shared" si="3"/>
        <v>3.1027</v>
      </c>
      <c r="W10" s="27">
        <f>IF(R10=$C$1,$K$4+$K$5,$K$4)+2</f>
        <v>2.5</v>
      </c>
      <c r="X10" s="26">
        <f t="shared" si="9"/>
        <v>0.584040329521702</v>
      </c>
      <c r="Y10" s="23">
        <f t="shared" si="10"/>
        <v>0.9</v>
      </c>
      <c r="Z10" s="28">
        <v>0</v>
      </c>
      <c r="AA10" s="28">
        <v>0</v>
      </c>
      <c r="AB10" s="28">
        <v>0</v>
      </c>
      <c r="AC10" s="29">
        <f t="shared" si="7"/>
        <v>86798.2647302487</v>
      </c>
      <c r="AF10" s="48" t="s">
        <v>34</v>
      </c>
      <c r="AG10" s="48">
        <v>0.9</v>
      </c>
    </row>
    <row r="11" s="1" customFormat="1" ht="15" spans="2:33">
      <c r="B11" s="49"/>
      <c r="C11" s="49"/>
      <c r="E11" s="50"/>
      <c r="F11" s="18" t="s">
        <v>95</v>
      </c>
      <c r="G11" s="51">
        <f>MAX(0,SUM(G4:G9)-1)</f>
        <v>0</v>
      </c>
      <c r="J11" s="2"/>
      <c r="K11" s="2"/>
      <c r="O11" s="20">
        <v>1</v>
      </c>
      <c r="P11" s="21" t="s">
        <v>96</v>
      </c>
      <c r="Q11" s="22">
        <v>17.8929</v>
      </c>
      <c r="R11" s="23" t="s">
        <v>34</v>
      </c>
      <c r="S11" s="24">
        <f t="shared" si="0"/>
        <v>2578.424</v>
      </c>
      <c r="T11" s="25">
        <f t="shared" si="1"/>
        <v>1.54784980237154</v>
      </c>
      <c r="U11" s="38">
        <f>IF(R11=$C$1,SUM($E$4:$E$9),SUM($E$4:$E$8))+$E$10</f>
        <v>1.542</v>
      </c>
      <c r="V11" s="26">
        <f t="shared" si="3"/>
        <v>3.1027</v>
      </c>
      <c r="W11" s="27">
        <f>IF(R11=$C$1,$K$4+$K$5,$K$4)+$K$6</f>
        <v>0.5</v>
      </c>
      <c r="X11" s="26">
        <f t="shared" si="9"/>
        <v>0.584040329521702</v>
      </c>
      <c r="Y11" s="23">
        <f t="shared" si="10"/>
        <v>0.9</v>
      </c>
      <c r="Z11" s="28">
        <v>0</v>
      </c>
      <c r="AA11" s="28">
        <v>0</v>
      </c>
      <c r="AB11" s="28">
        <v>0</v>
      </c>
      <c r="AC11" s="29">
        <f t="shared" si="7"/>
        <v>286897.660897512</v>
      </c>
      <c r="AF11" s="52" t="s">
        <v>99</v>
      </c>
      <c r="AG11" s="52">
        <v>0.8</v>
      </c>
    </row>
    <row r="12" s="1" customFormat="1" ht="15" spans="2:33">
      <c r="B12" s="49"/>
      <c r="C12" s="49"/>
      <c r="E12" s="50"/>
      <c r="G12" s="53"/>
      <c r="J12" s="2"/>
      <c r="K12" s="2"/>
      <c r="O12" s="20">
        <v>1</v>
      </c>
      <c r="P12" s="21" t="s">
        <v>191</v>
      </c>
      <c r="Q12" s="22">
        <f>18.57%+74.26%+3.89%*6+81.54%+11.65%+40.38%+94.21%</f>
        <v>3.4395</v>
      </c>
      <c r="R12" s="23" t="s">
        <v>77</v>
      </c>
      <c r="S12" s="24">
        <f t="shared" si="0"/>
        <v>2578.424</v>
      </c>
      <c r="T12" s="25">
        <f t="shared" si="1"/>
        <v>1.54784980237154</v>
      </c>
      <c r="U12" s="38">
        <f>IF(R12=$C$1,SUM($E$4:$E$9),SUM($E$4:$E$8))</f>
        <v>1.12</v>
      </c>
      <c r="V12" s="26">
        <f t="shared" si="3"/>
        <v>3.1027</v>
      </c>
      <c r="W12" s="27">
        <f>IF(R12=$C$1,$K$4+$K$5,$K$4)</f>
        <v>0.25</v>
      </c>
      <c r="X12" s="26">
        <f t="shared" si="11"/>
        <v>0.488431876606684</v>
      </c>
      <c r="Y12" s="23">
        <f t="shared" si="12"/>
        <v>0.8</v>
      </c>
      <c r="Z12" s="28">
        <v>0</v>
      </c>
      <c r="AA12" s="28">
        <v>0</v>
      </c>
      <c r="AB12" s="28">
        <v>0</v>
      </c>
      <c r="AC12" s="29">
        <f t="shared" si="7"/>
        <v>28492.4172065192</v>
      </c>
      <c r="AF12" s="54" t="s">
        <v>103</v>
      </c>
      <c r="AG12" s="54">
        <v>0.8</v>
      </c>
    </row>
    <row r="13" s="1" customFormat="1" ht="15" spans="2:33">
      <c r="B13" s="5" t="s">
        <v>33</v>
      </c>
      <c r="C13" s="5" t="s">
        <v>102</v>
      </c>
      <c r="D13" s="6" t="s">
        <v>35</v>
      </c>
      <c r="E13" s="6">
        <v>2</v>
      </c>
      <c r="O13" s="20">
        <v>1</v>
      </c>
      <c r="P13" s="21" t="s">
        <v>192</v>
      </c>
      <c r="Q13" s="22">
        <f>23.2%*3+18.57%+74.26%+3.89%*6+81.54%+11.65%+40.38%+94.21%</f>
        <v>4.1355</v>
      </c>
      <c r="R13" s="23" t="s">
        <v>77</v>
      </c>
      <c r="S13" s="24">
        <f t="shared" si="0"/>
        <v>2578.424</v>
      </c>
      <c r="T13" s="25">
        <f t="shared" si="1"/>
        <v>1.54784980237154</v>
      </c>
      <c r="U13" s="38">
        <f>IF(R13=$C$1,SUM($E$4:$E$9),SUM($E$4:$E$8))</f>
        <v>1.12</v>
      </c>
      <c r="V13" s="26">
        <f t="shared" si="3"/>
        <v>3.1027</v>
      </c>
      <c r="W13" s="27">
        <f>IF(R13=$C$1,$K$4+$K$5,$K$4)</f>
        <v>0.25</v>
      </c>
      <c r="X13" s="26">
        <f t="shared" si="11"/>
        <v>0.488431876606684</v>
      </c>
      <c r="Y13" s="23">
        <f t="shared" si="12"/>
        <v>0.8</v>
      </c>
      <c r="Z13" s="28">
        <v>0</v>
      </c>
      <c r="AA13" s="28">
        <v>0</v>
      </c>
      <c r="AB13" s="28">
        <v>0</v>
      </c>
      <c r="AC13" s="29">
        <f t="shared" si="7"/>
        <v>34258.000103957</v>
      </c>
      <c r="AF13" s="55" t="s">
        <v>105</v>
      </c>
      <c r="AG13" s="55">
        <v>0.8</v>
      </c>
    </row>
    <row r="14" s="1" customFormat="1" ht="15" spans="2:33">
      <c r="B14" s="56" t="s">
        <v>193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8"/>
      <c r="O14" s="20"/>
      <c r="P14" s="21"/>
      <c r="Q14" s="22"/>
      <c r="R14" s="23"/>
      <c r="S14" s="24"/>
      <c r="T14" s="25"/>
      <c r="U14" s="38"/>
      <c r="V14" s="26"/>
      <c r="W14" s="27"/>
      <c r="X14" s="26"/>
      <c r="Y14" s="23"/>
      <c r="Z14" s="28"/>
      <c r="AA14" s="28"/>
      <c r="AB14" s="28"/>
      <c r="AC14" s="29"/>
      <c r="AF14" s="59" t="s">
        <v>194</v>
      </c>
      <c r="AG14" s="59">
        <v>0.8</v>
      </c>
    </row>
    <row r="15" s="1" customFormat="1" ht="15" spans="2:33">
      <c r="B15" s="60" t="s">
        <v>55</v>
      </c>
      <c r="C15" s="61"/>
      <c r="D15" s="60" t="s">
        <v>43</v>
      </c>
      <c r="E15" s="61"/>
      <c r="F15" s="60" t="s">
        <v>56</v>
      </c>
      <c r="G15" s="61"/>
      <c r="H15" s="60" t="s">
        <v>57</v>
      </c>
      <c r="I15" s="61"/>
      <c r="J15" s="60" t="s">
        <v>45</v>
      </c>
      <c r="K15" s="61"/>
      <c r="L15" s="60" t="s">
        <v>58</v>
      </c>
      <c r="M15" s="61"/>
      <c r="O15" s="20">
        <v>1</v>
      </c>
      <c r="P15" s="21" t="s">
        <v>96</v>
      </c>
      <c r="Q15" s="22">
        <v>17.8929</v>
      </c>
      <c r="R15" s="23" t="s">
        <v>34</v>
      </c>
      <c r="S15" s="24">
        <f>$C$4*(1+C$5+C$6+C$7+C$8)+C$9</f>
        <v>2578.424</v>
      </c>
      <c r="T15" s="25">
        <f>S15/$C$4-1</f>
        <v>1.54784980237154</v>
      </c>
      <c r="U15" s="38">
        <f>IF(R15=$C$1,SUM($E$4:$E$9),SUM($E$4:$E$8))+$E$10</f>
        <v>1.542</v>
      </c>
      <c r="V15" s="26">
        <f>1+$G$10*($I$10-1)</f>
        <v>3.1027</v>
      </c>
      <c r="W15" s="27">
        <f>IF(R15=$C$1,$K$4+$K$5,$K$4)+$K$6</f>
        <v>0.5</v>
      </c>
      <c r="X15" s="26">
        <f>$AF$4</f>
        <v>0.584040329521702</v>
      </c>
      <c r="Y15" s="23">
        <f>$AG$10</f>
        <v>0.9</v>
      </c>
      <c r="Z15" s="28">
        <v>0</v>
      </c>
      <c r="AA15" s="28">
        <v>0</v>
      </c>
      <c r="AB15" s="28">
        <v>0</v>
      </c>
      <c r="AC15" s="29"/>
    </row>
    <row r="16" s="1" customFormat="1" ht="15" spans="2:33">
      <c r="B16" s="62" t="s">
        <v>60</v>
      </c>
      <c r="C16" s="63">
        <f>437+587</f>
        <v>1024</v>
      </c>
      <c r="D16" s="62" t="s">
        <v>61</v>
      </c>
      <c r="E16" s="64">
        <f>E13*30%</f>
        <v>0.6</v>
      </c>
      <c r="F16" s="62" t="s">
        <v>62</v>
      </c>
      <c r="G16" s="65">
        <v>0.13</v>
      </c>
      <c r="H16" s="62" t="s">
        <v>62</v>
      </c>
      <c r="I16" s="65">
        <v>1.5</v>
      </c>
      <c r="J16" s="66" t="s">
        <v>63</v>
      </c>
      <c r="K16" s="67">
        <f>25%+10%</f>
        <v>0.35</v>
      </c>
      <c r="L16" s="62" t="s">
        <v>64</v>
      </c>
      <c r="M16" s="65">
        <f>8.6%*3</f>
        <v>0.258</v>
      </c>
      <c r="O16" s="68">
        <v>1</v>
      </c>
      <c r="P16" s="69" t="s">
        <v>195</v>
      </c>
      <c r="Q16" s="70">
        <v>5.9643</v>
      </c>
      <c r="R16" s="71" t="s">
        <v>102</v>
      </c>
      <c r="S16" s="72">
        <f t="shared" ref="S16:S25" si="13">$C$16*(1+C$17+C$18+C$19+C$20)+C$21</f>
        <v>2764.592</v>
      </c>
      <c r="T16" s="73">
        <f t="shared" ref="T16:T31" si="14">S16/$C$16-1</f>
        <v>1.699796875</v>
      </c>
      <c r="U16" s="73">
        <f t="shared" ref="U16:U21" si="15">IF(R16=$C$13,SUM($E$16:$E$21),SUM($E$16:$E$20))</f>
        <v>1.712</v>
      </c>
      <c r="V16" s="74">
        <f t="shared" ref="V16:V31" si="16">1+$G$22*($I$22-1+AD16*2.5%+AE16*1%)</f>
        <v>3.0538</v>
      </c>
      <c r="W16" s="75">
        <f t="shared" ref="W16:W21" si="17">IF(R16=$C$1,$K$16+$K$17,$K$16)</f>
        <v>0.35</v>
      </c>
      <c r="X16" s="74">
        <f t="shared" ref="X16:X31" si="18">$AF$6</f>
        <v>0.509274150316286</v>
      </c>
      <c r="Y16" s="71">
        <f t="shared" ref="Y16:Y31" si="19">$AG$14</f>
        <v>0.8</v>
      </c>
      <c r="Z16" s="76">
        <v>0</v>
      </c>
      <c r="AA16" s="76">
        <v>0</v>
      </c>
      <c r="AB16" s="77">
        <v>0</v>
      </c>
      <c r="AC16" s="78">
        <f t="shared" ref="AC16:AC31" si="20">Q16*$C$16*(1+T16)*(1+U16)*V16*(1+W16)*X16*Y16*(1+Z16)*(1+AA16)*(1+AB16)*O16</f>
        <v>75109.7283538952</v>
      </c>
      <c r="AD16" s="79">
        <v>14</v>
      </c>
      <c r="AE16" s="79"/>
    </row>
    <row r="17" s="1" customFormat="1" ht="15" spans="1:31">
      <c r="B17" s="62" t="s">
        <v>67</v>
      </c>
      <c r="C17" s="65">
        <f>12%+12%</f>
        <v>0.24</v>
      </c>
      <c r="D17" s="62" t="s">
        <v>68</v>
      </c>
      <c r="E17" s="64">
        <f>12%+10%</f>
        <v>0.22</v>
      </c>
      <c r="F17" s="62" t="s">
        <v>69</v>
      </c>
      <c r="G17" s="65">
        <v>0.243</v>
      </c>
      <c r="H17" s="62" t="s">
        <v>69</v>
      </c>
      <c r="I17" s="65">
        <v>0</v>
      </c>
      <c r="J17" s="80" t="s">
        <v>196</v>
      </c>
      <c r="K17" s="64"/>
      <c r="L17" s="62" t="s">
        <v>197</v>
      </c>
      <c r="M17" s="65">
        <f>8.6%*2</f>
        <v>0.172</v>
      </c>
      <c r="O17" s="68">
        <v>1</v>
      </c>
      <c r="P17" s="69" t="s">
        <v>198</v>
      </c>
      <c r="Q17" s="81">
        <f>39.23%+26.15%*2</f>
        <v>0.9153</v>
      </c>
      <c r="R17" s="82" t="s">
        <v>77</v>
      </c>
      <c r="S17" s="83">
        <f t="shared" si="13"/>
        <v>2764.592</v>
      </c>
      <c r="T17" s="84">
        <f t="shared" si="14"/>
        <v>1.699796875</v>
      </c>
      <c r="U17" s="84">
        <f t="shared" si="15"/>
        <v>1.22</v>
      </c>
      <c r="V17" s="85">
        <f t="shared" si="16"/>
        <v>3.0538</v>
      </c>
      <c r="W17" s="86">
        <f t="shared" si="17"/>
        <v>0.35</v>
      </c>
      <c r="X17" s="85">
        <f t="shared" si="18"/>
        <v>0.509274150316286</v>
      </c>
      <c r="Y17" s="82">
        <f t="shared" si="19"/>
        <v>0.8</v>
      </c>
      <c r="Z17" s="87">
        <v>0</v>
      </c>
      <c r="AA17" s="87">
        <v>0</v>
      </c>
      <c r="AB17" s="88">
        <v>0</v>
      </c>
      <c r="AC17" s="78">
        <f t="shared" si="20"/>
        <v>9435.4683649642</v>
      </c>
      <c r="AD17" s="79">
        <v>14</v>
      </c>
      <c r="AE17" s="79"/>
    </row>
    <row r="18" s="1" customFormat="1" ht="15" spans="1:31">
      <c r="B18" s="62" t="s">
        <v>73</v>
      </c>
      <c r="C18" s="65">
        <f>18%+18%+M16+(2-E13)*30%</f>
        <v>0.618</v>
      </c>
      <c r="D18" s="62" t="s">
        <v>74</v>
      </c>
      <c r="E18" s="64"/>
      <c r="F18" s="62" t="s">
        <v>75</v>
      </c>
      <c r="G18" s="65">
        <v>0.2</v>
      </c>
      <c r="H18" s="62" t="s">
        <v>75</v>
      </c>
      <c r="I18" s="65">
        <v>0</v>
      </c>
      <c r="J18" s="80" t="s">
        <v>199</v>
      </c>
      <c r="K18" s="64">
        <v>0.32</v>
      </c>
      <c r="L18" s="62" t="s">
        <v>56</v>
      </c>
      <c r="M18" s="65">
        <f>8.1*5%</f>
        <v>0.405</v>
      </c>
      <c r="O18" s="68">
        <v>1</v>
      </c>
      <c r="P18" s="69" t="s">
        <v>200</v>
      </c>
      <c r="Q18" s="81">
        <f t="shared" ref="Q18:Q23" si="21">37.88%*4+117.88%*3</f>
        <v>5.0516</v>
      </c>
      <c r="R18" s="82" t="s">
        <v>102</v>
      </c>
      <c r="S18" s="83">
        <f t="shared" si="13"/>
        <v>2764.592</v>
      </c>
      <c r="T18" s="84">
        <f t="shared" si="14"/>
        <v>1.699796875</v>
      </c>
      <c r="U18" s="84">
        <f t="shared" si="15"/>
        <v>1.712</v>
      </c>
      <c r="V18" s="85">
        <f t="shared" si="16"/>
        <v>3.0538</v>
      </c>
      <c r="W18" s="86">
        <f t="shared" si="17"/>
        <v>0.35</v>
      </c>
      <c r="X18" s="85">
        <f t="shared" si="18"/>
        <v>0.509274150316286</v>
      </c>
      <c r="Y18" s="82">
        <f t="shared" si="19"/>
        <v>0.8</v>
      </c>
      <c r="Z18" s="87">
        <v>0</v>
      </c>
      <c r="AA18" s="87">
        <v>0</v>
      </c>
      <c r="AB18" s="88">
        <v>0</v>
      </c>
      <c r="AC18" s="78">
        <f t="shared" si="20"/>
        <v>63615.8985551593</v>
      </c>
      <c r="AD18" s="79">
        <v>14</v>
      </c>
      <c r="AE18" s="79"/>
    </row>
    <row r="19" s="1" customFormat="1" ht="15" spans="1:31">
      <c r="B19" s="62" t="s">
        <v>78</v>
      </c>
      <c r="C19" s="65"/>
      <c r="D19" s="62" t="s">
        <v>79</v>
      </c>
      <c r="E19" s="64">
        <f>40%</f>
        <v>0.4</v>
      </c>
      <c r="F19" s="62" t="s">
        <v>73</v>
      </c>
      <c r="G19" s="65">
        <f>M18</f>
        <v>0.405</v>
      </c>
      <c r="H19" s="62" t="s">
        <v>73</v>
      </c>
      <c r="I19" s="65">
        <f>M19+44%</f>
        <v>1.25</v>
      </c>
      <c r="J19" s="80"/>
      <c r="K19" s="64"/>
      <c r="L19" s="62" t="s">
        <v>80</v>
      </c>
      <c r="M19" s="64">
        <f>16.2%*5</f>
        <v>0.81</v>
      </c>
      <c r="O19" s="68">
        <v>1</v>
      </c>
      <c r="P19" s="69" t="s">
        <v>102</v>
      </c>
      <c r="Q19" s="81">
        <f>105.97%*2</f>
        <v>2.1194</v>
      </c>
      <c r="R19" s="82" t="s">
        <v>102</v>
      </c>
      <c r="S19" s="83">
        <f t="shared" si="13"/>
        <v>2764.592</v>
      </c>
      <c r="T19" s="84">
        <f t="shared" si="14"/>
        <v>1.699796875</v>
      </c>
      <c r="U19" s="84">
        <f t="shared" si="15"/>
        <v>1.712</v>
      </c>
      <c r="V19" s="85">
        <f t="shared" si="16"/>
        <v>3.0538</v>
      </c>
      <c r="W19" s="86">
        <f t="shared" si="17"/>
        <v>0.35</v>
      </c>
      <c r="X19" s="85">
        <f t="shared" si="18"/>
        <v>0.509274150316286</v>
      </c>
      <c r="Y19" s="82">
        <f t="shared" si="19"/>
        <v>0.8</v>
      </c>
      <c r="Z19" s="87">
        <v>0</v>
      </c>
      <c r="AA19" s="87">
        <v>0</v>
      </c>
      <c r="AB19" s="88">
        <v>0</v>
      </c>
      <c r="AC19" s="78">
        <f t="shared" si="20"/>
        <v>26690.0656025427</v>
      </c>
      <c r="AD19" s="79">
        <v>14</v>
      </c>
      <c r="AE19" s="79"/>
    </row>
    <row r="20" s="1" customFormat="1" ht="15" spans="1:31">
      <c r="B20" s="62" t="s">
        <v>82</v>
      </c>
      <c r="C20" s="65">
        <f>25%+25%</f>
        <v>0.5</v>
      </c>
      <c r="D20" s="62" t="s">
        <v>83</v>
      </c>
      <c r="E20" s="89"/>
      <c r="F20" s="62" t="s">
        <v>84</v>
      </c>
      <c r="G20" s="65">
        <v>0</v>
      </c>
      <c r="H20" s="62" t="s">
        <v>84</v>
      </c>
      <c r="I20" s="65">
        <v>0</v>
      </c>
      <c r="J20" s="80"/>
      <c r="K20" s="64"/>
      <c r="L20" s="62"/>
      <c r="M20" s="63"/>
      <c r="O20" s="68">
        <v>1</v>
      </c>
      <c r="P20" s="69" t="s">
        <v>200</v>
      </c>
      <c r="Q20" s="81">
        <f t="shared" si="21"/>
        <v>5.0516</v>
      </c>
      <c r="R20" s="82" t="s">
        <v>102</v>
      </c>
      <c r="S20" s="83">
        <f t="shared" si="13"/>
        <v>2764.592</v>
      </c>
      <c r="T20" s="84">
        <f t="shared" si="14"/>
        <v>1.699796875</v>
      </c>
      <c r="U20" s="84">
        <f t="shared" si="15"/>
        <v>1.712</v>
      </c>
      <c r="V20" s="85">
        <f t="shared" si="16"/>
        <v>3.0538</v>
      </c>
      <c r="W20" s="86">
        <f t="shared" si="17"/>
        <v>0.35</v>
      </c>
      <c r="X20" s="85">
        <f t="shared" si="18"/>
        <v>0.509274150316286</v>
      </c>
      <c r="Y20" s="82">
        <f t="shared" si="19"/>
        <v>0.8</v>
      </c>
      <c r="Z20" s="87">
        <v>0</v>
      </c>
      <c r="AA20" s="87">
        <v>0</v>
      </c>
      <c r="AB20" s="88">
        <v>0</v>
      </c>
      <c r="AC20" s="78">
        <f t="shared" si="20"/>
        <v>63615.8985551593</v>
      </c>
      <c r="AD20" s="79">
        <v>14</v>
      </c>
      <c r="AE20" s="79"/>
    </row>
    <row r="21" s="1" customFormat="1" ht="15" spans="1:31">
      <c r="B21" s="62" t="s">
        <v>87</v>
      </c>
      <c r="C21" s="63">
        <v>350</v>
      </c>
      <c r="D21" s="62" t="s">
        <v>143</v>
      </c>
      <c r="E21" s="64">
        <f>32%+M17</f>
        <v>0.492</v>
      </c>
      <c r="F21" s="62" t="s">
        <v>89</v>
      </c>
      <c r="G21" s="65"/>
      <c r="H21" s="62" t="s">
        <v>89</v>
      </c>
      <c r="I21" s="65"/>
      <c r="J21" s="80"/>
      <c r="K21" s="64"/>
      <c r="L21" s="62"/>
      <c r="M21" s="63"/>
      <c r="O21" s="68">
        <v>1</v>
      </c>
      <c r="P21" s="69" t="s">
        <v>201</v>
      </c>
      <c r="Q21" s="81">
        <f>53.45%*2+95.43%+39.23%+26.15%*2</f>
        <v>2.9386</v>
      </c>
      <c r="R21" s="82" t="s">
        <v>77</v>
      </c>
      <c r="S21" s="83">
        <f t="shared" si="13"/>
        <v>2764.592</v>
      </c>
      <c r="T21" s="84">
        <f t="shared" si="14"/>
        <v>1.699796875</v>
      </c>
      <c r="U21" s="84">
        <f t="shared" si="15"/>
        <v>1.22</v>
      </c>
      <c r="V21" s="85">
        <f t="shared" si="16"/>
        <v>3.0538</v>
      </c>
      <c r="W21" s="86">
        <f t="shared" si="17"/>
        <v>0.35</v>
      </c>
      <c r="X21" s="85">
        <f t="shared" si="18"/>
        <v>0.509274150316286</v>
      </c>
      <c r="Y21" s="82">
        <f t="shared" si="19"/>
        <v>0.8</v>
      </c>
      <c r="Z21" s="87">
        <v>0</v>
      </c>
      <c r="AA21" s="87">
        <v>0</v>
      </c>
      <c r="AB21" s="88">
        <v>0</v>
      </c>
      <c r="AC21" s="78">
        <f t="shared" si="20"/>
        <v>30292.8737433451</v>
      </c>
      <c r="AD21" s="79">
        <v>14</v>
      </c>
      <c r="AE21" s="79"/>
    </row>
    <row r="22" s="1" customFormat="1" ht="15" spans="1:31">
      <c r="B22" s="90" t="s">
        <v>91</v>
      </c>
      <c r="C22" s="91"/>
      <c r="D22" s="90" t="s">
        <v>145</v>
      </c>
      <c r="E22" s="92">
        <f>20%+35%</f>
        <v>0.55</v>
      </c>
      <c r="F22" s="45" t="s">
        <v>92</v>
      </c>
      <c r="G22" s="46">
        <f>MIN(100%,SUM(G16:G21))</f>
        <v>0.978</v>
      </c>
      <c r="H22" s="45" t="s">
        <v>93</v>
      </c>
      <c r="I22" s="46">
        <f>SUM(I16:I21)</f>
        <v>2.75</v>
      </c>
      <c r="J22" s="93"/>
      <c r="K22" s="92"/>
      <c r="L22" s="90"/>
      <c r="M22" s="91"/>
      <c r="O22" s="68">
        <v>1</v>
      </c>
      <c r="P22" s="69" t="s">
        <v>142</v>
      </c>
      <c r="Q22" s="81">
        <f>152.39%*3</f>
        <v>4.5717</v>
      </c>
      <c r="R22" s="82" t="s">
        <v>59</v>
      </c>
      <c r="S22" s="83">
        <f t="shared" si="13"/>
        <v>2764.592</v>
      </c>
      <c r="T22" s="84">
        <f t="shared" si="14"/>
        <v>1.699796875</v>
      </c>
      <c r="U22" s="84">
        <f t="shared" ref="U22:U31" si="22">IF(R22=$C$13,SUM($E$16:$E$21),SUM($E$16:$E$20))+E$22</f>
        <v>1.77</v>
      </c>
      <c r="V22" s="85">
        <f t="shared" si="16"/>
        <v>3.0538</v>
      </c>
      <c r="W22" s="86">
        <f t="shared" ref="W22:W31" si="23">IF(R22=$C$1,$K$16+$K$17,$K$16)+K$18</f>
        <v>0.67</v>
      </c>
      <c r="X22" s="85">
        <f t="shared" si="18"/>
        <v>0.509274150316286</v>
      </c>
      <c r="Y22" s="82">
        <f t="shared" si="19"/>
        <v>0.8</v>
      </c>
      <c r="Z22" s="87">
        <v>0</v>
      </c>
      <c r="AA22" s="87">
        <v>0</v>
      </c>
      <c r="AB22" s="88">
        <v>0</v>
      </c>
      <c r="AC22" s="78">
        <f t="shared" si="20"/>
        <v>72742.3323088724</v>
      </c>
      <c r="AD22" s="79">
        <v>14</v>
      </c>
      <c r="AE22" s="79"/>
    </row>
    <row r="23" s="1" customFormat="1" ht="15" spans="1:31">
      <c r="B23" s="49"/>
      <c r="C23" s="49"/>
      <c r="E23" s="50"/>
      <c r="F23" s="18" t="s">
        <v>95</v>
      </c>
      <c r="G23" s="51">
        <f>MAX(0,SUM(G16:G21)-1)</f>
        <v>0</v>
      </c>
      <c r="J23" s="2"/>
      <c r="K23" s="2"/>
      <c r="O23" s="68">
        <v>1</v>
      </c>
      <c r="P23" s="69" t="s">
        <v>200</v>
      </c>
      <c r="Q23" s="81">
        <f t="shared" si="21"/>
        <v>5.0516</v>
      </c>
      <c r="R23" s="82" t="s">
        <v>102</v>
      </c>
      <c r="S23" s="83">
        <f t="shared" si="13"/>
        <v>2764.592</v>
      </c>
      <c r="T23" s="84">
        <f t="shared" si="14"/>
        <v>1.699796875</v>
      </c>
      <c r="U23" s="84">
        <f t="shared" ref="U23:U25" si="24">IF(R23=$C$13,SUM($E$16:$E$21),SUM($E$16:$E$20))</f>
        <v>1.712</v>
      </c>
      <c r="V23" s="85">
        <f t="shared" si="16"/>
        <v>3.0538</v>
      </c>
      <c r="W23" s="86">
        <f t="shared" ref="W23:W25" si="25">IF(R23=$C$1,$K$16+$K$17,$K$16)</f>
        <v>0.35</v>
      </c>
      <c r="X23" s="85">
        <f t="shared" si="18"/>
        <v>0.509274150316286</v>
      </c>
      <c r="Y23" s="82">
        <f t="shared" si="19"/>
        <v>0.8</v>
      </c>
      <c r="Z23" s="87">
        <v>0</v>
      </c>
      <c r="AA23" s="87">
        <v>0</v>
      </c>
      <c r="AB23" s="88">
        <v>0</v>
      </c>
      <c r="AC23" s="78">
        <f t="shared" si="20"/>
        <v>63615.8985551593</v>
      </c>
      <c r="AD23" s="79">
        <v>14</v>
      </c>
      <c r="AE23" s="79"/>
    </row>
    <row r="24" s="1" customFormat="1" ht="15" spans="1:31">
      <c r="B24" s="49"/>
      <c r="C24" s="49"/>
      <c r="E24" s="50"/>
      <c r="J24" s="2"/>
      <c r="K24" s="2"/>
      <c r="O24" s="68">
        <v>1</v>
      </c>
      <c r="P24" s="69" t="s">
        <v>202</v>
      </c>
      <c r="Q24" s="81">
        <f>33.01%*2+12.38%*8+495.1%</f>
        <v>6.6016</v>
      </c>
      <c r="R24" s="82" t="s">
        <v>102</v>
      </c>
      <c r="S24" s="83">
        <f t="shared" si="13"/>
        <v>2764.592</v>
      </c>
      <c r="T24" s="84">
        <f t="shared" si="14"/>
        <v>1.699796875</v>
      </c>
      <c r="U24" s="84">
        <f t="shared" si="24"/>
        <v>1.712</v>
      </c>
      <c r="V24" s="85">
        <f t="shared" si="16"/>
        <v>3.0538</v>
      </c>
      <c r="W24" s="86">
        <f t="shared" si="25"/>
        <v>0.35</v>
      </c>
      <c r="X24" s="85">
        <f t="shared" si="18"/>
        <v>0.509274150316286</v>
      </c>
      <c r="Y24" s="82">
        <f t="shared" si="19"/>
        <v>0.8</v>
      </c>
      <c r="Z24" s="87">
        <v>0</v>
      </c>
      <c r="AA24" s="87">
        <v>0</v>
      </c>
      <c r="AB24" s="88">
        <v>0</v>
      </c>
      <c r="AC24" s="78">
        <f t="shared" si="20"/>
        <v>83135.3859968604</v>
      </c>
      <c r="AD24" s="79">
        <v>14</v>
      </c>
      <c r="AE24" s="79"/>
    </row>
    <row r="25" s="1" customFormat="1" ht="15" spans="1:31">
      <c r="A25" s="94"/>
      <c r="B25" s="95" t="s">
        <v>163</v>
      </c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O25" s="68">
        <v>1</v>
      </c>
      <c r="P25" s="69" t="s">
        <v>203</v>
      </c>
      <c r="Q25" s="81">
        <f>82.55%*AD25</f>
        <v>11.557</v>
      </c>
      <c r="R25" s="82" t="s">
        <v>102</v>
      </c>
      <c r="S25" s="83">
        <f t="shared" si="13"/>
        <v>2764.592</v>
      </c>
      <c r="T25" s="84">
        <f t="shared" si="14"/>
        <v>1.699796875</v>
      </c>
      <c r="U25" s="84">
        <f t="shared" si="24"/>
        <v>1.712</v>
      </c>
      <c r="V25" s="85">
        <f t="shared" si="16"/>
        <v>3.0538</v>
      </c>
      <c r="W25" s="86">
        <f t="shared" si="25"/>
        <v>0.35</v>
      </c>
      <c r="X25" s="85">
        <f t="shared" si="18"/>
        <v>0.509274150316286</v>
      </c>
      <c r="Y25" s="82">
        <f t="shared" si="19"/>
        <v>0.8</v>
      </c>
      <c r="Z25" s="87">
        <v>0</v>
      </c>
      <c r="AA25" s="87">
        <v>0</v>
      </c>
      <c r="AB25" s="88">
        <v>0</v>
      </c>
      <c r="AC25" s="78">
        <f t="shared" si="20"/>
        <v>145539.817008864</v>
      </c>
      <c r="AD25" s="79">
        <v>14</v>
      </c>
      <c r="AE25" s="79"/>
    </row>
    <row r="26" s="1" customFormat="1" ht="15" spans="1:31">
      <c r="A26" s="94" t="s">
        <v>121</v>
      </c>
      <c r="B26" s="96" t="s">
        <v>55</v>
      </c>
      <c r="C26" s="97"/>
      <c r="D26" s="96" t="s">
        <v>43</v>
      </c>
      <c r="E26" s="97"/>
      <c r="F26" s="96" t="s">
        <v>56</v>
      </c>
      <c r="G26" s="97"/>
      <c r="H26" s="96" t="s">
        <v>57</v>
      </c>
      <c r="I26" s="97"/>
      <c r="J26" s="96" t="s">
        <v>45</v>
      </c>
      <c r="K26" s="97"/>
      <c r="L26" s="96" t="s">
        <v>122</v>
      </c>
      <c r="M26" s="97"/>
      <c r="O26" s="68">
        <v>0</v>
      </c>
      <c r="P26" s="69" t="s">
        <v>204</v>
      </c>
      <c r="Q26" s="81">
        <f t="shared" ref="Q26:Q30" si="26">104.38%+243.55%</f>
        <v>3.4793</v>
      </c>
      <c r="R26" s="82" t="s">
        <v>59</v>
      </c>
      <c r="S26" s="83">
        <f t="shared" ref="S26:S31" si="27">$C$16*(1+C$17+C$18+C$19+C$20+120%)+C$21</f>
        <v>3993.392</v>
      </c>
      <c r="T26" s="84">
        <f t="shared" si="14"/>
        <v>2.899796875</v>
      </c>
      <c r="U26" s="84">
        <f t="shared" si="22"/>
        <v>1.77</v>
      </c>
      <c r="V26" s="85">
        <f t="shared" si="16"/>
        <v>3.0538</v>
      </c>
      <c r="W26" s="86">
        <f t="shared" si="23"/>
        <v>0.67</v>
      </c>
      <c r="X26" s="85">
        <f t="shared" si="18"/>
        <v>0.509274150316286</v>
      </c>
      <c r="Y26" s="82">
        <f t="shared" si="19"/>
        <v>0.8</v>
      </c>
      <c r="Z26" s="87">
        <v>0</v>
      </c>
      <c r="AA26" s="87">
        <v>0</v>
      </c>
      <c r="AB26" s="88">
        <v>0</v>
      </c>
      <c r="AC26" s="78">
        <f t="shared" si="20"/>
        <v>0</v>
      </c>
      <c r="AD26" s="79">
        <v>14</v>
      </c>
      <c r="AE26" s="79"/>
    </row>
    <row r="27" s="1" customFormat="1" ht="15" spans="1:31">
      <c r="A27" s="94">
        <v>1357</v>
      </c>
      <c r="B27" s="98" t="s">
        <v>60</v>
      </c>
      <c r="C27" s="99">
        <f>288+337</f>
        <v>625</v>
      </c>
      <c r="D27" s="98" t="s">
        <v>61</v>
      </c>
      <c r="E27" s="41"/>
      <c r="F27" s="98" t="s">
        <v>125</v>
      </c>
      <c r="G27" s="100">
        <v>0.05</v>
      </c>
      <c r="H27" s="98" t="s">
        <v>125</v>
      </c>
      <c r="I27" s="41">
        <v>1.5</v>
      </c>
      <c r="J27" s="101" t="s">
        <v>63</v>
      </c>
      <c r="K27" s="41">
        <f>25%+10%</f>
        <v>0.35</v>
      </c>
      <c r="L27" s="98" t="s">
        <v>121</v>
      </c>
      <c r="M27" s="100">
        <f>10.9%*3</f>
        <v>0.327</v>
      </c>
      <c r="O27" s="68">
        <v>1</v>
      </c>
      <c r="P27" s="69" t="s">
        <v>205</v>
      </c>
      <c r="Q27" s="81">
        <f t="shared" si="26"/>
        <v>3.4793</v>
      </c>
      <c r="R27" s="82" t="s">
        <v>59</v>
      </c>
      <c r="S27" s="83">
        <f t="shared" si="27"/>
        <v>3993.392</v>
      </c>
      <c r="T27" s="84">
        <f t="shared" si="14"/>
        <v>2.899796875</v>
      </c>
      <c r="U27" s="84">
        <f t="shared" si="22"/>
        <v>1.77</v>
      </c>
      <c r="V27" s="85">
        <f t="shared" si="16"/>
        <v>2.98045</v>
      </c>
      <c r="W27" s="86">
        <f t="shared" si="23"/>
        <v>0.67</v>
      </c>
      <c r="X27" s="85">
        <f t="shared" si="18"/>
        <v>0.509274150316286</v>
      </c>
      <c r="Y27" s="82">
        <f t="shared" si="19"/>
        <v>0.8</v>
      </c>
      <c r="Z27" s="87">
        <v>0</v>
      </c>
      <c r="AA27" s="87">
        <v>0</v>
      </c>
      <c r="AB27" s="88">
        <v>0</v>
      </c>
      <c r="AC27" s="78">
        <f t="shared" si="20"/>
        <v>78046.5160563741</v>
      </c>
      <c r="AD27" s="79">
        <v>11</v>
      </c>
      <c r="AE27" s="79"/>
    </row>
    <row r="28" s="1" customFormat="1" ht="15" spans="1:31">
      <c r="A28" s="102">
        <f>16%+7.6*2%</f>
        <v>0.312</v>
      </c>
      <c r="B28" s="98" t="s">
        <v>126</v>
      </c>
      <c r="C28" s="41"/>
      <c r="D28" s="98" t="s">
        <v>127</v>
      </c>
      <c r="E28" s="41"/>
      <c r="F28" s="98" t="s">
        <v>69</v>
      </c>
      <c r="G28" s="100"/>
      <c r="H28" s="98" t="s">
        <v>128</v>
      </c>
      <c r="I28" s="100">
        <v>0.2</v>
      </c>
      <c r="J28" s="103" t="s">
        <v>129</v>
      </c>
      <c r="K28" s="100"/>
      <c r="L28" s="98" t="s">
        <v>56</v>
      </c>
      <c r="M28" s="100">
        <f>2*8.1%</f>
        <v>0.162</v>
      </c>
      <c r="O28" s="68">
        <v>1</v>
      </c>
      <c r="P28" s="69" t="s">
        <v>205</v>
      </c>
      <c r="Q28" s="81">
        <f>99.16%+231.37%</f>
        <v>3.3053</v>
      </c>
      <c r="R28" s="82" t="s">
        <v>59</v>
      </c>
      <c r="S28" s="83">
        <f t="shared" si="27"/>
        <v>3993.392</v>
      </c>
      <c r="T28" s="84">
        <f t="shared" si="14"/>
        <v>2.899796875</v>
      </c>
      <c r="U28" s="84">
        <f t="shared" si="22"/>
        <v>1.77</v>
      </c>
      <c r="V28" s="85">
        <f t="shared" si="16"/>
        <v>3.0049</v>
      </c>
      <c r="W28" s="86">
        <f t="shared" si="23"/>
        <v>0.67</v>
      </c>
      <c r="X28" s="85">
        <f t="shared" si="18"/>
        <v>0.509274150316286</v>
      </c>
      <c r="Y28" s="82">
        <f t="shared" si="19"/>
        <v>0.8</v>
      </c>
      <c r="Z28" s="87">
        <v>0</v>
      </c>
      <c r="AA28" s="87">
        <v>0</v>
      </c>
      <c r="AB28" s="88">
        <v>0</v>
      </c>
      <c r="AC28" s="78">
        <f t="shared" si="20"/>
        <v>74751.6375447757</v>
      </c>
      <c r="AD28" s="79">
        <v>12</v>
      </c>
      <c r="AE28" s="79"/>
    </row>
    <row r="29" s="1" customFormat="1" ht="15" spans="1:31">
      <c r="A29" s="102">
        <f>36%+M27</f>
        <v>0.687</v>
      </c>
      <c r="B29" s="98" t="s">
        <v>131</v>
      </c>
      <c r="C29" s="41"/>
      <c r="D29" s="98" t="s">
        <v>132</v>
      </c>
      <c r="E29" s="41"/>
      <c r="F29" s="98" t="s">
        <v>75</v>
      </c>
      <c r="G29" s="100"/>
      <c r="H29" s="98" t="s">
        <v>133</v>
      </c>
      <c r="I29" s="100"/>
      <c r="J29" s="103" t="s">
        <v>134</v>
      </c>
      <c r="K29" s="100"/>
      <c r="L29" s="98" t="s">
        <v>80</v>
      </c>
      <c r="M29" s="100">
        <f>3*16.2%</f>
        <v>0.486</v>
      </c>
      <c r="O29" s="68">
        <v>1</v>
      </c>
      <c r="P29" s="69" t="s">
        <v>206</v>
      </c>
      <c r="Q29" s="81">
        <f>99.16%+231.37%</f>
        <v>3.3053</v>
      </c>
      <c r="R29" s="82" t="s">
        <v>59</v>
      </c>
      <c r="S29" s="83">
        <f t="shared" si="27"/>
        <v>3993.392</v>
      </c>
      <c r="T29" s="84">
        <f t="shared" si="14"/>
        <v>2.899796875</v>
      </c>
      <c r="U29" s="84">
        <f t="shared" si="22"/>
        <v>1.77</v>
      </c>
      <c r="V29" s="85">
        <f t="shared" si="16"/>
        <v>3.02935</v>
      </c>
      <c r="W29" s="86">
        <f t="shared" si="23"/>
        <v>0.67</v>
      </c>
      <c r="X29" s="85">
        <f t="shared" si="18"/>
        <v>0.509274150316286</v>
      </c>
      <c r="Y29" s="82">
        <f t="shared" si="19"/>
        <v>0.8</v>
      </c>
      <c r="Z29" s="87">
        <v>0</v>
      </c>
      <c r="AA29" s="87">
        <v>0</v>
      </c>
      <c r="AB29" s="88">
        <v>0</v>
      </c>
      <c r="AC29" s="78">
        <f t="shared" si="20"/>
        <v>75359.8699445128</v>
      </c>
      <c r="AD29" s="79">
        <v>13</v>
      </c>
      <c r="AE29" s="79"/>
    </row>
    <row r="30" s="1" customFormat="1" ht="15" spans="1:31">
      <c r="A30" s="102">
        <v>0.418</v>
      </c>
      <c r="B30" s="98" t="s">
        <v>128</v>
      </c>
      <c r="C30" s="104">
        <f>25%+15%</f>
        <v>0.4</v>
      </c>
      <c r="D30" s="98" t="s">
        <v>136</v>
      </c>
      <c r="E30" s="41">
        <f>48%+40%</f>
        <v>0.88</v>
      </c>
      <c r="F30" s="98" t="s">
        <v>128</v>
      </c>
      <c r="G30" s="100">
        <f>M29</f>
        <v>0.486</v>
      </c>
      <c r="H30" s="98"/>
      <c r="I30" s="100"/>
      <c r="J30" s="103"/>
      <c r="K30" s="100"/>
      <c r="L30" s="98" t="s">
        <v>137</v>
      </c>
      <c r="M30" s="100">
        <f>8.6%*2</f>
        <v>0.172</v>
      </c>
      <c r="O30" s="68">
        <v>1</v>
      </c>
      <c r="P30" s="69" t="s">
        <v>207</v>
      </c>
      <c r="Q30" s="81">
        <f t="shared" si="26"/>
        <v>3.4793</v>
      </c>
      <c r="R30" s="82" t="s">
        <v>59</v>
      </c>
      <c r="S30" s="83">
        <f t="shared" si="27"/>
        <v>3993.392</v>
      </c>
      <c r="T30" s="84">
        <f t="shared" si="14"/>
        <v>2.899796875</v>
      </c>
      <c r="U30" s="84">
        <f t="shared" si="22"/>
        <v>1.77</v>
      </c>
      <c r="V30" s="85">
        <f t="shared" si="16"/>
        <v>3.0538</v>
      </c>
      <c r="W30" s="86">
        <f t="shared" si="23"/>
        <v>0.67</v>
      </c>
      <c r="X30" s="85">
        <f t="shared" si="18"/>
        <v>0.509274150316286</v>
      </c>
      <c r="Y30" s="82">
        <f t="shared" si="19"/>
        <v>0.8</v>
      </c>
      <c r="Z30" s="87">
        <v>0</v>
      </c>
      <c r="AA30" s="87">
        <v>0</v>
      </c>
      <c r="AB30" s="88">
        <v>0</v>
      </c>
      <c r="AC30" s="78">
        <f t="shared" si="20"/>
        <v>79967.2702890353</v>
      </c>
      <c r="AD30" s="79">
        <v>14</v>
      </c>
      <c r="AE30" s="79"/>
    </row>
    <row r="31" s="1" customFormat="1" ht="15" spans="1:31">
      <c r="A31" s="105">
        <v>0.2</v>
      </c>
      <c r="B31" s="98" t="s">
        <v>139</v>
      </c>
      <c r="C31" s="104"/>
      <c r="D31" s="98" t="s">
        <v>140</v>
      </c>
      <c r="E31" s="106"/>
      <c r="F31" s="98" t="s">
        <v>141</v>
      </c>
      <c r="G31" s="100"/>
      <c r="H31" s="98" t="s">
        <v>141</v>
      </c>
      <c r="I31" s="100">
        <v>0.2</v>
      </c>
      <c r="J31" s="103"/>
      <c r="K31" s="100"/>
      <c r="L31" s="98"/>
      <c r="M31" s="100"/>
      <c r="O31" s="107">
        <v>3</v>
      </c>
      <c r="P31" s="69" t="s">
        <v>208</v>
      </c>
      <c r="Q31" s="108">
        <f>27.84%+13.92%*2</f>
        <v>0.5568</v>
      </c>
      <c r="R31" s="109" t="s">
        <v>59</v>
      </c>
      <c r="S31" s="110">
        <f t="shared" si="27"/>
        <v>3993.392</v>
      </c>
      <c r="T31" s="111">
        <f t="shared" si="14"/>
        <v>2.899796875</v>
      </c>
      <c r="U31" s="111">
        <f t="shared" si="22"/>
        <v>1.77</v>
      </c>
      <c r="V31" s="112">
        <f t="shared" si="16"/>
        <v>3.0049</v>
      </c>
      <c r="W31" s="113">
        <f t="shared" si="23"/>
        <v>0.67</v>
      </c>
      <c r="X31" s="112">
        <f t="shared" si="18"/>
        <v>0.509274150316286</v>
      </c>
      <c r="Y31" s="109">
        <f t="shared" si="19"/>
        <v>0.8</v>
      </c>
      <c r="Z31" s="114">
        <v>0</v>
      </c>
      <c r="AA31" s="114">
        <v>0</v>
      </c>
      <c r="AB31" s="115">
        <v>0</v>
      </c>
      <c r="AC31" s="78">
        <f t="shared" si="20"/>
        <v>37777.2472558598</v>
      </c>
      <c r="AD31" s="79">
        <v>12</v>
      </c>
      <c r="AE31" s="79"/>
    </row>
    <row r="32" s="1" customFormat="1" spans="1:31">
      <c r="A32" s="94"/>
      <c r="B32" s="98" t="s">
        <v>87</v>
      </c>
      <c r="C32" s="99">
        <v>350</v>
      </c>
      <c r="D32" s="98" t="s">
        <v>143</v>
      </c>
      <c r="E32" s="41"/>
      <c r="F32" s="116" t="s">
        <v>92</v>
      </c>
      <c r="G32" s="117">
        <f>MIN(100%,SUM(G27:G31))</f>
        <v>0.536</v>
      </c>
      <c r="H32" s="116" t="s">
        <v>93</v>
      </c>
      <c r="I32" s="118">
        <f>SUM(I27:I31)</f>
        <v>1.9</v>
      </c>
      <c r="J32" s="103"/>
      <c r="K32" s="100"/>
      <c r="L32" s="98"/>
      <c r="M32" s="99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 s="1" customFormat="1" ht="15" spans="1:31">
      <c r="A33" s="94"/>
      <c r="B33" s="119" t="s">
        <v>91</v>
      </c>
      <c r="C33" s="120"/>
      <c r="D33" s="119" t="s">
        <v>145</v>
      </c>
      <c r="E33" s="121"/>
      <c r="F33" s="119"/>
      <c r="G33" s="122"/>
      <c r="H33" s="119"/>
      <c r="I33" s="120"/>
      <c r="J33" s="123"/>
      <c r="K33" s="122"/>
      <c r="L33" s="119"/>
      <c r="M33" s="120"/>
      <c r="N33" s="124"/>
      <c r="O33" s="125">
        <v>20</v>
      </c>
      <c r="P33" s="126" t="s">
        <v>115</v>
      </c>
      <c r="Q33" s="127">
        <v>1.0935</v>
      </c>
      <c r="R33" s="128" t="s">
        <v>116</v>
      </c>
      <c r="S33" s="128">
        <v>10027</v>
      </c>
      <c r="T33" s="127">
        <v>0</v>
      </c>
      <c r="U33" s="127">
        <v>0</v>
      </c>
      <c r="V33" s="129">
        <v>1</v>
      </c>
      <c r="W33" s="130">
        <v>0</v>
      </c>
      <c r="X33" s="129">
        <f t="shared" ref="X33:X36" si="28">$AF$3</f>
        <v>0.488431876606684</v>
      </c>
      <c r="Y33" s="128">
        <f t="shared" ref="Y33:Y36" si="29">$AG$11</f>
        <v>0.8</v>
      </c>
      <c r="Z33" s="131">
        <v>0.8</v>
      </c>
      <c r="AA33" s="131">
        <v>0</v>
      </c>
      <c r="AB33" s="131">
        <v>0.1</v>
      </c>
      <c r="AC33" s="132">
        <f t="shared" ref="AC33:AC36" si="30">Q33*$S$36*(1+T33)*(1+U33)*V33*(1+W33)*X33*Y33*(1+Z33)*(1+AA33)*(1+AB33)*O33</f>
        <v>169659.809435476</v>
      </c>
    </row>
    <row r="34" s="1" customFormat="1" ht="15" spans="1:31">
      <c r="A34" s="94">
        <f>A27*(1+A28+A29+A30+A31)</f>
        <v>3551.269</v>
      </c>
      <c r="B34" s="133"/>
      <c r="C34" s="133">
        <f>C27*(1+C30)+C32</f>
        <v>1225</v>
      </c>
      <c r="D34" s="133"/>
      <c r="E34" s="133"/>
      <c r="F34" s="133" t="s">
        <v>147</v>
      </c>
      <c r="G34" s="134"/>
      <c r="H34" s="133"/>
      <c r="I34" s="133"/>
      <c r="J34" s="133"/>
      <c r="K34" s="133"/>
      <c r="L34" s="133"/>
      <c r="M34" s="133"/>
      <c r="N34" s="49"/>
      <c r="O34" s="31">
        <v>1.5</v>
      </c>
      <c r="P34" s="135" t="s">
        <v>117</v>
      </c>
      <c r="Q34" s="136">
        <v>5.9643</v>
      </c>
      <c r="R34" s="49" t="s">
        <v>116</v>
      </c>
      <c r="S34" s="49">
        <v>10027</v>
      </c>
      <c r="T34" s="136">
        <v>0</v>
      </c>
      <c r="U34" s="136">
        <v>0</v>
      </c>
      <c r="V34" s="137">
        <v>1</v>
      </c>
      <c r="W34" s="138">
        <v>0</v>
      </c>
      <c r="X34" s="137">
        <f t="shared" si="28"/>
        <v>0.488431876606684</v>
      </c>
      <c r="Y34" s="49">
        <f t="shared" si="29"/>
        <v>0.8</v>
      </c>
      <c r="Z34" s="139">
        <v>0</v>
      </c>
      <c r="AA34" s="139">
        <v>0</v>
      </c>
      <c r="AB34" s="139">
        <v>0.1</v>
      </c>
      <c r="AC34" s="140">
        <f t="shared" si="30"/>
        <v>38557.4608068895</v>
      </c>
      <c r="AD34"/>
      <c r="AE34"/>
    </row>
    <row r="35" s="1" customFormat="1" ht="15" spans="1:31">
      <c r="A35" s="141"/>
      <c r="B35" s="142"/>
      <c r="C35" s="142"/>
      <c r="D35" s="142"/>
      <c r="E35" s="142"/>
      <c r="F35" s="142"/>
      <c r="G35" s="143"/>
      <c r="N35" s="49"/>
      <c r="O35" s="31">
        <v>1.5</v>
      </c>
      <c r="P35" s="135" t="s">
        <v>120</v>
      </c>
      <c r="Q35" s="136">
        <v>2.9822</v>
      </c>
      <c r="R35" s="49" t="s">
        <v>116</v>
      </c>
      <c r="S35" s="49">
        <v>10027</v>
      </c>
      <c r="T35" s="136">
        <v>0</v>
      </c>
      <c r="U35" s="136">
        <v>0</v>
      </c>
      <c r="V35" s="137">
        <v>1</v>
      </c>
      <c r="W35" s="138">
        <v>0</v>
      </c>
      <c r="X35" s="137">
        <f t="shared" si="28"/>
        <v>0.488431876606684</v>
      </c>
      <c r="Y35" s="49">
        <f t="shared" si="29"/>
        <v>0.8</v>
      </c>
      <c r="Z35" s="139">
        <v>0</v>
      </c>
      <c r="AA35" s="139">
        <v>0</v>
      </c>
      <c r="AB35" s="139">
        <v>0.1</v>
      </c>
      <c r="AC35" s="140">
        <f t="shared" si="30"/>
        <v>19279.0536388689</v>
      </c>
    </row>
    <row r="36" s="1" customFormat="1" ht="15" spans="1:31">
      <c r="B36" s="144" t="s">
        <v>148</v>
      </c>
      <c r="C36" s="1" t="s">
        <v>209</v>
      </c>
      <c r="G36" s="2"/>
      <c r="N36" s="49"/>
      <c r="O36" s="42">
        <v>1.5</v>
      </c>
      <c r="P36" s="145" t="s">
        <v>123</v>
      </c>
      <c r="Q36" s="146">
        <v>16</v>
      </c>
      <c r="R36" s="147" t="s">
        <v>124</v>
      </c>
      <c r="S36" s="147">
        <v>10027</v>
      </c>
      <c r="T36" s="146">
        <v>0</v>
      </c>
      <c r="U36" s="146">
        <v>0</v>
      </c>
      <c r="V36" s="148">
        <v>1</v>
      </c>
      <c r="W36" s="149">
        <v>0</v>
      </c>
      <c r="X36" s="148">
        <f t="shared" si="28"/>
        <v>0.488431876606684</v>
      </c>
      <c r="Y36" s="147">
        <f t="shared" si="29"/>
        <v>0.8</v>
      </c>
      <c r="Z36" s="150">
        <v>0</v>
      </c>
      <c r="AA36" s="150">
        <v>0</v>
      </c>
      <c r="AB36" s="150">
        <v>0.1</v>
      </c>
      <c r="AC36" s="151">
        <f t="shared" si="30"/>
        <v>103435.335732648</v>
      </c>
    </row>
    <row r="37" s="1" customFormat="1" spans="1:31">
      <c r="B37" s="152" t="s">
        <v>210</v>
      </c>
      <c r="C37" s="153" t="s">
        <v>149</v>
      </c>
      <c r="D37" s="153" t="s">
        <v>150</v>
      </c>
      <c r="E37" s="153" t="s">
        <v>151</v>
      </c>
      <c r="F37" s="153" t="s">
        <v>152</v>
      </c>
      <c r="G37" s="2"/>
      <c r="N37" s="49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="1" customFormat="1" ht="15" spans="1:31">
      <c r="B38" s="4" t="s">
        <v>36</v>
      </c>
      <c r="C38" s="154">
        <f>SUM(AC3:AC15)</f>
        <v>794228.771952251</v>
      </c>
      <c r="D38" s="154">
        <f t="shared" ref="D38:D42" si="31">C38/$E$38</f>
        <v>31769.1508780901</v>
      </c>
      <c r="E38" s="155">
        <v>25</v>
      </c>
      <c r="F38" s="156">
        <f t="shared" ref="F38:F42" si="32">C38/$C$44</f>
        <v>0.367867146469781</v>
      </c>
      <c r="G38" s="2"/>
      <c r="O38" s="157">
        <v>1</v>
      </c>
      <c r="P38" s="158" t="s">
        <v>130</v>
      </c>
      <c r="Q38" s="159">
        <v>2.0279</v>
      </c>
      <c r="R38" s="128" t="s">
        <v>66</v>
      </c>
      <c r="S38" s="160">
        <f t="shared" ref="S38:S41" si="33">C$34</f>
        <v>1225</v>
      </c>
      <c r="T38" s="127">
        <f t="shared" ref="T38:T41" si="34">S38/$C$27-1</f>
        <v>0.96</v>
      </c>
      <c r="U38" s="127">
        <f t="shared" ref="U38:U41" si="35">E$30</f>
        <v>0.88</v>
      </c>
      <c r="V38" s="129">
        <f t="shared" ref="V38:V41" si="36">1+$G$32*($I$32-1)</f>
        <v>1.4824</v>
      </c>
      <c r="W38" s="130">
        <f t="shared" ref="W38:W43" si="37">K$27</f>
        <v>0.35</v>
      </c>
      <c r="X38" s="129">
        <f t="shared" ref="X38:X43" si="38">$AF$3</f>
        <v>0.488431876606684</v>
      </c>
      <c r="Y38" s="128">
        <f t="shared" ref="Y38:Y43" si="39">$AG$12</f>
        <v>0.8</v>
      </c>
      <c r="Z38" s="131">
        <v>0</v>
      </c>
      <c r="AA38" s="131">
        <v>0</v>
      </c>
      <c r="AB38" s="36">
        <v>0</v>
      </c>
      <c r="AC38" s="29">
        <f t="shared" ref="AC38:AC43" si="40">Q38*$C$27*(1+T38)*(1+U38)*V38*(1+W38)*X38*Y38*(1+Z38)*(1+AA38)*(1+AB38)*O38</f>
        <v>3652.02409824518</v>
      </c>
    </row>
    <row r="39" s="1" customFormat="1" ht="15" spans="1:31">
      <c r="B39" s="4" t="s">
        <v>193</v>
      </c>
      <c r="C39" s="154">
        <f>SUM(AC16:AC31)</f>
        <v>979695.908135379</v>
      </c>
      <c r="D39" s="154">
        <f t="shared" si="31"/>
        <v>39187.8363254152</v>
      </c>
      <c r="E39" s="161"/>
      <c r="F39" s="156">
        <f t="shared" si="32"/>
        <v>0.453770942153112</v>
      </c>
      <c r="G39" s="2"/>
      <c r="O39" s="162">
        <v>1</v>
      </c>
      <c r="P39" s="158" t="s">
        <v>135</v>
      </c>
      <c r="Q39" s="37">
        <f>22.27%+16.71%*2+23.86%+23.86%+17.9%*4+41.36%+10.34%*6</f>
        <v>2.7841</v>
      </c>
      <c r="R39" s="49" t="s">
        <v>77</v>
      </c>
      <c r="S39" s="163">
        <f t="shared" si="33"/>
        <v>1225</v>
      </c>
      <c r="T39" s="136">
        <f t="shared" si="34"/>
        <v>0.96</v>
      </c>
      <c r="U39" s="136">
        <f t="shared" si="35"/>
        <v>0.88</v>
      </c>
      <c r="V39" s="137">
        <f t="shared" si="36"/>
        <v>1.4824</v>
      </c>
      <c r="W39" s="138">
        <f t="shared" si="37"/>
        <v>0.35</v>
      </c>
      <c r="X39" s="137">
        <f t="shared" si="38"/>
        <v>0.488431876606684</v>
      </c>
      <c r="Y39" s="49">
        <f t="shared" si="39"/>
        <v>0.8</v>
      </c>
      <c r="Z39" s="139">
        <v>0</v>
      </c>
      <c r="AA39" s="139">
        <v>0</v>
      </c>
      <c r="AB39" s="33">
        <v>0</v>
      </c>
      <c r="AC39" s="29">
        <f t="shared" si="40"/>
        <v>5013.85684300232</v>
      </c>
    </row>
    <row r="40" s="1" customFormat="1" ht="15" spans="1:31">
      <c r="B40" s="4" t="s">
        <v>163</v>
      </c>
      <c r="C40" s="154">
        <f>SUM(AC38:AC43)+AC35</f>
        <v>54153.4538449601</v>
      </c>
      <c r="D40" s="154">
        <f t="shared" si="31"/>
        <v>2166.1381537984</v>
      </c>
      <c r="E40" s="164"/>
      <c r="F40" s="156">
        <f t="shared" si="32"/>
        <v>0.0250825420092261</v>
      </c>
      <c r="G40" s="2"/>
      <c r="O40" s="162">
        <v>1</v>
      </c>
      <c r="P40" s="158" t="s">
        <v>138</v>
      </c>
      <c r="Q40" s="37">
        <f>39.77%*4</f>
        <v>1.5908</v>
      </c>
      <c r="R40" s="49" t="s">
        <v>102</v>
      </c>
      <c r="S40" s="163">
        <f t="shared" si="33"/>
        <v>1225</v>
      </c>
      <c r="T40" s="136">
        <f t="shared" si="34"/>
        <v>0.96</v>
      </c>
      <c r="U40" s="136">
        <f t="shared" si="35"/>
        <v>0.88</v>
      </c>
      <c r="V40" s="137">
        <f t="shared" si="36"/>
        <v>1.4824</v>
      </c>
      <c r="W40" s="138">
        <f t="shared" si="37"/>
        <v>0.35</v>
      </c>
      <c r="X40" s="137">
        <f t="shared" si="38"/>
        <v>0.488431876606684</v>
      </c>
      <c r="Y40" s="49">
        <f t="shared" si="39"/>
        <v>0.8</v>
      </c>
      <c r="Z40" s="139">
        <v>0</v>
      </c>
      <c r="AA40" s="139">
        <v>0</v>
      </c>
      <c r="AB40" s="33">
        <v>0</v>
      </c>
      <c r="AC40" s="29">
        <f t="shared" si="40"/>
        <v>2864.85523718548</v>
      </c>
    </row>
    <row r="41" s="1" customFormat="1" ht="15" spans="1:31">
      <c r="B41" s="4" t="s">
        <v>116</v>
      </c>
      <c r="C41" s="154">
        <f>SUM(AC33:AC35)</f>
        <v>227496.323881234</v>
      </c>
      <c r="D41" s="154">
        <f t="shared" si="31"/>
        <v>9099.85295524936</v>
      </c>
      <c r="E41" s="164"/>
      <c r="F41" s="156">
        <f t="shared" si="32"/>
        <v>0.105370677132288</v>
      </c>
      <c r="G41" s="2"/>
      <c r="O41" s="162">
        <v>1</v>
      </c>
      <c r="P41" s="158" t="s">
        <v>142</v>
      </c>
      <c r="Q41" s="37">
        <v>3.51</v>
      </c>
      <c r="R41" s="49" t="s">
        <v>59</v>
      </c>
      <c r="S41" s="163">
        <f t="shared" si="33"/>
        <v>1225</v>
      </c>
      <c r="T41" s="136">
        <f t="shared" si="34"/>
        <v>0.96</v>
      </c>
      <c r="U41" s="136">
        <f t="shared" si="35"/>
        <v>0.88</v>
      </c>
      <c r="V41" s="137">
        <f t="shared" si="36"/>
        <v>1.4824</v>
      </c>
      <c r="W41" s="138">
        <f t="shared" si="37"/>
        <v>0.35</v>
      </c>
      <c r="X41" s="137">
        <f t="shared" si="38"/>
        <v>0.488431876606684</v>
      </c>
      <c r="Y41" s="49">
        <f t="shared" si="39"/>
        <v>0.8</v>
      </c>
      <c r="Z41" s="139">
        <v>0</v>
      </c>
      <c r="AA41" s="139">
        <v>0</v>
      </c>
      <c r="AB41" s="33">
        <v>0</v>
      </c>
      <c r="AC41" s="29">
        <f t="shared" si="40"/>
        <v>6321.12263170797</v>
      </c>
    </row>
    <row r="42" s="1" customFormat="1" ht="15" spans="1:31">
      <c r="B42" s="4" t="s">
        <v>123</v>
      </c>
      <c r="C42" s="154">
        <f>AC36</f>
        <v>103435.335732648</v>
      </c>
      <c r="D42" s="154">
        <f t="shared" si="31"/>
        <v>4137.41342930591</v>
      </c>
      <c r="E42" s="164"/>
      <c r="F42" s="156">
        <f t="shared" si="32"/>
        <v>0.0479086922355924</v>
      </c>
      <c r="G42" s="2"/>
      <c r="O42" s="162">
        <v>1</v>
      </c>
      <c r="P42" s="158" t="s">
        <v>144</v>
      </c>
      <c r="Q42" s="37">
        <v>5.2233</v>
      </c>
      <c r="R42" s="49" t="s">
        <v>34</v>
      </c>
      <c r="S42" s="163">
        <f>A34</f>
        <v>3551.269</v>
      </c>
      <c r="T42" s="136">
        <v>0</v>
      </c>
      <c r="U42" s="136">
        <f>E$30+M30</f>
        <v>1.052</v>
      </c>
      <c r="V42" s="137">
        <f>I32+1.6</f>
        <v>3.5</v>
      </c>
      <c r="W42" s="138">
        <f t="shared" si="37"/>
        <v>0.35</v>
      </c>
      <c r="X42" s="137">
        <f t="shared" si="38"/>
        <v>0.488431876606684</v>
      </c>
      <c r="Y42" s="49">
        <f t="shared" si="39"/>
        <v>0.8</v>
      </c>
      <c r="Z42" s="139">
        <v>0</v>
      </c>
      <c r="AA42" s="139">
        <v>0</v>
      </c>
      <c r="AB42" s="33">
        <v>0</v>
      </c>
      <c r="AC42" s="29">
        <f t="shared" si="40"/>
        <v>12367.9620358612</v>
      </c>
    </row>
    <row r="43" s="1" customFormat="1" ht="15" spans="1:31">
      <c r="B43" s="4"/>
      <c r="C43" s="154"/>
      <c r="D43" s="154"/>
      <c r="E43" s="164"/>
      <c r="F43" s="156"/>
      <c r="G43" s="2"/>
      <c r="O43" s="165">
        <v>1</v>
      </c>
      <c r="P43" s="158" t="s">
        <v>146</v>
      </c>
      <c r="Q43" s="47">
        <f>258.46%</f>
        <v>2.5846</v>
      </c>
      <c r="R43" s="147" t="s">
        <v>102</v>
      </c>
      <c r="S43" s="166">
        <f>C$34</f>
        <v>1225</v>
      </c>
      <c r="T43" s="146">
        <f>S43/$C$27-1</f>
        <v>0.96</v>
      </c>
      <c r="U43" s="146">
        <f>E$30</f>
        <v>0.88</v>
      </c>
      <c r="V43" s="148">
        <f>1+$G$32*($I$32-1)</f>
        <v>1.4824</v>
      </c>
      <c r="W43" s="149">
        <f t="shared" si="37"/>
        <v>0.35</v>
      </c>
      <c r="X43" s="148">
        <f t="shared" si="38"/>
        <v>0.488431876606684</v>
      </c>
      <c r="Y43" s="147">
        <f t="shared" si="39"/>
        <v>0.8</v>
      </c>
      <c r="Z43" s="150">
        <v>0</v>
      </c>
      <c r="AA43" s="150">
        <v>0</v>
      </c>
      <c r="AB43" s="44">
        <v>0</v>
      </c>
      <c r="AC43" s="29">
        <f t="shared" si="40"/>
        <v>4654.57936008901</v>
      </c>
    </row>
    <row r="44" s="1" customFormat="1" ht="15" spans="1:31">
      <c r="B44" s="4" t="s">
        <v>153</v>
      </c>
      <c r="C44" s="167">
        <f>SUM(C38:C42)</f>
        <v>2159009.79354647</v>
      </c>
      <c r="D44" s="167">
        <f>C44/E38</f>
        <v>86360.3917418589</v>
      </c>
      <c r="E44" s="168"/>
      <c r="F44" s="169"/>
      <c r="G44" s="170"/>
      <c r="Q44" s="2"/>
      <c r="U44" s="2"/>
      <c r="V44" s="3"/>
      <c r="AB44" s="4"/>
      <c r="AC44" s="4"/>
    </row>
    <row r="45" s="1" customFormat="1" spans="1:31">
      <c r="B45" s="4"/>
      <c r="C45" s="4"/>
      <c r="D45" s="4"/>
      <c r="G45" s="2"/>
      <c r="Q45" s="2"/>
      <c r="U45" s="2"/>
      <c r="V45" s="3"/>
      <c r="AB45" s="4"/>
      <c r="AC45" s="4"/>
    </row>
    <row r="46" s="1" customFormat="1" spans="1:31">
      <c r="B46" s="4"/>
      <c r="C46" s="4"/>
      <c r="D46" s="4"/>
      <c r="F46" s="4"/>
      <c r="G46" s="2"/>
      <c r="Q46" s="2"/>
      <c r="U46" s="2"/>
      <c r="V46" s="3"/>
      <c r="AB46" s="4"/>
      <c r="AC46" s="4"/>
    </row>
    <row r="47" s="1" customFormat="1" spans="1:31">
      <c r="B47" s="4"/>
      <c r="C47" s="4"/>
      <c r="D47" s="4"/>
      <c r="F47" s="4"/>
      <c r="Q47" s="2"/>
      <c r="U47" s="2"/>
      <c r="V47" s="3"/>
      <c r="AB47" s="4"/>
      <c r="AC47" s="4"/>
    </row>
    <row r="48" s="1" customFormat="1" spans="1:31">
      <c r="G48" s="2"/>
      <c r="Q48" s="2"/>
      <c r="U48" s="2"/>
      <c r="V48" s="3"/>
      <c r="AB48" s="4"/>
      <c r="AC48" s="4"/>
    </row>
    <row r="49" s="1" customFormat="1" spans="2:29">
      <c r="B49" s="4"/>
      <c r="C49" s="4"/>
      <c r="D49" s="4"/>
      <c r="F49" s="4"/>
      <c r="G49" s="2"/>
      <c r="Q49" s="2"/>
      <c r="U49" s="2"/>
      <c r="V49" s="3"/>
      <c r="AB49" s="4"/>
      <c r="AC49" s="4"/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G51" s="2"/>
      <c r="Q51" s="2"/>
      <c r="U51" s="2"/>
      <c r="V51" s="3"/>
      <c r="AB51" s="4"/>
      <c r="AC51" s="4"/>
    </row>
    <row r="52" s="1" customFormat="1" spans="2:29">
      <c r="B52" s="4"/>
      <c r="C52" s="4"/>
      <c r="D52" s="4"/>
      <c r="F52" s="4"/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G53" s="2"/>
      <c r="Q53" s="2"/>
      <c r="U53" s="2"/>
      <c r="V53" s="3"/>
      <c r="AB53" s="4"/>
      <c r="AC53" s="4"/>
    </row>
    <row r="54" s="1" customFormat="1" spans="2:29">
      <c r="G54" s="2"/>
      <c r="Q54" s="2"/>
      <c r="U54" s="2"/>
      <c r="V54" s="3"/>
      <c r="AB54" s="4"/>
      <c r="AC54" s="4"/>
    </row>
    <row r="55" s="1" customFormat="1" spans="2:29">
      <c r="B55" s="4"/>
      <c r="C55" s="4"/>
      <c r="D55" s="4"/>
      <c r="G55" s="2"/>
      <c r="Q55" s="2"/>
      <c r="U55" s="2"/>
      <c r="V55" s="3"/>
      <c r="AB55" s="4"/>
      <c r="AC55" s="4"/>
    </row>
    <row r="56" s="1" customFormat="1" spans="2:29">
      <c r="G56" s="2"/>
      <c r="Q56" s="2"/>
      <c r="U56" s="2"/>
      <c r="V56" s="3"/>
      <c r="AB56" s="4"/>
      <c r="AC56" s="4"/>
    </row>
    <row r="57" s="1" customFormat="1" spans="2:29">
      <c r="G57" s="2"/>
      <c r="Q57" s="2"/>
      <c r="U57" s="2"/>
      <c r="V57" s="3"/>
      <c r="AB57" s="4"/>
      <c r="AC57" s="4"/>
    </row>
    <row r="58" s="1" customFormat="1" spans="2:29">
      <c r="G58" s="2"/>
      <c r="Q58" s="2"/>
      <c r="U58" s="2"/>
      <c r="V58" s="3"/>
      <c r="AB58" s="4"/>
      <c r="AC58" s="4"/>
    </row>
    <row r="59" s="1" customFormat="1" spans="2:29">
      <c r="G59" s="2"/>
      <c r="Q59" s="2"/>
      <c r="U59" s="2"/>
      <c r="V59" s="3"/>
      <c r="AB59" s="4"/>
      <c r="AC59" s="4"/>
    </row>
    <row r="61" s="1" customFormat="1" spans="2:29">
      <c r="G61" s="2"/>
      <c r="Q61" s="2"/>
      <c r="U61" s="2"/>
      <c r="V61" s="3"/>
      <c r="AB61" s="4"/>
      <c r="AC61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5:M25"/>
    <mergeCell ref="B26:C26"/>
    <mergeCell ref="D26:E26"/>
    <mergeCell ref="F26:G26"/>
    <mergeCell ref="H26:I26"/>
    <mergeCell ref="J26:K26"/>
    <mergeCell ref="L26:M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统计</vt:lpstr>
      <vt:lpstr>00莫</vt:lpstr>
      <vt:lpstr>00琳</vt:lpstr>
      <vt:lpstr>10莫</vt:lpstr>
      <vt:lpstr>全00</vt:lpstr>
      <vt:lpstr>31</vt:lpstr>
      <vt:lpstr>65</vt:lpstr>
      <vt:lpstr>满配</vt:lpstr>
      <vt:lpstr>聚爆</vt:lpstr>
      <vt:lpstr>无千专</vt:lpstr>
      <vt:lpstr>2千</vt:lpstr>
      <vt:lpstr>6链聚爆</vt:lpstr>
      <vt:lpstr>聚爆莫宁</vt:lpstr>
      <vt:lpstr>爱弗莫</vt:lpstr>
      <vt:lpstr>爱弗莫 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2026-02-03T11:21:00Z</dcterms:created>
  <dcterms:modified xsi:type="dcterms:W3CDTF">2026-02-14T08:57:40Z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4BD5B1EC1B8C44B79E82D9D914DF7224_11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