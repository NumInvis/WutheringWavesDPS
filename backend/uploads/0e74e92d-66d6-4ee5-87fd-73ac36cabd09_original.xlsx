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1.APP\iCloud\iCloudDrive\韬略\游戏文件\"/>
    </mc:Choice>
  </mc:AlternateContent>
  <xr:revisionPtr revIDLastSave="0" documentId="13_ncr:1_{E672716B-4FB7-4AB3-99C3-4ADD116FE91D}" xr6:coauthVersionLast="47" xr6:coauthVersionMax="47" xr10:uidLastSave="{00000000-0000-0000-0000-000000000000}"/>
  <bookViews>
    <workbookView xWindow="-108" yWindow="-108" windowWidth="23256" windowHeight="13176" activeTab="7" xr2:uid="{00000000-000D-0000-FFFF-FFFF00000000}"/>
  </bookViews>
  <sheets>
    <sheet name="0尤" sheetId="1" r:id="rId1"/>
    <sheet name="65尤" sheetId="2" r:id="rId2"/>
    <sheet name="01布兰特" sheetId="3" r:id="rId3"/>
    <sheet name="01卡提" sheetId="5" r:id="rId4"/>
    <sheet name="21卡提" sheetId="6" r:id="rId5"/>
    <sheet name="65卡提" sheetId="7" r:id="rId6"/>
    <sheet name="爱弥斯" sheetId="8" r:id="rId7"/>
    <sheet name="65千咲" sheetId="9" r:id="rId8"/>
  </sheets>
  <calcPr calcId="191029"/>
</workbook>
</file>

<file path=xl/calcChain.xml><?xml version="1.0" encoding="utf-8"?>
<calcChain xmlns="http://schemas.openxmlformats.org/spreadsheetml/2006/main">
  <c r="M7" i="9" l="1"/>
  <c r="I7" i="9" s="1"/>
  <c r="I10" i="9" s="1"/>
  <c r="M6" i="9"/>
  <c r="M5" i="9"/>
  <c r="E9" i="9" s="1"/>
  <c r="M4" i="9"/>
  <c r="C6" i="9" s="1"/>
  <c r="C4" i="9"/>
  <c r="E4" i="9"/>
  <c r="C5" i="9"/>
  <c r="G7" i="9"/>
  <c r="G10" i="9" s="1"/>
  <c r="Z16" i="9"/>
  <c r="Q16" i="9"/>
  <c r="Q10" i="9"/>
  <c r="Z10" i="9"/>
  <c r="Y16" i="9"/>
  <c r="W16" i="9"/>
  <c r="Z15" i="9"/>
  <c r="Y15" i="9"/>
  <c r="W15" i="9"/>
  <c r="Q15" i="9"/>
  <c r="Y14" i="9"/>
  <c r="W14" i="9"/>
  <c r="Q14" i="9"/>
  <c r="Y13" i="9"/>
  <c r="W13" i="9"/>
  <c r="Q13" i="9"/>
  <c r="Y12" i="9"/>
  <c r="W12" i="9"/>
  <c r="Q12" i="9"/>
  <c r="Y11" i="9"/>
  <c r="W11" i="9"/>
  <c r="Y4" i="9"/>
  <c r="Y7" i="9"/>
  <c r="Y5" i="9"/>
  <c r="Y6" i="9"/>
  <c r="Y8" i="9"/>
  <c r="Y9" i="9"/>
  <c r="Y10" i="9"/>
  <c r="Y3" i="9"/>
  <c r="Z9" i="9" l="1"/>
  <c r="Q9" i="9" l="1"/>
  <c r="Q8" i="9"/>
  <c r="D18" i="9"/>
  <c r="D17" i="9"/>
  <c r="Y18" i="9"/>
  <c r="W10" i="9"/>
  <c r="W9" i="9"/>
  <c r="AH8" i="9"/>
  <c r="W8" i="9"/>
  <c r="AH7" i="9"/>
  <c r="W6" i="9"/>
  <c r="Q6" i="9"/>
  <c r="AH6" i="9"/>
  <c r="W5" i="9"/>
  <c r="Q5" i="9"/>
  <c r="G11" i="9"/>
  <c r="AH5" i="9"/>
  <c r="W7" i="9"/>
  <c r="AH4" i="9"/>
  <c r="W4" i="9"/>
  <c r="Q4" i="9"/>
  <c r="U7" i="9"/>
  <c r="AH3" i="9"/>
  <c r="W3" i="9"/>
  <c r="S7" i="9" l="1"/>
  <c r="T7" i="9"/>
  <c r="S3" i="9"/>
  <c r="S4" i="9"/>
  <c r="X16" i="9"/>
  <c r="X14" i="9"/>
  <c r="X13" i="9"/>
  <c r="X11" i="9"/>
  <c r="X15" i="9"/>
  <c r="X12" i="9"/>
  <c r="U9" i="9"/>
  <c r="U15" i="9"/>
  <c r="U14" i="9"/>
  <c r="U6" i="9"/>
  <c r="U10" i="9"/>
  <c r="U5" i="9"/>
  <c r="U12" i="9"/>
  <c r="U8" i="9"/>
  <c r="U3" i="9"/>
  <c r="U4" i="9"/>
  <c r="U16" i="9"/>
  <c r="U11" i="9"/>
  <c r="U13" i="9"/>
  <c r="S15" i="9"/>
  <c r="S14" i="9"/>
  <c r="T13" i="9"/>
  <c r="T12" i="9"/>
  <c r="T11" i="9"/>
  <c r="S11" i="9"/>
  <c r="S13" i="9"/>
  <c r="S12" i="9"/>
  <c r="T15" i="9"/>
  <c r="S16" i="9"/>
  <c r="T4" i="9"/>
  <c r="T16" i="9"/>
  <c r="T3" i="9"/>
  <c r="T14" i="9"/>
  <c r="S10" i="9"/>
  <c r="S8" i="9"/>
  <c r="S9" i="9"/>
  <c r="T9" i="9"/>
  <c r="V3" i="9"/>
  <c r="X8" i="9"/>
  <c r="T10" i="9"/>
  <c r="X4" i="9"/>
  <c r="T5" i="9"/>
  <c r="X6" i="9"/>
  <c r="X7" i="9"/>
  <c r="X18" i="9"/>
  <c r="X9" i="9"/>
  <c r="X3" i="9"/>
  <c r="S6" i="9"/>
  <c r="X5" i="9"/>
  <c r="T6" i="9"/>
  <c r="T8" i="9"/>
  <c r="X10" i="9"/>
  <c r="S5" i="9"/>
  <c r="AC3" i="9" l="1"/>
  <c r="S18" i="9"/>
  <c r="V6" i="9"/>
  <c r="AC6" i="9" s="1"/>
  <c r="V13" i="9"/>
  <c r="AC13" i="9" s="1"/>
  <c r="V12" i="9"/>
  <c r="AC12" i="9" s="1"/>
  <c r="V15" i="9"/>
  <c r="AC15" i="9" s="1"/>
  <c r="V14" i="9"/>
  <c r="AC14" i="9" s="1"/>
  <c r="V16" i="9"/>
  <c r="AC16" i="9" s="1"/>
  <c r="V11" i="9"/>
  <c r="AC11" i="9" s="1"/>
  <c r="AC18" i="9"/>
  <c r="C19" i="9" s="1"/>
  <c r="D19" i="9" s="1"/>
  <c r="V4" i="9"/>
  <c r="AC4" i="9" s="1"/>
  <c r="V8" i="9"/>
  <c r="AC8" i="9" s="1"/>
  <c r="V9" i="9"/>
  <c r="AC9" i="9" s="1"/>
  <c r="V5" i="9"/>
  <c r="AC5" i="9" s="1"/>
  <c r="V10" i="9"/>
  <c r="AC10" i="9" s="1"/>
  <c r="V7" i="9"/>
  <c r="AC7" i="9" s="1"/>
  <c r="C16" i="9" l="1"/>
  <c r="C20" i="9" s="1"/>
  <c r="F16" i="9" s="1"/>
  <c r="D16" i="9" l="1"/>
  <c r="D20" i="9"/>
  <c r="F17" i="9"/>
  <c r="F18" i="9"/>
  <c r="F19" i="9"/>
  <c r="D21" i="8" l="1"/>
  <c r="C21" i="8"/>
  <c r="F19" i="8"/>
  <c r="D19" i="8"/>
  <c r="C19" i="8"/>
  <c r="F18" i="8"/>
  <c r="D18" i="8"/>
  <c r="C18" i="8"/>
  <c r="F17" i="8"/>
  <c r="D17" i="8"/>
  <c r="C17" i="8"/>
  <c r="AC16" i="8"/>
  <c r="Y16" i="8"/>
  <c r="X16" i="8"/>
  <c r="AC15" i="8"/>
  <c r="Y15" i="8"/>
  <c r="X15" i="8"/>
  <c r="AC14" i="8"/>
  <c r="Y14" i="8"/>
  <c r="X14" i="8"/>
  <c r="AC13" i="8"/>
  <c r="Y13" i="8"/>
  <c r="X13" i="8"/>
  <c r="AC12" i="8"/>
  <c r="Y12" i="8"/>
  <c r="X12" i="8"/>
  <c r="G11" i="8"/>
  <c r="AC10" i="8"/>
  <c r="Y10" i="8"/>
  <c r="X10" i="8"/>
  <c r="V10" i="8"/>
  <c r="U10" i="8"/>
  <c r="T10" i="8"/>
  <c r="S10" i="8"/>
  <c r="I10" i="8"/>
  <c r="G10" i="8"/>
  <c r="AC9" i="8"/>
  <c r="Y9" i="8"/>
  <c r="X9" i="8"/>
  <c r="W9" i="8"/>
  <c r="V9" i="8"/>
  <c r="U9" i="8"/>
  <c r="T9" i="8"/>
  <c r="S9" i="8"/>
  <c r="E9" i="8"/>
  <c r="AF8" i="8"/>
  <c r="AC8" i="8"/>
  <c r="Y8" i="8"/>
  <c r="X8" i="8"/>
  <c r="W8" i="8"/>
  <c r="V8" i="8"/>
  <c r="U8" i="8"/>
  <c r="T8" i="8"/>
  <c r="S8" i="8"/>
  <c r="AF7" i="8"/>
  <c r="AC7" i="8"/>
  <c r="Y7" i="8"/>
  <c r="X7" i="8"/>
  <c r="W7" i="8"/>
  <c r="V7" i="8"/>
  <c r="U7" i="8"/>
  <c r="T7" i="8"/>
  <c r="S7" i="8"/>
  <c r="M7" i="8"/>
  <c r="I7" i="8"/>
  <c r="G7" i="8"/>
  <c r="AF6" i="8"/>
  <c r="AC6" i="8"/>
  <c r="Y6" i="8"/>
  <c r="X6" i="8"/>
  <c r="W6" i="8"/>
  <c r="V6" i="8"/>
  <c r="U6" i="8"/>
  <c r="T6" i="8"/>
  <c r="S6" i="8"/>
  <c r="M6" i="8"/>
  <c r="C6" i="8"/>
  <c r="AF5" i="8"/>
  <c r="AC5" i="8"/>
  <c r="Y5" i="8"/>
  <c r="X5" i="8"/>
  <c r="W5" i="8"/>
  <c r="V5" i="8"/>
  <c r="U5" i="8"/>
  <c r="T5" i="8"/>
  <c r="S5" i="8"/>
  <c r="M5" i="8"/>
  <c r="AF4" i="8"/>
  <c r="AD4" i="8"/>
  <c r="AC4" i="8"/>
  <c r="Y4" i="8"/>
  <c r="X4" i="8"/>
  <c r="W4" i="8"/>
  <c r="V4" i="8"/>
  <c r="U4" i="8"/>
  <c r="T4" i="8"/>
  <c r="S4" i="8"/>
  <c r="M4" i="8"/>
  <c r="E4" i="8"/>
  <c r="C4" i="8"/>
  <c r="AF3" i="8"/>
  <c r="AC3" i="8"/>
  <c r="Y3" i="8"/>
  <c r="X3" i="8"/>
  <c r="W3" i="8"/>
  <c r="V3" i="8"/>
  <c r="U3" i="8"/>
  <c r="T3" i="8"/>
  <c r="S3" i="8"/>
  <c r="AC33" i="7"/>
  <c r="Y33" i="7"/>
  <c r="X33" i="7"/>
  <c r="Q33" i="7"/>
  <c r="AC32" i="7"/>
  <c r="Y32" i="7"/>
  <c r="X32" i="7"/>
  <c r="Q32" i="7"/>
  <c r="AC31" i="7"/>
  <c r="Y31" i="7"/>
  <c r="X31" i="7"/>
  <c r="Q31" i="7"/>
  <c r="AC30" i="7"/>
  <c r="Y30" i="7"/>
  <c r="X30" i="7"/>
  <c r="Q30" i="7"/>
  <c r="H29" i="7"/>
  <c r="K28" i="7"/>
  <c r="H28" i="7"/>
  <c r="AC27" i="7"/>
  <c r="Y27" i="7"/>
  <c r="X27" i="7"/>
  <c r="K27" i="7"/>
  <c r="H27" i="7"/>
  <c r="AC26" i="7"/>
  <c r="Y26" i="7"/>
  <c r="X26" i="7"/>
  <c r="O26" i="7"/>
  <c r="K26" i="7"/>
  <c r="H26" i="7"/>
  <c r="AC25" i="7"/>
  <c r="Y25" i="7"/>
  <c r="X25" i="7"/>
  <c r="O25" i="7"/>
  <c r="K25" i="7"/>
  <c r="H25" i="7"/>
  <c r="AC24" i="7"/>
  <c r="Y24" i="7"/>
  <c r="X24" i="7"/>
  <c r="O24" i="7"/>
  <c r="K24" i="7"/>
  <c r="H24" i="7"/>
  <c r="AC22" i="7"/>
  <c r="Y22" i="7"/>
  <c r="X22" i="7"/>
  <c r="W22" i="7"/>
  <c r="V22" i="7"/>
  <c r="U22" i="7"/>
  <c r="T22" i="7"/>
  <c r="S22" i="7"/>
  <c r="AC21" i="7"/>
  <c r="Y21" i="7"/>
  <c r="X21" i="7"/>
  <c r="W21" i="7"/>
  <c r="V21" i="7"/>
  <c r="U21" i="7"/>
  <c r="T21" i="7"/>
  <c r="S21" i="7"/>
  <c r="AC20" i="7"/>
  <c r="Y20" i="7"/>
  <c r="X20" i="7"/>
  <c r="W20" i="7"/>
  <c r="V20" i="7"/>
  <c r="U20" i="7"/>
  <c r="T20" i="7"/>
  <c r="S20" i="7"/>
  <c r="AC19" i="7"/>
  <c r="Y19" i="7"/>
  <c r="X19" i="7"/>
  <c r="W19" i="7"/>
  <c r="V19" i="7"/>
  <c r="U19" i="7"/>
  <c r="T19" i="7"/>
  <c r="S19" i="7"/>
  <c r="D19" i="7"/>
  <c r="C19" i="7"/>
  <c r="AC18" i="7"/>
  <c r="Y18" i="7"/>
  <c r="X18" i="7"/>
  <c r="W18" i="7"/>
  <c r="V18" i="7"/>
  <c r="U18" i="7"/>
  <c r="T18" i="7"/>
  <c r="S18" i="7"/>
  <c r="D18" i="7"/>
  <c r="C18" i="7"/>
  <c r="AC17" i="7"/>
  <c r="Y17" i="7"/>
  <c r="X17" i="7"/>
  <c r="W17" i="7"/>
  <c r="V17" i="7"/>
  <c r="U17" i="7"/>
  <c r="T17" i="7"/>
  <c r="S17" i="7"/>
  <c r="F17" i="7"/>
  <c r="D17" i="7"/>
  <c r="C17" i="7"/>
  <c r="AC16" i="7"/>
  <c r="Y16" i="7"/>
  <c r="X16" i="7"/>
  <c r="W16" i="7"/>
  <c r="V16" i="7"/>
  <c r="U16" i="7"/>
  <c r="T16" i="7"/>
  <c r="S16" i="7"/>
  <c r="F16" i="7"/>
  <c r="D16" i="7"/>
  <c r="C16" i="7"/>
  <c r="AC15" i="7"/>
  <c r="Y15" i="7"/>
  <c r="X15" i="7"/>
  <c r="W15" i="7"/>
  <c r="V15" i="7"/>
  <c r="U15" i="7"/>
  <c r="T15" i="7"/>
  <c r="S15" i="7"/>
  <c r="AC14" i="7"/>
  <c r="Y14" i="7"/>
  <c r="X14" i="7"/>
  <c r="W14" i="7"/>
  <c r="V14" i="7"/>
  <c r="U14" i="7"/>
  <c r="T14" i="7"/>
  <c r="S14" i="7"/>
  <c r="Q14" i="7"/>
  <c r="AC13" i="7"/>
  <c r="Y13" i="7"/>
  <c r="X13" i="7"/>
  <c r="W13" i="7"/>
  <c r="V13" i="7"/>
  <c r="U13" i="7"/>
  <c r="T13" i="7"/>
  <c r="S13" i="7"/>
  <c r="AC12" i="7"/>
  <c r="Y12" i="7"/>
  <c r="X12" i="7"/>
  <c r="W12" i="7"/>
  <c r="V12" i="7"/>
  <c r="U12" i="7"/>
  <c r="T12" i="7"/>
  <c r="S12" i="7"/>
  <c r="AC11" i="7"/>
  <c r="Y11" i="7"/>
  <c r="X11" i="7"/>
  <c r="W11" i="7"/>
  <c r="V11" i="7"/>
  <c r="U11" i="7"/>
  <c r="T11" i="7"/>
  <c r="S11" i="7"/>
  <c r="G11" i="7"/>
  <c r="AC10" i="7"/>
  <c r="Y10" i="7"/>
  <c r="X10" i="7"/>
  <c r="W10" i="7"/>
  <c r="V10" i="7"/>
  <c r="U10" i="7"/>
  <c r="T10" i="7"/>
  <c r="S10" i="7"/>
  <c r="I10" i="7"/>
  <c r="G10" i="7"/>
  <c r="C10" i="7"/>
  <c r="AC9" i="7"/>
  <c r="Y9" i="7"/>
  <c r="X9" i="7"/>
  <c r="W9" i="7"/>
  <c r="V9" i="7"/>
  <c r="U9" i="7"/>
  <c r="T9" i="7"/>
  <c r="S9" i="7"/>
  <c r="Q9" i="7"/>
  <c r="C9" i="7"/>
  <c r="AF8" i="7"/>
  <c r="AC8" i="7"/>
  <c r="Y8" i="7"/>
  <c r="X8" i="7"/>
  <c r="W8" i="7"/>
  <c r="V8" i="7"/>
  <c r="U8" i="7"/>
  <c r="T8" i="7"/>
  <c r="S8" i="7"/>
  <c r="AF7" i="7"/>
  <c r="AC7" i="7"/>
  <c r="M7" i="7"/>
  <c r="I7" i="7"/>
  <c r="G7" i="7"/>
  <c r="AF6" i="7"/>
  <c r="AC6" i="7"/>
  <c r="Y6" i="7"/>
  <c r="X6" i="7"/>
  <c r="W6" i="7"/>
  <c r="V6" i="7"/>
  <c r="U6" i="7"/>
  <c r="T6" i="7"/>
  <c r="S6" i="7"/>
  <c r="M6" i="7"/>
  <c r="C6" i="7"/>
  <c r="AF5" i="7"/>
  <c r="AC5" i="7"/>
  <c r="Y5" i="7"/>
  <c r="X5" i="7"/>
  <c r="W5" i="7"/>
  <c r="V5" i="7"/>
  <c r="U5" i="7"/>
  <c r="T5" i="7"/>
  <c r="S5" i="7"/>
  <c r="C5" i="7"/>
  <c r="AF4" i="7"/>
  <c r="AD4" i="7"/>
  <c r="AC4" i="7"/>
  <c r="Y4" i="7"/>
  <c r="X4" i="7"/>
  <c r="W4" i="7"/>
  <c r="V4" i="7"/>
  <c r="U4" i="7"/>
  <c r="T4" i="7"/>
  <c r="S4" i="7"/>
  <c r="M4" i="7"/>
  <c r="K4" i="7"/>
  <c r="AF3" i="7"/>
  <c r="AC3" i="7"/>
  <c r="Y3" i="7"/>
  <c r="X3" i="7"/>
  <c r="W3" i="7"/>
  <c r="V3" i="7"/>
  <c r="U3" i="7"/>
  <c r="T3" i="7"/>
  <c r="S3" i="7"/>
  <c r="AC33" i="6"/>
  <c r="Y33" i="6"/>
  <c r="X33" i="6"/>
  <c r="Q33" i="6"/>
  <c r="AC32" i="6"/>
  <c r="Y32" i="6"/>
  <c r="X32" i="6"/>
  <c r="Q32" i="6"/>
  <c r="AC31" i="6"/>
  <c r="Y31" i="6"/>
  <c r="X31" i="6"/>
  <c r="Q31" i="6"/>
  <c r="AC30" i="6"/>
  <c r="Y30" i="6"/>
  <c r="X30" i="6"/>
  <c r="Q30" i="6"/>
  <c r="AC27" i="6"/>
  <c r="Y27" i="6"/>
  <c r="X27" i="6"/>
  <c r="AC26" i="6"/>
  <c r="Y26" i="6"/>
  <c r="X26" i="6"/>
  <c r="O26" i="6"/>
  <c r="AC25" i="6"/>
  <c r="Y25" i="6"/>
  <c r="X25" i="6"/>
  <c r="O25" i="6"/>
  <c r="AC24" i="6"/>
  <c r="Y24" i="6"/>
  <c r="X24" i="6"/>
  <c r="O24" i="6"/>
  <c r="AC22" i="6"/>
  <c r="Y22" i="6"/>
  <c r="X22" i="6"/>
  <c r="W22" i="6"/>
  <c r="V22" i="6"/>
  <c r="U22" i="6"/>
  <c r="T22" i="6"/>
  <c r="S22" i="6"/>
  <c r="AC21" i="6"/>
  <c r="Y21" i="6"/>
  <c r="X21" i="6"/>
  <c r="W21" i="6"/>
  <c r="V21" i="6"/>
  <c r="U21" i="6"/>
  <c r="T21" i="6"/>
  <c r="S21" i="6"/>
  <c r="AC20" i="6"/>
  <c r="Y20" i="6"/>
  <c r="X20" i="6"/>
  <c r="W20" i="6"/>
  <c r="V20" i="6"/>
  <c r="U20" i="6"/>
  <c r="T20" i="6"/>
  <c r="S20" i="6"/>
  <c r="AC19" i="6"/>
  <c r="Y19" i="6"/>
  <c r="X19" i="6"/>
  <c r="W19" i="6"/>
  <c r="V19" i="6"/>
  <c r="U19" i="6"/>
  <c r="T19" i="6"/>
  <c r="S19" i="6"/>
  <c r="D19" i="6"/>
  <c r="C19" i="6"/>
  <c r="AC18" i="6"/>
  <c r="Y18" i="6"/>
  <c r="X18" i="6"/>
  <c r="W18" i="6"/>
  <c r="V18" i="6"/>
  <c r="U18" i="6"/>
  <c r="T18" i="6"/>
  <c r="S18" i="6"/>
  <c r="D18" i="6"/>
  <c r="C18" i="6"/>
  <c r="AC17" i="6"/>
  <c r="Y17" i="6"/>
  <c r="X17" i="6"/>
  <c r="W17" i="6"/>
  <c r="V17" i="6"/>
  <c r="U17" i="6"/>
  <c r="T17" i="6"/>
  <c r="S17" i="6"/>
  <c r="F17" i="6"/>
  <c r="D17" i="6"/>
  <c r="C17" i="6"/>
  <c r="AC16" i="6"/>
  <c r="Y16" i="6"/>
  <c r="X16" i="6"/>
  <c r="W16" i="6"/>
  <c r="V16" i="6"/>
  <c r="U16" i="6"/>
  <c r="T16" i="6"/>
  <c r="S16" i="6"/>
  <c r="F16" i="6"/>
  <c r="D16" i="6"/>
  <c r="C16" i="6"/>
  <c r="AC15" i="6"/>
  <c r="Y15" i="6"/>
  <c r="X15" i="6"/>
  <c r="W15" i="6"/>
  <c r="V15" i="6"/>
  <c r="U15" i="6"/>
  <c r="T15" i="6"/>
  <c r="S15" i="6"/>
  <c r="AC14" i="6"/>
  <c r="Y14" i="6"/>
  <c r="X14" i="6"/>
  <c r="W14" i="6"/>
  <c r="V14" i="6"/>
  <c r="U14" i="6"/>
  <c r="T14" i="6"/>
  <c r="S14" i="6"/>
  <c r="Q14" i="6"/>
  <c r="AC13" i="6"/>
  <c r="Y13" i="6"/>
  <c r="X13" i="6"/>
  <c r="W13" i="6"/>
  <c r="V13" i="6"/>
  <c r="U13" i="6"/>
  <c r="T13" i="6"/>
  <c r="S13" i="6"/>
  <c r="AC12" i="6"/>
  <c r="Y12" i="6"/>
  <c r="X12" i="6"/>
  <c r="W12" i="6"/>
  <c r="V12" i="6"/>
  <c r="U12" i="6"/>
  <c r="T12" i="6"/>
  <c r="S12" i="6"/>
  <c r="AC11" i="6"/>
  <c r="Y11" i="6"/>
  <c r="X11" i="6"/>
  <c r="W11" i="6"/>
  <c r="V11" i="6"/>
  <c r="U11" i="6"/>
  <c r="T11" i="6"/>
  <c r="S11" i="6"/>
  <c r="G11" i="6"/>
  <c r="AC10" i="6"/>
  <c r="Y10" i="6"/>
  <c r="X10" i="6"/>
  <c r="W10" i="6"/>
  <c r="V10" i="6"/>
  <c r="U10" i="6"/>
  <c r="T10" i="6"/>
  <c r="S10" i="6"/>
  <c r="I10" i="6"/>
  <c r="G10" i="6"/>
  <c r="C10" i="6"/>
  <c r="AC9" i="6"/>
  <c r="Y9" i="6"/>
  <c r="X9" i="6"/>
  <c r="W9" i="6"/>
  <c r="V9" i="6"/>
  <c r="U9" i="6"/>
  <c r="T9" i="6"/>
  <c r="S9" i="6"/>
  <c r="Q9" i="6"/>
  <c r="C9" i="6"/>
  <c r="AF8" i="6"/>
  <c r="AC8" i="6"/>
  <c r="Y8" i="6"/>
  <c r="X8" i="6"/>
  <c r="W8" i="6"/>
  <c r="V8" i="6"/>
  <c r="U8" i="6"/>
  <c r="T8" i="6"/>
  <c r="S8" i="6"/>
  <c r="AF7" i="6"/>
  <c r="AC7" i="6"/>
  <c r="M7" i="6"/>
  <c r="I7" i="6"/>
  <c r="G7" i="6"/>
  <c r="AF6" i="6"/>
  <c r="AC6" i="6"/>
  <c r="Y6" i="6"/>
  <c r="X6" i="6"/>
  <c r="W6" i="6"/>
  <c r="V6" i="6"/>
  <c r="U6" i="6"/>
  <c r="T6" i="6"/>
  <c r="S6" i="6"/>
  <c r="M6" i="6"/>
  <c r="C6" i="6"/>
  <c r="AF5" i="6"/>
  <c r="AC5" i="6"/>
  <c r="Y5" i="6"/>
  <c r="X5" i="6"/>
  <c r="W5" i="6"/>
  <c r="V5" i="6"/>
  <c r="U5" i="6"/>
  <c r="T5" i="6"/>
  <c r="S5" i="6"/>
  <c r="C5" i="6"/>
  <c r="AF4" i="6"/>
  <c r="AD4" i="6"/>
  <c r="AC4" i="6"/>
  <c r="Y4" i="6"/>
  <c r="X4" i="6"/>
  <c r="W4" i="6"/>
  <c r="V4" i="6"/>
  <c r="U4" i="6"/>
  <c r="T4" i="6"/>
  <c r="S4" i="6"/>
  <c r="M4" i="6"/>
  <c r="K4" i="6"/>
  <c r="AF3" i="6"/>
  <c r="AC3" i="6"/>
  <c r="Y3" i="6"/>
  <c r="X3" i="6"/>
  <c r="W3" i="6"/>
  <c r="V3" i="6"/>
  <c r="U3" i="6"/>
  <c r="T3" i="6"/>
  <c r="S3" i="6"/>
  <c r="AC27" i="5"/>
  <c r="Y27" i="5"/>
  <c r="X27" i="5"/>
  <c r="Q27" i="5"/>
  <c r="AC26" i="5"/>
  <c r="Y26" i="5"/>
  <c r="X26" i="5"/>
  <c r="Q26" i="5"/>
  <c r="AC25" i="5"/>
  <c r="Y25" i="5"/>
  <c r="X25" i="5"/>
  <c r="Q25" i="5"/>
  <c r="AC24" i="5"/>
  <c r="Y24" i="5"/>
  <c r="X24" i="5"/>
  <c r="Q24" i="5"/>
  <c r="AC21" i="5"/>
  <c r="Y21" i="5"/>
  <c r="X21" i="5"/>
  <c r="AC20" i="5"/>
  <c r="Y20" i="5"/>
  <c r="X20" i="5"/>
  <c r="O20" i="5"/>
  <c r="AC19" i="5"/>
  <c r="Y19" i="5"/>
  <c r="X19" i="5"/>
  <c r="O19" i="5"/>
  <c r="D19" i="5"/>
  <c r="C19" i="5"/>
  <c r="AC18" i="5"/>
  <c r="Y18" i="5"/>
  <c r="X18" i="5"/>
  <c r="O18" i="5"/>
  <c r="D18" i="5"/>
  <c r="C18" i="5"/>
  <c r="F17" i="5"/>
  <c r="D17" i="5"/>
  <c r="C17" i="5"/>
  <c r="AC16" i="5"/>
  <c r="Y16" i="5"/>
  <c r="X16" i="5"/>
  <c r="W16" i="5"/>
  <c r="V16" i="5"/>
  <c r="U16" i="5"/>
  <c r="T16" i="5"/>
  <c r="S16" i="5"/>
  <c r="F16" i="5"/>
  <c r="D16" i="5"/>
  <c r="C16" i="5"/>
  <c r="AC15" i="5"/>
  <c r="Y15" i="5"/>
  <c r="X15" i="5"/>
  <c r="W15" i="5"/>
  <c r="V15" i="5"/>
  <c r="U15" i="5"/>
  <c r="T15" i="5"/>
  <c r="S15" i="5"/>
  <c r="AC14" i="5"/>
  <c r="Y14" i="5"/>
  <c r="X14" i="5"/>
  <c r="W14" i="5"/>
  <c r="V14" i="5"/>
  <c r="U14" i="5"/>
  <c r="T14" i="5"/>
  <c r="S14" i="5"/>
  <c r="AC13" i="5"/>
  <c r="Y13" i="5"/>
  <c r="X13" i="5"/>
  <c r="W13" i="5"/>
  <c r="V13" i="5"/>
  <c r="U13" i="5"/>
  <c r="T13" i="5"/>
  <c r="S13" i="5"/>
  <c r="AC12" i="5"/>
  <c r="Y12" i="5"/>
  <c r="X12" i="5"/>
  <c r="W12" i="5"/>
  <c r="V12" i="5"/>
  <c r="U12" i="5"/>
  <c r="T12" i="5"/>
  <c r="S12" i="5"/>
  <c r="AC11" i="5"/>
  <c r="Y11" i="5"/>
  <c r="X11" i="5"/>
  <c r="W11" i="5"/>
  <c r="V11" i="5"/>
  <c r="U11" i="5"/>
  <c r="T11" i="5"/>
  <c r="S11" i="5"/>
  <c r="Q11" i="5"/>
  <c r="G11" i="5"/>
  <c r="AC10" i="5"/>
  <c r="Y10" i="5"/>
  <c r="X10" i="5"/>
  <c r="W10" i="5"/>
  <c r="V10" i="5"/>
  <c r="U10" i="5"/>
  <c r="T10" i="5"/>
  <c r="S10" i="5"/>
  <c r="I10" i="5"/>
  <c r="G10" i="5"/>
  <c r="C10" i="5"/>
  <c r="AC9" i="5"/>
  <c r="Y9" i="5"/>
  <c r="X9" i="5"/>
  <c r="W9" i="5"/>
  <c r="V9" i="5"/>
  <c r="U9" i="5"/>
  <c r="T9" i="5"/>
  <c r="S9" i="5"/>
  <c r="Q9" i="5"/>
  <c r="C9" i="5"/>
  <c r="AF8" i="5"/>
  <c r="AC8" i="5"/>
  <c r="Y8" i="5"/>
  <c r="X8" i="5"/>
  <c r="W8" i="5"/>
  <c r="V8" i="5"/>
  <c r="U8" i="5"/>
  <c r="T8" i="5"/>
  <c r="S8" i="5"/>
  <c r="AF7" i="5"/>
  <c r="M7" i="5"/>
  <c r="I7" i="5"/>
  <c r="G7" i="5"/>
  <c r="AF6" i="5"/>
  <c r="AC6" i="5"/>
  <c r="Y6" i="5"/>
  <c r="X6" i="5"/>
  <c r="W6" i="5"/>
  <c r="V6" i="5"/>
  <c r="U6" i="5"/>
  <c r="T6" i="5"/>
  <c r="S6" i="5"/>
  <c r="M6" i="5"/>
  <c r="C6" i="5"/>
  <c r="AF5" i="5"/>
  <c r="AC5" i="5"/>
  <c r="Y5" i="5"/>
  <c r="X5" i="5"/>
  <c r="W5" i="5"/>
  <c r="V5" i="5"/>
  <c r="U5" i="5"/>
  <c r="T5" i="5"/>
  <c r="S5" i="5"/>
  <c r="C5" i="5"/>
  <c r="AF4" i="5"/>
  <c r="AD4" i="5"/>
  <c r="AC4" i="5"/>
  <c r="Y4" i="5"/>
  <c r="X4" i="5"/>
  <c r="W4" i="5"/>
  <c r="V4" i="5"/>
  <c r="U4" i="5"/>
  <c r="T4" i="5"/>
  <c r="S4" i="5"/>
  <c r="M4" i="5"/>
  <c r="K4" i="5"/>
  <c r="AF3" i="5"/>
  <c r="AC3" i="5"/>
  <c r="Y3" i="5"/>
  <c r="X3" i="5"/>
  <c r="W3" i="5"/>
  <c r="V3" i="5"/>
  <c r="U3" i="5"/>
  <c r="T3" i="5"/>
  <c r="S3" i="5"/>
  <c r="J27" i="3"/>
  <c r="AC26" i="3"/>
  <c r="Y26" i="3"/>
  <c r="X26" i="3"/>
  <c r="Q26" i="3"/>
  <c r="J26" i="3"/>
  <c r="AC25" i="3"/>
  <c r="Y25" i="3"/>
  <c r="X25" i="3"/>
  <c r="Q25" i="3"/>
  <c r="J25" i="3"/>
  <c r="AC24" i="3"/>
  <c r="Y24" i="3"/>
  <c r="X24" i="3"/>
  <c r="Q24" i="3"/>
  <c r="J24" i="3"/>
  <c r="AC23" i="3"/>
  <c r="Y23" i="3"/>
  <c r="X23" i="3"/>
  <c r="Q23" i="3"/>
  <c r="J23" i="3"/>
  <c r="J22" i="3"/>
  <c r="AC20" i="3"/>
  <c r="Y20" i="3"/>
  <c r="X20" i="3"/>
  <c r="AC19" i="3"/>
  <c r="Y19" i="3"/>
  <c r="X19" i="3"/>
  <c r="O19" i="3"/>
  <c r="AC18" i="3"/>
  <c r="Y18" i="3"/>
  <c r="X18" i="3"/>
  <c r="O18" i="3"/>
  <c r="D18" i="3"/>
  <c r="C18" i="3"/>
  <c r="AC17" i="3"/>
  <c r="Y17" i="3"/>
  <c r="X17" i="3"/>
  <c r="O17" i="3"/>
  <c r="F17" i="3"/>
  <c r="D17" i="3"/>
  <c r="C17" i="3"/>
  <c r="F16" i="3"/>
  <c r="D16" i="3"/>
  <c r="C16" i="3"/>
  <c r="AC15" i="3"/>
  <c r="Y15" i="3"/>
  <c r="X15" i="3"/>
  <c r="W15" i="3"/>
  <c r="V15" i="3"/>
  <c r="U15" i="3"/>
  <c r="T15" i="3"/>
  <c r="S15" i="3"/>
  <c r="AC14" i="3"/>
  <c r="Y14" i="3"/>
  <c r="X14" i="3"/>
  <c r="W14" i="3"/>
  <c r="V14" i="3"/>
  <c r="U14" i="3"/>
  <c r="T14" i="3"/>
  <c r="S14" i="3"/>
  <c r="O14" i="3"/>
  <c r="AC13" i="3"/>
  <c r="Y13" i="3"/>
  <c r="X13" i="3"/>
  <c r="W13" i="3"/>
  <c r="V13" i="3"/>
  <c r="U13" i="3"/>
  <c r="T13" i="3"/>
  <c r="S13" i="3"/>
  <c r="AC12" i="3"/>
  <c r="Y12" i="3"/>
  <c r="X12" i="3"/>
  <c r="W12" i="3"/>
  <c r="V12" i="3"/>
  <c r="U12" i="3"/>
  <c r="T12" i="3"/>
  <c r="S12" i="3"/>
  <c r="AC11" i="3"/>
  <c r="Y11" i="3"/>
  <c r="X11" i="3"/>
  <c r="W11" i="3"/>
  <c r="V11" i="3"/>
  <c r="U11" i="3"/>
  <c r="T11" i="3"/>
  <c r="S11" i="3"/>
  <c r="G11" i="3"/>
  <c r="A11" i="3"/>
  <c r="AC10" i="3"/>
  <c r="Y10" i="3"/>
  <c r="X10" i="3"/>
  <c r="W10" i="3"/>
  <c r="V10" i="3"/>
  <c r="U10" i="3"/>
  <c r="T10" i="3"/>
  <c r="S10" i="3"/>
  <c r="I10" i="3"/>
  <c r="G10" i="3"/>
  <c r="E10" i="3"/>
  <c r="C10" i="3"/>
  <c r="AC9" i="3"/>
  <c r="Y9" i="3"/>
  <c r="X9" i="3"/>
  <c r="W9" i="3"/>
  <c r="V9" i="3"/>
  <c r="U9" i="3"/>
  <c r="T9" i="3"/>
  <c r="S9" i="3"/>
  <c r="E9" i="3"/>
  <c r="AF8" i="3"/>
  <c r="AC8" i="3"/>
  <c r="Y8" i="3"/>
  <c r="X8" i="3"/>
  <c r="W8" i="3"/>
  <c r="V8" i="3"/>
  <c r="U8" i="3"/>
  <c r="T8" i="3"/>
  <c r="S8" i="3"/>
  <c r="C8" i="3"/>
  <c r="AF7" i="3"/>
  <c r="AC7" i="3"/>
  <c r="Y7" i="3"/>
  <c r="X7" i="3"/>
  <c r="W7" i="3"/>
  <c r="V7" i="3"/>
  <c r="U7" i="3"/>
  <c r="T7" i="3"/>
  <c r="S7" i="3"/>
  <c r="M7" i="3"/>
  <c r="I7" i="3"/>
  <c r="G7" i="3"/>
  <c r="AF6" i="3"/>
  <c r="AC6" i="3"/>
  <c r="Y6" i="3"/>
  <c r="X6" i="3"/>
  <c r="W6" i="3"/>
  <c r="V6" i="3"/>
  <c r="U6" i="3"/>
  <c r="T6" i="3"/>
  <c r="S6" i="3"/>
  <c r="M6" i="3"/>
  <c r="C6" i="3"/>
  <c r="AF5" i="3"/>
  <c r="AC5" i="3"/>
  <c r="Y5" i="3"/>
  <c r="X5" i="3"/>
  <c r="W5" i="3"/>
  <c r="V5" i="3"/>
  <c r="U5" i="3"/>
  <c r="T5" i="3"/>
  <c r="S5" i="3"/>
  <c r="M5" i="3"/>
  <c r="G5" i="3"/>
  <c r="E5" i="3"/>
  <c r="C5" i="3"/>
  <c r="AF4" i="3"/>
  <c r="AC4" i="3"/>
  <c r="Y4" i="3"/>
  <c r="X4" i="3"/>
  <c r="W4" i="3"/>
  <c r="V4" i="3"/>
  <c r="U4" i="3"/>
  <c r="T4" i="3"/>
  <c r="S4" i="3"/>
  <c r="M4" i="3"/>
  <c r="E4" i="3"/>
  <c r="C4" i="3"/>
  <c r="A4" i="3"/>
  <c r="AF3" i="3"/>
  <c r="AC3" i="3"/>
  <c r="Y3" i="3"/>
  <c r="X3" i="3"/>
  <c r="W3" i="3"/>
  <c r="V3" i="3"/>
  <c r="U3" i="3"/>
  <c r="T3" i="3"/>
  <c r="S3" i="3"/>
  <c r="I27" i="2"/>
  <c r="I26" i="2"/>
  <c r="I25" i="2"/>
  <c r="I24" i="2"/>
  <c r="AC23" i="2"/>
  <c r="Y23" i="2"/>
  <c r="X23" i="2"/>
  <c r="Q23" i="2"/>
  <c r="I23" i="2"/>
  <c r="AC22" i="2"/>
  <c r="Y22" i="2"/>
  <c r="X22" i="2"/>
  <c r="Q22" i="2"/>
  <c r="AC21" i="2"/>
  <c r="Y21" i="2"/>
  <c r="X21" i="2"/>
  <c r="Q21" i="2"/>
  <c r="AC20" i="2"/>
  <c r="Y20" i="2"/>
  <c r="X20" i="2"/>
  <c r="Q20" i="2"/>
  <c r="D18" i="2"/>
  <c r="C18" i="2"/>
  <c r="AC17" i="2"/>
  <c r="Y17" i="2"/>
  <c r="X17" i="2"/>
  <c r="F17" i="2"/>
  <c r="D17" i="2"/>
  <c r="C17" i="2"/>
  <c r="AC16" i="2"/>
  <c r="Y16" i="2"/>
  <c r="X16" i="2"/>
  <c r="O16" i="2"/>
  <c r="F16" i="2"/>
  <c r="D16" i="2"/>
  <c r="C16" i="2"/>
  <c r="AC15" i="2"/>
  <c r="Y15" i="2"/>
  <c r="X15" i="2"/>
  <c r="O15" i="2"/>
  <c r="AC14" i="2"/>
  <c r="Y14" i="2"/>
  <c r="X14" i="2"/>
  <c r="O14" i="2"/>
  <c r="AC12" i="2"/>
  <c r="Y12" i="2"/>
  <c r="X12" i="2"/>
  <c r="W12" i="2"/>
  <c r="V12" i="2"/>
  <c r="U12" i="2"/>
  <c r="T12" i="2"/>
  <c r="S12" i="2"/>
  <c r="Q12" i="2"/>
  <c r="AC11" i="2"/>
  <c r="Y11" i="2"/>
  <c r="X11" i="2"/>
  <c r="W11" i="2"/>
  <c r="V11" i="2"/>
  <c r="U11" i="2"/>
  <c r="T11" i="2"/>
  <c r="S11" i="2"/>
  <c r="Q11" i="2"/>
  <c r="G11" i="2"/>
  <c r="AC10" i="2"/>
  <c r="Y10" i="2"/>
  <c r="X10" i="2"/>
  <c r="W10" i="2"/>
  <c r="V10" i="2"/>
  <c r="U10" i="2"/>
  <c r="T10" i="2"/>
  <c r="S10" i="2"/>
  <c r="Q10" i="2"/>
  <c r="I10" i="2"/>
  <c r="G10" i="2"/>
  <c r="AC9" i="2"/>
  <c r="Y9" i="2"/>
  <c r="X9" i="2"/>
  <c r="W9" i="2"/>
  <c r="V9" i="2"/>
  <c r="U9" i="2"/>
  <c r="T9" i="2"/>
  <c r="S9" i="2"/>
  <c r="Q9" i="2"/>
  <c r="E9" i="2"/>
  <c r="AF8" i="2"/>
  <c r="AC8" i="2"/>
  <c r="Y8" i="2"/>
  <c r="X8" i="2"/>
  <c r="W8" i="2"/>
  <c r="V8" i="2"/>
  <c r="U8" i="2"/>
  <c r="T8" i="2"/>
  <c r="S8" i="2"/>
  <c r="Q8" i="2"/>
  <c r="AF7" i="2"/>
  <c r="AC7" i="2"/>
  <c r="Y7" i="2"/>
  <c r="X7" i="2"/>
  <c r="W7" i="2"/>
  <c r="V7" i="2"/>
  <c r="U7" i="2"/>
  <c r="T7" i="2"/>
  <c r="S7" i="2"/>
  <c r="Q7" i="2"/>
  <c r="M7" i="2"/>
  <c r="I7" i="2"/>
  <c r="G7" i="2"/>
  <c r="C7" i="2"/>
  <c r="AF6" i="2"/>
  <c r="AC6" i="2"/>
  <c r="Y6" i="2"/>
  <c r="X6" i="2"/>
  <c r="W6" i="2"/>
  <c r="V6" i="2"/>
  <c r="U6" i="2"/>
  <c r="T6" i="2"/>
  <c r="S6" i="2"/>
  <c r="Q6" i="2"/>
  <c r="M6" i="2"/>
  <c r="C6" i="2"/>
  <c r="AF5" i="2"/>
  <c r="AC5" i="2"/>
  <c r="Y5" i="2"/>
  <c r="X5" i="2"/>
  <c r="W5" i="2"/>
  <c r="V5" i="2"/>
  <c r="U5" i="2"/>
  <c r="T5" i="2"/>
  <c r="S5" i="2"/>
  <c r="Q5" i="2"/>
  <c r="M5" i="2"/>
  <c r="E5" i="2"/>
  <c r="AF4" i="2"/>
  <c r="AC4" i="2"/>
  <c r="Y4" i="2"/>
  <c r="X4" i="2"/>
  <c r="W4" i="2"/>
  <c r="V4" i="2"/>
  <c r="U4" i="2"/>
  <c r="T4" i="2"/>
  <c r="S4" i="2"/>
  <c r="Q4" i="2"/>
  <c r="M4" i="2"/>
  <c r="E4" i="2"/>
  <c r="C4" i="2"/>
  <c r="AF3" i="2"/>
  <c r="AC3" i="2"/>
  <c r="Y3" i="2"/>
  <c r="X3" i="2"/>
  <c r="W3" i="2"/>
  <c r="V3" i="2"/>
  <c r="U3" i="2"/>
  <c r="T3" i="2"/>
  <c r="S3" i="2"/>
  <c r="AC28" i="1"/>
  <c r="Y28" i="1"/>
  <c r="X28" i="1"/>
  <c r="Q28" i="1"/>
  <c r="AC27" i="1"/>
  <c r="Y27" i="1"/>
  <c r="X27" i="1"/>
  <c r="Q27" i="1"/>
  <c r="AC26" i="1"/>
  <c r="Y26" i="1"/>
  <c r="X26" i="1"/>
  <c r="Q26" i="1"/>
  <c r="AC25" i="1"/>
  <c r="Y25" i="1"/>
  <c r="X25" i="1"/>
  <c r="Q25" i="1"/>
  <c r="AC22" i="1"/>
  <c r="Y22" i="1"/>
  <c r="X22" i="1"/>
  <c r="AC21" i="1"/>
  <c r="Y21" i="1"/>
  <c r="X21" i="1"/>
  <c r="O21" i="1"/>
  <c r="AC20" i="1"/>
  <c r="Y20" i="1"/>
  <c r="X20" i="1"/>
  <c r="O20" i="1"/>
  <c r="AC19" i="1"/>
  <c r="Y19" i="1"/>
  <c r="X19" i="1"/>
  <c r="O19" i="1"/>
  <c r="D18" i="1"/>
  <c r="C18" i="1"/>
  <c r="AC17" i="1"/>
  <c r="Y17" i="1"/>
  <c r="X17" i="1"/>
  <c r="W17" i="1"/>
  <c r="V17" i="1"/>
  <c r="U17" i="1"/>
  <c r="T17" i="1"/>
  <c r="S17" i="1"/>
  <c r="F17" i="1"/>
  <c r="D17" i="1"/>
  <c r="C17" i="1"/>
  <c r="AC16" i="1"/>
  <c r="Y16" i="1"/>
  <c r="X16" i="1"/>
  <c r="W16" i="1"/>
  <c r="V16" i="1"/>
  <c r="U16" i="1"/>
  <c r="T16" i="1"/>
  <c r="S16" i="1"/>
  <c r="Q16" i="1"/>
  <c r="F16" i="1"/>
  <c r="D16" i="1"/>
  <c r="C16" i="1"/>
  <c r="AC15" i="1"/>
  <c r="Y15" i="1"/>
  <c r="X15" i="1"/>
  <c r="W15" i="1"/>
  <c r="V15" i="1"/>
  <c r="U15" i="1"/>
  <c r="T15" i="1"/>
  <c r="S15" i="1"/>
  <c r="Q15" i="1"/>
  <c r="AC14" i="1"/>
  <c r="Y14" i="1"/>
  <c r="X14" i="1"/>
  <c r="W14" i="1"/>
  <c r="V14" i="1"/>
  <c r="U14" i="1"/>
  <c r="T14" i="1"/>
  <c r="S14" i="1"/>
  <c r="AC13" i="1"/>
  <c r="Y13" i="1"/>
  <c r="X13" i="1"/>
  <c r="W13" i="1"/>
  <c r="V13" i="1"/>
  <c r="U13" i="1"/>
  <c r="T13" i="1"/>
  <c r="S13" i="1"/>
  <c r="AC12" i="1"/>
  <c r="Y12" i="1"/>
  <c r="X12" i="1"/>
  <c r="W12" i="1"/>
  <c r="V12" i="1"/>
  <c r="U12" i="1"/>
  <c r="T12" i="1"/>
  <c r="S12" i="1"/>
  <c r="Q12" i="1"/>
  <c r="AC11" i="1"/>
  <c r="Y11" i="1"/>
  <c r="X11" i="1"/>
  <c r="W11" i="1"/>
  <c r="V11" i="1"/>
  <c r="U11" i="1"/>
  <c r="T11" i="1"/>
  <c r="S11" i="1"/>
  <c r="Q11" i="1"/>
  <c r="G11" i="1"/>
  <c r="AC10" i="1"/>
  <c r="Y10" i="1"/>
  <c r="X10" i="1"/>
  <c r="W10" i="1"/>
  <c r="V10" i="1"/>
  <c r="U10" i="1"/>
  <c r="T10" i="1"/>
  <c r="S10" i="1"/>
  <c r="Q10" i="1"/>
  <c r="I10" i="1"/>
  <c r="G10" i="1"/>
  <c r="AC9" i="1"/>
  <c r="Y9" i="1"/>
  <c r="X9" i="1"/>
  <c r="W9" i="1"/>
  <c r="V9" i="1"/>
  <c r="U9" i="1"/>
  <c r="T9" i="1"/>
  <c r="S9" i="1"/>
  <c r="Q9" i="1"/>
  <c r="E9" i="1"/>
  <c r="AF8" i="1"/>
  <c r="AC8" i="1"/>
  <c r="Y8" i="1"/>
  <c r="X8" i="1"/>
  <c r="W8" i="1"/>
  <c r="V8" i="1"/>
  <c r="U8" i="1"/>
  <c r="T8" i="1"/>
  <c r="S8" i="1"/>
  <c r="Q8" i="1"/>
  <c r="AF7" i="1"/>
  <c r="AC7" i="1"/>
  <c r="Y7" i="1"/>
  <c r="X7" i="1"/>
  <c r="W7" i="1"/>
  <c r="V7" i="1"/>
  <c r="U7" i="1"/>
  <c r="T7" i="1"/>
  <c r="S7" i="1"/>
  <c r="Q7" i="1"/>
  <c r="M7" i="1"/>
  <c r="I7" i="1"/>
  <c r="G7" i="1"/>
  <c r="AF6" i="1"/>
  <c r="AC6" i="1"/>
  <c r="Y6" i="1"/>
  <c r="X6" i="1"/>
  <c r="W6" i="1"/>
  <c r="V6" i="1"/>
  <c r="U6" i="1"/>
  <c r="T6" i="1"/>
  <c r="S6" i="1"/>
  <c r="Q6" i="1"/>
  <c r="M6" i="1"/>
  <c r="C6" i="1"/>
  <c r="AF5" i="1"/>
  <c r="AC5" i="1"/>
  <c r="Y5" i="1"/>
  <c r="X5" i="1"/>
  <c r="W5" i="1"/>
  <c r="V5" i="1"/>
  <c r="U5" i="1"/>
  <c r="T5" i="1"/>
  <c r="S5" i="1"/>
  <c r="Q5" i="1"/>
  <c r="M5" i="1"/>
  <c r="E5" i="1"/>
  <c r="C5" i="1"/>
  <c r="AF4" i="1"/>
  <c r="AC4" i="1"/>
  <c r="Y4" i="1"/>
  <c r="X4" i="1"/>
  <c r="W4" i="1"/>
  <c r="V4" i="1"/>
  <c r="U4" i="1"/>
  <c r="T4" i="1"/>
  <c r="S4" i="1"/>
  <c r="M4" i="1"/>
  <c r="E4" i="1"/>
  <c r="C4" i="1"/>
  <c r="AF3" i="1"/>
  <c r="AC3" i="1"/>
  <c r="Y3" i="1"/>
  <c r="X3" i="1"/>
  <c r="W3" i="1"/>
  <c r="V3" i="1"/>
  <c r="U3" i="1"/>
  <c r="T3" i="1"/>
  <c r="S3" i="1"/>
</calcChain>
</file>

<file path=xl/sharedStrings.xml><?xml version="1.0" encoding="utf-8"?>
<sst xmlns="http://schemas.openxmlformats.org/spreadsheetml/2006/main" count="1021" uniqueCount="175">
  <si>
    <t>角色主类型</t>
  </si>
  <si>
    <t>r</t>
  </si>
  <si>
    <t>3C属伤数</t>
  </si>
  <si>
    <t>尤诺</t>
  </si>
  <si>
    <t>次数</t>
  </si>
  <si>
    <t>动作</t>
  </si>
  <si>
    <t>倍率</t>
  </si>
  <si>
    <t>类型</t>
  </si>
  <si>
    <t>面板攻击</t>
  </si>
  <si>
    <t>攻击区</t>
  </si>
  <si>
    <t>加成区</t>
  </si>
  <si>
    <t>双爆区</t>
  </si>
  <si>
    <t>加深区</t>
  </si>
  <si>
    <t>防御区</t>
  </si>
  <si>
    <t>抗性区</t>
  </si>
  <si>
    <t>倍率提升</t>
  </si>
  <si>
    <t>易伤区</t>
  </si>
  <si>
    <t>独立乘区</t>
  </si>
  <si>
    <t>伤害</t>
  </si>
  <si>
    <t>无视防御</t>
  </si>
  <si>
    <t>减防</t>
  </si>
  <si>
    <t>怪物等级</t>
  </si>
  <si>
    <t>攻击</t>
  </si>
  <si>
    <t>暴击</t>
  </si>
  <si>
    <t>暴击伤害</t>
  </si>
  <si>
    <t>副词条</t>
  </si>
  <si>
    <t>溺失月海</t>
  </si>
  <si>
    <t>白值</t>
  </si>
  <si>
    <t>3C声骸</t>
  </si>
  <si>
    <t>基础与固有</t>
  </si>
  <si>
    <t>全加深</t>
  </si>
  <si>
    <t>大攻击</t>
  </si>
  <si>
    <t>流变·月弓</t>
  </si>
  <si>
    <t>固有武器</t>
  </si>
  <si>
    <t>套装首位</t>
  </si>
  <si>
    <t>武器</t>
  </si>
  <si>
    <t>主类型加深</t>
  </si>
  <si>
    <t>r伤害</t>
  </si>
  <si>
    <t>（强化）a123</t>
  </si>
  <si>
    <t>主副词条</t>
  </si>
  <si>
    <t>自拐属伤</t>
  </si>
  <si>
    <t>套装</t>
  </si>
  <si>
    <t>（强化）越限的弦引</t>
  </si>
  <si>
    <t xml:space="preserve">自拐攻击 </t>
  </si>
  <si>
    <t>被拐属伤</t>
  </si>
  <si>
    <t>爆伤</t>
  </si>
  <si>
    <t>a123</t>
  </si>
  <si>
    <t>被拐攻击</t>
  </si>
  <si>
    <t>其他属伤</t>
  </si>
  <si>
    <t>共鸣链</t>
  </si>
  <si>
    <t>q</t>
  </si>
  <si>
    <t>声骸固定攻击</t>
  </si>
  <si>
    <t>主类型加成</t>
  </si>
  <si>
    <t>队友</t>
  </si>
  <si>
    <t>额外固定攻击</t>
  </si>
  <si>
    <t>面板暴击率</t>
  </si>
  <si>
    <t>面板暴击伤害</t>
  </si>
  <si>
    <t>溢出暴击</t>
  </si>
  <si>
    <t>下落</t>
  </si>
  <si>
    <t>a</t>
  </si>
  <si>
    <t>光抗</t>
  </si>
  <si>
    <t>告终的喧响</t>
  </si>
  <si>
    <t>e</t>
  </si>
  <si>
    <t>暗抗</t>
  </si>
  <si>
    <t>月环a1</t>
  </si>
  <si>
    <t>风抗</t>
  </si>
  <si>
    <t>20抗100级怪</t>
  </si>
  <si>
    <t>雷抗</t>
  </si>
  <si>
    <t>总伤</t>
  </si>
  <si>
    <t>dps</t>
  </si>
  <si>
    <t>秒数</t>
  </si>
  <si>
    <t>占比</t>
  </si>
  <si>
    <t>(强化）a123</t>
  </si>
  <si>
    <t>冰抗</t>
  </si>
  <si>
    <t>一号位</t>
  </si>
  <si>
    <t>越限的弦引</t>
  </si>
  <si>
    <t>火抗</t>
  </si>
  <si>
    <t>谐度破坏</t>
  </si>
  <si>
    <t>z</t>
  </si>
  <si>
    <t>合计</t>
  </si>
  <si>
    <t>物抗</t>
  </si>
  <si>
    <t>琳奈震谐</t>
  </si>
  <si>
    <t>震谐</t>
  </si>
  <si>
    <t>莫宁震谐</t>
  </si>
  <si>
    <t>BV115pXzAEET</t>
  </si>
  <si>
    <t>爱弥斯震谐</t>
  </si>
  <si>
    <t>谐破</t>
  </si>
  <si>
    <t>风蚀</t>
  </si>
  <si>
    <t>光躁</t>
  </si>
  <si>
    <t>霜渐</t>
  </si>
  <si>
    <t>聚爆</t>
  </si>
  <si>
    <t>层数</t>
  </si>
  <si>
    <t>配置</t>
  </si>
  <si>
    <t>尤诺单通</t>
  </si>
  <si>
    <t>提升</t>
  </si>
  <si>
    <t>01</t>
  </si>
  <si>
    <t>11</t>
  </si>
  <si>
    <t>21</t>
  </si>
  <si>
    <t>31</t>
  </si>
  <si>
    <t>61</t>
  </si>
  <si>
    <t>65</t>
  </si>
  <si>
    <t>布兰特</t>
  </si>
  <si>
    <t>共鸣效率</t>
  </si>
  <si>
    <t>空a1+空翻</t>
  </si>
  <si>
    <t>空a2+空翻</t>
  </si>
  <si>
    <t>a伤害</t>
  </si>
  <si>
    <t>空a3+空翻</t>
  </si>
  <si>
    <t>4C</t>
  </si>
  <si>
    <t>空a4*2</t>
  </si>
  <si>
    <t>火焰归亡曲</t>
  </si>
  <si>
    <t>戏中人生</t>
  </si>
  <si>
    <t>直到世界尽头</t>
  </si>
  <si>
    <t>我的人生</t>
  </si>
  <si>
    <t>r后a</t>
  </si>
  <si>
    <t>谐振</t>
  </si>
  <si>
    <t>单通dps</t>
  </si>
  <si>
    <t>面板生命</t>
  </si>
  <si>
    <t>生命区</t>
  </si>
  <si>
    <t>a1234</t>
  </si>
  <si>
    <t>大生命</t>
  </si>
  <si>
    <t>小生命</t>
  </si>
  <si>
    <t>3下落</t>
  </si>
  <si>
    <t>ee</t>
  </si>
  <si>
    <t>声骸固定生命</t>
  </si>
  <si>
    <t>a345</t>
  </si>
  <si>
    <t>额外固定生命</t>
  </si>
  <si>
    <t>武器精炼</t>
  </si>
  <si>
    <t>a12345</t>
  </si>
  <si>
    <t>r2</t>
  </si>
  <si>
    <t>风蚀dot</t>
  </si>
  <si>
    <t>BV1Z8itBAEAf</t>
  </si>
  <si>
    <t>2下落</t>
  </si>
  <si>
    <t>卡提单通</t>
  </si>
  <si>
    <t>爱弥斯</t>
  </si>
  <si>
    <t>星辉破界而来·过载</t>
  </si>
  <si>
    <t>r加深</t>
  </si>
  <si>
    <t>机兵a234</t>
  </si>
  <si>
    <t>光翼共奏·登台</t>
  </si>
  <si>
    <t>爱弥斯a234</t>
  </si>
  <si>
    <t>固有</t>
  </si>
  <si>
    <t>光翼共奏·降临</t>
  </si>
  <si>
    <t>r加成</t>
  </si>
  <si>
    <t>重击机兵</t>
  </si>
  <si>
    <t>星辉破界而来·终结</t>
  </si>
  <si>
    <t>光翼共奏</t>
  </si>
  <si>
    <t xml:space="preserve">                                                                             </t>
  </si>
  <si>
    <t>物理</t>
  </si>
  <si>
    <t>热熔</t>
  </si>
  <si>
    <t>衍射</t>
  </si>
  <si>
    <t>单通</t>
  </si>
  <si>
    <t>聚爆 爱弥斯</t>
  </si>
  <si>
    <t>爱弥斯单通</t>
  </si>
  <si>
    <t>布兰特单通</t>
  </si>
  <si>
    <t>卡提希娅单通</t>
  </si>
  <si>
    <t>r</t>
    <phoneticPr fontId="10" type="noConversion"/>
  </si>
  <si>
    <t>计数1</t>
  </si>
  <si>
    <t>计数2</t>
  </si>
  <si>
    <t>解弦之眼</t>
  </si>
  <si>
    <t>e</t>
    <phoneticPr fontId="10" type="noConversion"/>
  </si>
  <si>
    <t>利维亚坦</t>
  </si>
  <si>
    <t>q</t>
    <phoneticPr fontId="10" type="noConversion"/>
  </si>
  <si>
    <t>解放伤害</t>
    <phoneticPr fontId="10" type="noConversion"/>
  </si>
  <si>
    <t>即刻·归无</t>
  </si>
  <si>
    <t>a35</t>
    <phoneticPr fontId="10" type="noConversion"/>
  </si>
  <si>
    <t>a</t>
    <phoneticPr fontId="10" type="noConversion"/>
  </si>
  <si>
    <t>a4</t>
    <phoneticPr fontId="10" type="noConversion"/>
  </si>
  <si>
    <t>齿轨轮回</t>
  </si>
  <si>
    <t>a123</t>
    <phoneticPr fontId="10" type="noConversion"/>
  </si>
  <si>
    <t>效应</t>
  </si>
  <si>
    <t>代入我自己的数据，莫名其妙大招伤害低3w，电锯终结高3w，按理应该是会低一点的，实在改不明白凑合用了。</t>
    <phoneticPr fontId="10" type="noConversion"/>
  </si>
  <si>
    <t>非常虚高，稍微丢两下伤害或者挨肘，第二个电锯就吃不上大招给的倍率，伤害对半砍。</t>
    <phoneticPr fontId="10" type="noConversion"/>
  </si>
  <si>
    <t>120充能第二个大招勉强不算乱轴。</t>
    <phoneticPr fontId="10" type="noConversion"/>
  </si>
  <si>
    <t>dps直接腰斩。</t>
    <phoneticPr fontId="10" type="noConversion"/>
  </si>
  <si>
    <t>第三个开始基本要一轮半左右才出大招。</t>
    <phoneticPr fontId="10" type="noConversion"/>
  </si>
  <si>
    <t>千咲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</si>
</sst>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76" formatCode="0.00_ "/>
    <numFmt numFmtId="177" formatCode="0_ "/>
    <numFmt numFmtId="178" formatCode="0.0000_ "/>
    <numFmt numFmtId="179" formatCode="0.000%"/>
    <numFmt numFmtId="180" formatCode="0.0%"/>
  </numFmts>
  <fonts count="16" x14ac:knownFonts="1">
    <font>
      <sz val="11"/>
      <color theme="1"/>
      <name val="宋体"/>
      <charset val="134"/>
      <scheme val="minor"/>
    </font>
    <font>
      <b/>
      <i/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2"/>
      <name val="宋体"/>
      <charset val="134"/>
      <scheme val="minor"/>
    </font>
    <font>
      <sz val="11"/>
      <color rgb="FF000000"/>
      <name val="宋体"/>
      <charset val="134"/>
    </font>
    <font>
      <sz val="12"/>
      <color theme="1"/>
      <name val="宋体"/>
      <charset val="134"/>
      <scheme val="minor"/>
    </font>
    <font>
      <b/>
      <i/>
      <sz val="12"/>
      <color theme="5" tint="-0.499984740745262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i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b/>
      <i/>
      <sz val="12"/>
      <color theme="5" tint="-0.499984740745262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2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178" fontId="2" fillId="0" borderId="4" xfId="0" applyNumberFormat="1" applyFont="1" applyBorder="1" applyAlignment="1">
      <alignment horizontal="center" vertical="center"/>
    </xf>
    <xf numFmtId="177" fontId="2" fillId="0" borderId="4" xfId="0" applyNumberFormat="1" applyFont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178" fontId="0" fillId="5" borderId="0" xfId="0" applyNumberFormat="1" applyFill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7" fontId="4" fillId="5" borderId="4" xfId="0" applyNumberFormat="1" applyFont="1" applyFill="1" applyBorder="1" applyAlignment="1">
      <alignment horizontal="center" vertical="center"/>
    </xf>
    <xf numFmtId="10" fontId="0" fillId="6" borderId="1" xfId="0" applyNumberForma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77" fontId="3" fillId="0" borderId="2" xfId="0" applyNumberFormat="1" applyFont="1" applyBorder="1" applyAlignment="1">
      <alignment horizontal="center" vertical="center"/>
    </xf>
    <xf numFmtId="10" fontId="3" fillId="0" borderId="2" xfId="0" applyNumberFormat="1" applyFont="1" applyBorder="1" applyAlignment="1">
      <alignment horizontal="center" vertical="center"/>
    </xf>
    <xf numFmtId="178" fontId="3" fillId="0" borderId="2" xfId="0" applyNumberFormat="1" applyFont="1" applyBorder="1" applyAlignment="1">
      <alignment horizontal="center" vertical="center"/>
    </xf>
    <xf numFmtId="9" fontId="3" fillId="0" borderId="2" xfId="0" applyNumberFormat="1" applyFont="1" applyBorder="1" applyAlignment="1">
      <alignment horizontal="center" vertical="center"/>
    </xf>
    <xf numFmtId="9" fontId="3" fillId="0" borderId="3" xfId="0" applyNumberFormat="1" applyFont="1" applyBorder="1" applyAlignment="1">
      <alignment horizontal="center" vertical="center"/>
    </xf>
    <xf numFmtId="177" fontId="0" fillId="5" borderId="0" xfId="0" applyNumberFormat="1" applyFill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9" fontId="0" fillId="0" borderId="8" xfId="0" applyNumberFormat="1" applyBorder="1" applyAlignment="1">
      <alignment horizontal="center" vertical="center"/>
    </xf>
    <xf numFmtId="10" fontId="0" fillId="0" borderId="8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9" fontId="0" fillId="0" borderId="3" xfId="0" applyNumberForma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0" fontId="0" fillId="6" borderId="7" xfId="0" applyNumberForma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9" fontId="3" fillId="0" borderId="0" xfId="0" applyNumberFormat="1" applyFont="1" applyAlignment="1">
      <alignment horizontal="center" vertical="center"/>
    </xf>
    <xf numFmtId="9" fontId="3" fillId="0" borderId="8" xfId="0" applyNumberFormat="1" applyFont="1" applyBorder="1" applyAlignment="1">
      <alignment horizontal="center" vertical="center"/>
    </xf>
    <xf numFmtId="10" fontId="0" fillId="0" borderId="7" xfId="0" applyNumberFormat="1" applyBorder="1" applyAlignment="1">
      <alignment horizontal="center" vertical="center"/>
    </xf>
    <xf numFmtId="10" fontId="3" fillId="2" borderId="0" xfId="0" applyNumberFormat="1" applyFont="1" applyFill="1" applyAlignment="1">
      <alignment horizontal="center" vertical="center"/>
    </xf>
    <xf numFmtId="179" fontId="0" fillId="0" borderId="8" xfId="0" applyNumberFormat="1" applyBorder="1" applyAlignment="1">
      <alignment horizontal="center" vertical="center"/>
    </xf>
    <xf numFmtId="9" fontId="5" fillId="0" borderId="8" xfId="0" applyNumberFormat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9" fontId="0" fillId="0" borderId="10" xfId="0" applyNumberFormat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10" fontId="0" fillId="7" borderId="10" xfId="0" applyNumberFormat="1" applyFill="1" applyBorder="1" applyAlignment="1">
      <alignment horizontal="center" vertical="center"/>
    </xf>
    <xf numFmtId="10" fontId="0" fillId="0" borderId="9" xfId="0" applyNumberForma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0" fontId="0" fillId="6" borderId="9" xfId="0" applyNumberForma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177" fontId="3" fillId="0" borderId="11" xfId="0" applyNumberFormat="1" applyFont="1" applyBorder="1" applyAlignment="1">
      <alignment horizontal="center" vertical="center"/>
    </xf>
    <xf numFmtId="10" fontId="3" fillId="0" borderId="11" xfId="0" applyNumberFormat="1" applyFont="1" applyBorder="1" applyAlignment="1">
      <alignment horizontal="center" vertical="center"/>
    </xf>
    <xf numFmtId="10" fontId="3" fillId="2" borderId="11" xfId="0" applyNumberFormat="1" applyFont="1" applyFill="1" applyBorder="1" applyAlignment="1">
      <alignment horizontal="center" vertical="center"/>
    </xf>
    <xf numFmtId="178" fontId="3" fillId="0" borderId="12" xfId="0" applyNumberFormat="1" applyFont="1" applyBorder="1" applyAlignment="1">
      <alignment horizontal="center" vertical="center"/>
    </xf>
    <xf numFmtId="178" fontId="3" fillId="0" borderId="11" xfId="0" applyNumberFormat="1" applyFont="1" applyBorder="1" applyAlignment="1">
      <alignment horizontal="center" vertical="center"/>
    </xf>
    <xf numFmtId="9" fontId="3" fillId="0" borderId="11" xfId="0" applyNumberFormat="1" applyFont="1" applyBorder="1" applyAlignment="1">
      <alignment horizontal="center" vertical="center"/>
    </xf>
    <xf numFmtId="9" fontId="3" fillId="0" borderId="10" xfId="0" applyNumberFormat="1" applyFont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0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8" fontId="0" fillId="0" borderId="2" xfId="0" applyNumberFormat="1" applyBorder="1" applyAlignment="1">
      <alignment horizontal="center" vertical="center"/>
    </xf>
    <xf numFmtId="9" fontId="0" fillId="0" borderId="2" xfId="0" applyNumberFormat="1" applyBorder="1" applyAlignment="1">
      <alignment horizontal="center" vertical="center"/>
    </xf>
    <xf numFmtId="177" fontId="4" fillId="5" borderId="3" xfId="0" applyNumberFormat="1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10" fontId="5" fillId="0" borderId="0" xfId="0" applyNumberFormat="1" applyFon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7" fontId="4" fillId="5" borderId="8" xfId="0" applyNumberFormat="1" applyFont="1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6" fillId="0" borderId="0" xfId="0" applyFont="1">
      <alignment vertical="center"/>
    </xf>
    <xf numFmtId="10" fontId="0" fillId="0" borderId="0" xfId="0" applyNumberFormat="1">
      <alignment vertical="center"/>
    </xf>
    <xf numFmtId="0" fontId="0" fillId="6" borderId="0" xfId="0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0" fontId="0" fillId="0" borderId="11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9" fontId="0" fillId="0" borderId="11" xfId="0" applyNumberFormat="1" applyBorder="1" applyAlignment="1">
      <alignment horizontal="center" vertical="center"/>
    </xf>
    <xf numFmtId="177" fontId="4" fillId="5" borderId="10" xfId="0" applyNumberFormat="1" applyFont="1" applyFill="1" applyBorder="1" applyAlignment="1">
      <alignment horizontal="center" vertical="center"/>
    </xf>
    <xf numFmtId="177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0" fontId="6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10" fontId="0" fillId="10" borderId="0" xfId="0" applyNumberFormat="1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10" fontId="2" fillId="0" borderId="14" xfId="0" applyNumberFormat="1" applyFont="1" applyBorder="1" applyAlignment="1">
      <alignment horizontal="center" vertical="center"/>
    </xf>
    <xf numFmtId="178" fontId="2" fillId="0" borderId="14" xfId="0" applyNumberFormat="1" applyFont="1" applyBorder="1" applyAlignment="1">
      <alignment horizontal="center" vertical="center"/>
    </xf>
    <xf numFmtId="177" fontId="2" fillId="0" borderId="14" xfId="0" applyNumberFormat="1" applyFont="1" applyBorder="1" applyAlignment="1">
      <alignment horizontal="center" vertical="center"/>
    </xf>
    <xf numFmtId="177" fontId="2" fillId="0" borderId="15" xfId="0" applyNumberFormat="1" applyFont="1" applyBorder="1" applyAlignment="1">
      <alignment horizontal="center" vertical="center"/>
    </xf>
    <xf numFmtId="177" fontId="4" fillId="5" borderId="16" xfId="0" applyNumberFormat="1" applyFont="1" applyFill="1" applyBorder="1" applyAlignment="1">
      <alignment horizontal="center" vertical="center"/>
    </xf>
    <xf numFmtId="9" fontId="0" fillId="0" borderId="7" xfId="0" applyNumberFormat="1" applyBorder="1" applyAlignment="1">
      <alignment horizontal="center" vertical="center"/>
    </xf>
    <xf numFmtId="177" fontId="4" fillId="11" borderId="4" xfId="0" applyNumberFormat="1" applyFont="1" applyFill="1" applyBorder="1" applyAlignment="1">
      <alignment horizontal="center" vertical="center"/>
    </xf>
    <xf numFmtId="10" fontId="0" fillId="0" borderId="10" xfId="0" applyNumberFormat="1" applyBorder="1" applyAlignment="1">
      <alignment horizontal="center" vertical="center"/>
    </xf>
    <xf numFmtId="0" fontId="0" fillId="12" borderId="0" xfId="0" applyFill="1" applyAlignment="1">
      <alignment horizontal="center" vertical="center"/>
    </xf>
    <xf numFmtId="177" fontId="4" fillId="9" borderId="4" xfId="0" applyNumberFormat="1" applyFont="1" applyFill="1" applyBorder="1" applyAlignment="1">
      <alignment horizontal="center" vertical="center"/>
    </xf>
    <xf numFmtId="10" fontId="3" fillId="9" borderId="0" xfId="0" applyNumberFormat="1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177" fontId="3" fillId="9" borderId="0" xfId="0" applyNumberFormat="1" applyFont="1" applyFill="1" applyAlignment="1">
      <alignment horizontal="center" vertical="center"/>
    </xf>
    <xf numFmtId="178" fontId="3" fillId="9" borderId="0" xfId="0" applyNumberFormat="1" applyFont="1" applyFill="1" applyAlignment="1">
      <alignment horizontal="center" vertical="center"/>
    </xf>
    <xf numFmtId="9" fontId="3" fillId="9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77" fontId="4" fillId="5" borderId="17" xfId="0" applyNumberFormat="1" applyFont="1" applyFill="1" applyBorder="1" applyAlignment="1">
      <alignment horizontal="center" vertical="center"/>
    </xf>
    <xf numFmtId="177" fontId="2" fillId="8" borderId="4" xfId="0" applyNumberFormat="1" applyFont="1" applyFill="1" applyBorder="1" applyAlignment="1">
      <alignment horizontal="center" vertical="center"/>
    </xf>
    <xf numFmtId="177" fontId="2" fillId="8" borderId="17" xfId="0" applyNumberFormat="1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0" fontId="0" fillId="0" borderId="12" xfId="0" applyNumberFormat="1" applyBorder="1" applyAlignment="1">
      <alignment horizontal="center" vertical="center"/>
    </xf>
    <xf numFmtId="178" fontId="0" fillId="0" borderId="12" xfId="0" applyNumberFormat="1" applyBorder="1" applyAlignment="1">
      <alignment horizontal="center" vertical="center"/>
    </xf>
    <xf numFmtId="9" fontId="0" fillId="0" borderId="12" xfId="0" applyNumberFormat="1" applyBorder="1" applyAlignment="1">
      <alignment horizontal="center" vertical="center"/>
    </xf>
    <xf numFmtId="9" fontId="0" fillId="0" borderId="6" xfId="0" applyNumberFormat="1" applyBorder="1" applyAlignment="1">
      <alignment horizontal="center" vertical="center"/>
    </xf>
    <xf numFmtId="177" fontId="2" fillId="13" borderId="4" xfId="0" applyNumberFormat="1" applyFont="1" applyFill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177" fontId="0" fillId="0" borderId="2" xfId="0" applyNumberFormat="1" applyBorder="1" applyAlignment="1">
      <alignment horizontal="center" vertical="center"/>
    </xf>
    <xf numFmtId="177" fontId="0" fillId="0" borderId="3" xfId="0" applyNumberFormat="1" applyBorder="1" applyAlignment="1">
      <alignment horizontal="center" vertical="center"/>
    </xf>
    <xf numFmtId="10" fontId="0" fillId="12" borderId="0" xfId="0" applyNumberFormat="1" applyFill="1" applyAlignment="1">
      <alignment horizontal="center" vertical="center" wrapText="1"/>
    </xf>
    <xf numFmtId="177" fontId="0" fillId="12" borderId="0" xfId="0" applyNumberFormat="1" applyFill="1" applyAlignment="1">
      <alignment horizontal="center" vertical="center"/>
    </xf>
    <xf numFmtId="10" fontId="0" fillId="12" borderId="0" xfId="0" applyNumberFormat="1" applyFill="1" applyAlignment="1">
      <alignment horizontal="center" vertical="center"/>
    </xf>
    <xf numFmtId="178" fontId="0" fillId="12" borderId="0" xfId="0" applyNumberFormat="1" applyFill="1" applyAlignment="1">
      <alignment horizontal="center" vertical="center"/>
    </xf>
    <xf numFmtId="9" fontId="0" fillId="12" borderId="0" xfId="0" applyNumberFormat="1" applyFill="1" applyAlignment="1">
      <alignment horizontal="center" vertical="center"/>
    </xf>
    <xf numFmtId="177" fontId="2" fillId="12" borderId="8" xfId="0" applyNumberFormat="1" applyFont="1" applyFill="1" applyBorder="1" applyAlignment="1">
      <alignment horizontal="center" vertical="center"/>
    </xf>
    <xf numFmtId="10" fontId="0" fillId="3" borderId="0" xfId="0" applyNumberFormat="1" applyFill="1" applyAlignment="1">
      <alignment horizontal="center" vertical="center" wrapText="1"/>
    </xf>
    <xf numFmtId="177" fontId="0" fillId="3" borderId="0" xfId="0" applyNumberFormat="1" applyFill="1" applyAlignment="1">
      <alignment horizontal="center" vertical="center"/>
    </xf>
    <xf numFmtId="10" fontId="0" fillId="3" borderId="0" xfId="0" applyNumberFormat="1" applyFill="1" applyAlignment="1">
      <alignment horizontal="center" vertical="center"/>
    </xf>
    <xf numFmtId="178" fontId="0" fillId="3" borderId="0" xfId="0" applyNumberFormat="1" applyFill="1" applyAlignment="1">
      <alignment horizontal="center" vertical="center"/>
    </xf>
    <xf numFmtId="9" fontId="0" fillId="3" borderId="0" xfId="0" applyNumberFormat="1" applyFill="1" applyAlignment="1">
      <alignment horizontal="center" vertical="center"/>
    </xf>
    <xf numFmtId="177" fontId="2" fillId="3" borderId="8" xfId="0" applyNumberFormat="1" applyFont="1" applyFill="1" applyBorder="1" applyAlignment="1">
      <alignment horizontal="center" vertical="center"/>
    </xf>
    <xf numFmtId="10" fontId="0" fillId="2" borderId="0" xfId="0" applyNumberFormat="1" applyFill="1" applyAlignment="1">
      <alignment horizontal="center" vertical="center" wrapText="1"/>
    </xf>
    <xf numFmtId="177" fontId="0" fillId="2" borderId="0" xfId="0" applyNumberFormat="1" applyFill="1" applyAlignment="1">
      <alignment horizontal="center" vertical="center"/>
    </xf>
    <xf numFmtId="10" fontId="0" fillId="2" borderId="0" xfId="0" applyNumberFormat="1" applyFill="1" applyAlignment="1">
      <alignment horizontal="center" vertical="center"/>
    </xf>
    <xf numFmtId="178" fontId="0" fillId="2" borderId="0" xfId="0" applyNumberFormat="1" applyFill="1" applyAlignment="1">
      <alignment horizontal="center" vertical="center"/>
    </xf>
    <xf numFmtId="9" fontId="0" fillId="2" borderId="0" xfId="0" applyNumberFormat="1" applyFill="1" applyAlignment="1">
      <alignment horizontal="center" vertical="center"/>
    </xf>
    <xf numFmtId="177" fontId="2" fillId="2" borderId="8" xfId="0" applyNumberFormat="1" applyFont="1" applyFill="1" applyBorder="1" applyAlignment="1">
      <alignment horizontal="center" vertical="center"/>
    </xf>
    <xf numFmtId="0" fontId="0" fillId="9" borderId="11" xfId="0" applyFill="1" applyBorder="1" applyAlignment="1">
      <alignment horizontal="center" vertical="center"/>
    </xf>
    <xf numFmtId="10" fontId="0" fillId="9" borderId="11" xfId="0" applyNumberFormat="1" applyFill="1" applyBorder="1" applyAlignment="1">
      <alignment horizontal="center" vertical="center" wrapText="1"/>
    </xf>
    <xf numFmtId="177" fontId="0" fillId="9" borderId="11" xfId="0" applyNumberFormat="1" applyFill="1" applyBorder="1" applyAlignment="1">
      <alignment horizontal="center" vertical="center"/>
    </xf>
    <xf numFmtId="10" fontId="0" fillId="9" borderId="11" xfId="0" applyNumberFormat="1" applyFill="1" applyBorder="1" applyAlignment="1">
      <alignment horizontal="center" vertical="center"/>
    </xf>
    <xf numFmtId="178" fontId="0" fillId="9" borderId="11" xfId="0" applyNumberFormat="1" applyFill="1" applyBorder="1" applyAlignment="1">
      <alignment horizontal="center" vertical="center"/>
    </xf>
    <xf numFmtId="9" fontId="0" fillId="9" borderId="11" xfId="0" applyNumberFormat="1" applyFill="1" applyBorder="1" applyAlignment="1">
      <alignment horizontal="center" vertical="center"/>
    </xf>
    <xf numFmtId="177" fontId="2" fillId="9" borderId="10" xfId="0" applyNumberFormat="1" applyFont="1" applyFill="1" applyBorder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10" borderId="0" xfId="0" applyNumberFormat="1" applyFill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3" borderId="0" xfId="0" applyFont="1" applyFill="1" applyAlignment="1"/>
    <xf numFmtId="0" fontId="0" fillId="0" borderId="0" xfId="0" applyAlignment="1"/>
    <xf numFmtId="10" fontId="0" fillId="0" borderId="0" xfId="0" applyNumberFormat="1" applyAlignment="1"/>
    <xf numFmtId="176" fontId="0" fillId="0" borderId="0" xfId="0" applyNumberFormat="1" applyAlignment="1"/>
    <xf numFmtId="177" fontId="0" fillId="0" borderId="0" xfId="0" applyNumberFormat="1" applyAlignment="1">
      <alignment horizontal="left" vertical="center"/>
    </xf>
    <xf numFmtId="0" fontId="11" fillId="16" borderId="2" xfId="0" applyFont="1" applyFill="1" applyBorder="1" applyAlignment="1">
      <alignment horizontal="center" vertical="center"/>
    </xf>
    <xf numFmtId="10" fontId="11" fillId="16" borderId="2" xfId="0" applyNumberFormat="1" applyFont="1" applyFill="1" applyBorder="1" applyAlignment="1">
      <alignment horizontal="center" vertical="center"/>
    </xf>
    <xf numFmtId="178" fontId="11" fillId="16" borderId="2" xfId="0" applyNumberFormat="1" applyFont="1" applyFill="1" applyBorder="1" applyAlignment="1">
      <alignment horizontal="center" vertical="center"/>
    </xf>
    <xf numFmtId="177" fontId="11" fillId="16" borderId="2" xfId="0" applyNumberFormat="1" applyFont="1" applyFill="1" applyBorder="1" applyAlignment="1">
      <alignment horizontal="center" vertical="center"/>
    </xf>
    <xf numFmtId="177" fontId="11" fillId="16" borderId="3" xfId="0" applyNumberFormat="1" applyFont="1" applyFill="1" applyBorder="1" applyAlignment="1">
      <alignment horizontal="center" vertical="center"/>
    </xf>
    <xf numFmtId="0" fontId="9" fillId="14" borderId="0" xfId="0" applyFont="1" applyFill="1" applyAlignment="1">
      <alignment horizontal="center"/>
    </xf>
    <xf numFmtId="0" fontId="0" fillId="15" borderId="0" xfId="0" applyFill="1" applyAlignment="1">
      <alignment horizontal="center" vertical="center"/>
    </xf>
    <xf numFmtId="178" fontId="0" fillId="15" borderId="0" xfId="0" applyNumberFormat="1" applyFill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15" borderId="2" xfId="0" applyFill="1" applyBorder="1" applyAlignment="1">
      <alignment horizontal="center" vertical="center"/>
    </xf>
    <xf numFmtId="10" fontId="0" fillId="15" borderId="2" xfId="0" applyNumberFormat="1" applyFill="1" applyBorder="1" applyAlignment="1">
      <alignment horizontal="center" vertical="center"/>
    </xf>
    <xf numFmtId="1" fontId="0" fillId="15" borderId="2" xfId="0" applyNumberFormat="1" applyFill="1" applyBorder="1" applyAlignment="1">
      <alignment horizontal="center" vertical="center"/>
    </xf>
    <xf numFmtId="178" fontId="0" fillId="15" borderId="2" xfId="0" applyNumberFormat="1" applyFill="1" applyBorder="1" applyAlignment="1">
      <alignment horizontal="center" vertical="center"/>
    </xf>
    <xf numFmtId="9" fontId="0" fillId="15" borderId="2" xfId="0" applyNumberFormat="1" applyFill="1" applyBorder="1" applyAlignment="1">
      <alignment horizontal="center" vertical="center"/>
    </xf>
    <xf numFmtId="177" fontId="0" fillId="15" borderId="2" xfId="0" applyNumberFormat="1" applyFill="1" applyBorder="1" applyAlignment="1">
      <alignment horizontal="center" vertical="center"/>
    </xf>
    <xf numFmtId="177" fontId="0" fillId="15" borderId="4" xfId="0" applyNumberFormat="1" applyFill="1" applyBorder="1" applyAlignment="1">
      <alignment horizontal="center" vertical="center"/>
    </xf>
    <xf numFmtId="0" fontId="0" fillId="14" borderId="0" xfId="0" applyFill="1" applyAlignment="1">
      <alignment horizontal="center" vertical="center"/>
    </xf>
    <xf numFmtId="177" fontId="0" fillId="15" borderId="0" xfId="0" applyNumberFormat="1" applyFill="1" applyAlignment="1">
      <alignment horizontal="center" vertical="center"/>
    </xf>
    <xf numFmtId="0" fontId="0" fillId="15" borderId="7" xfId="0" applyFill="1" applyBorder="1" applyAlignment="1">
      <alignment horizontal="center" vertical="center"/>
    </xf>
    <xf numFmtId="10" fontId="0" fillId="15" borderId="0" xfId="0" applyNumberFormat="1" applyFill="1" applyAlignment="1">
      <alignment horizontal="center" vertical="center"/>
    </xf>
    <xf numFmtId="9" fontId="0" fillId="15" borderId="0" xfId="0" applyNumberFormat="1" applyFill="1" applyAlignment="1">
      <alignment horizontal="center" vertical="center"/>
    </xf>
    <xf numFmtId="0" fontId="0" fillId="15" borderId="9" xfId="0" applyFill="1" applyBorder="1" applyAlignment="1">
      <alignment horizontal="center" vertical="center"/>
    </xf>
    <xf numFmtId="0" fontId="0" fillId="15" borderId="11" xfId="0" applyFill="1" applyBorder="1" applyAlignment="1">
      <alignment horizontal="center" vertical="center"/>
    </xf>
    <xf numFmtId="10" fontId="0" fillId="15" borderId="11" xfId="0" applyNumberFormat="1" applyFill="1" applyBorder="1" applyAlignment="1">
      <alignment horizontal="center" vertical="center"/>
    </xf>
    <xf numFmtId="178" fontId="0" fillId="15" borderId="11" xfId="0" applyNumberFormat="1" applyFill="1" applyBorder="1" applyAlignment="1">
      <alignment horizontal="center" vertical="center"/>
    </xf>
    <xf numFmtId="9" fontId="0" fillId="15" borderId="11" xfId="0" applyNumberForma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9" borderId="0" xfId="0" applyFont="1" applyFill="1" applyAlignment="1">
      <alignment horizontal="center" vertical="center"/>
    </xf>
    <xf numFmtId="0" fontId="0" fillId="13" borderId="5" xfId="0" applyFill="1" applyBorder="1" applyAlignment="1">
      <alignment horizontal="center" vertical="center"/>
    </xf>
    <xf numFmtId="0" fontId="0" fillId="13" borderId="12" xfId="0" applyFill="1" applyBorder="1" applyAlignment="1">
      <alignment horizontal="center" vertical="center"/>
    </xf>
    <xf numFmtId="10" fontId="0" fillId="13" borderId="12" xfId="0" applyNumberFormat="1" applyFill="1" applyBorder="1" applyAlignment="1">
      <alignment horizontal="center" vertical="center"/>
    </xf>
    <xf numFmtId="178" fontId="0" fillId="13" borderId="12" xfId="0" applyNumberFormat="1" applyFill="1" applyBorder="1" applyAlignment="1">
      <alignment horizontal="center" vertical="center"/>
    </xf>
    <xf numFmtId="9" fontId="0" fillId="13" borderId="12" xfId="0" applyNumberFormat="1" applyFill="1" applyBorder="1" applyAlignment="1">
      <alignment horizontal="center" vertical="center"/>
    </xf>
    <xf numFmtId="9" fontId="0" fillId="13" borderId="6" xfId="0" applyNumberFormat="1" applyFill="1" applyBorder="1" applyAlignment="1">
      <alignment horizontal="center" vertical="center"/>
    </xf>
    <xf numFmtId="177" fontId="0" fillId="13" borderId="4" xfId="0" applyNumberFormat="1" applyFill="1" applyBorder="1" applyAlignment="1">
      <alignment horizontal="center" vertical="center"/>
    </xf>
    <xf numFmtId="9" fontId="0" fillId="15" borderId="10" xfId="0" applyNumberFormat="1" applyFill="1" applyBorder="1" applyAlignment="1">
      <alignment horizontal="center" vertical="center"/>
    </xf>
    <xf numFmtId="0" fontId="14" fillId="15" borderId="0" xfId="0" applyFont="1" applyFill="1" applyAlignment="1">
      <alignment horizontal="center" vertical="center"/>
    </xf>
    <xf numFmtId="177" fontId="0" fillId="15" borderId="11" xfId="0" applyNumberFormat="1" applyFill="1" applyBorder="1" applyAlignment="1">
      <alignment horizontal="center" vertical="center"/>
    </xf>
    <xf numFmtId="1" fontId="0" fillId="13" borderId="12" xfId="0" applyNumberForma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/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1" fillId="4" borderId="5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G44"/>
  <sheetViews>
    <sheetView workbookViewId="0">
      <selection activeCell="X34" sqref="X34"/>
    </sheetView>
  </sheetViews>
  <sheetFormatPr defaultColWidth="9.6640625" defaultRowHeight="14.4" x14ac:dyDescent="0.25"/>
  <cols>
    <col min="1" max="1" width="9.6640625" style="1"/>
    <col min="2" max="2" width="15.44140625" style="1" customWidth="1"/>
    <col min="3" max="3" width="10" style="1" customWidth="1"/>
    <col min="4" max="4" width="11.77734375" style="1" customWidth="1"/>
    <col min="5" max="5" width="5.5546875" style="1" customWidth="1"/>
    <col min="6" max="6" width="11.77734375" style="1" customWidth="1"/>
    <col min="7" max="7" width="7.5546875" style="2" customWidth="1"/>
    <col min="8" max="8" width="14" style="1" customWidth="1"/>
    <col min="9" max="9" width="8.5546875" style="1" customWidth="1"/>
    <col min="10" max="10" width="11.77734375" style="1" customWidth="1"/>
    <col min="11" max="11" width="4.5546875" style="1" customWidth="1"/>
    <col min="12" max="12" width="9.5546875" style="1" customWidth="1"/>
    <col min="13" max="13" width="7.5546875" style="1" customWidth="1"/>
    <col min="14" max="14" width="5.5546875" style="1" customWidth="1"/>
    <col min="15" max="15" width="6.21875" style="1" customWidth="1"/>
    <col min="16" max="16" width="21.21875" style="1" customWidth="1"/>
    <col min="17" max="17" width="9.5546875" style="2" customWidth="1"/>
    <col min="18" max="18" width="6.21875" style="1" customWidth="1"/>
    <col min="19" max="19" width="11" style="1" customWidth="1"/>
    <col min="20" max="20" width="8.5546875" style="1" customWidth="1"/>
    <col min="21" max="21" width="8.5546875" style="2" customWidth="1"/>
    <col min="22" max="22" width="8.5546875" style="3" customWidth="1"/>
    <col min="23" max="25" width="8.5546875" style="1" customWidth="1"/>
    <col min="26" max="26" width="11" style="1" customWidth="1"/>
    <col min="27" max="27" width="8.5546875" style="1" customWidth="1"/>
    <col min="28" max="28" width="11" style="4" customWidth="1"/>
    <col min="29" max="29" width="10" style="4" customWidth="1"/>
    <col min="30" max="30" width="9.5546875" style="1" customWidth="1"/>
    <col min="31" max="31" width="5.5546875" style="1" customWidth="1"/>
    <col min="32" max="32" width="8.5546875" style="1" customWidth="1"/>
    <col min="33" max="33" width="9.5546875" style="1" customWidth="1"/>
    <col min="34" max="16384" width="9.6640625" style="1"/>
  </cols>
  <sheetData>
    <row r="1" spans="2:33" x14ac:dyDescent="0.25">
      <c r="B1" s="5" t="s">
        <v>0</v>
      </c>
      <c r="C1" s="5" t="s">
        <v>1</v>
      </c>
      <c r="D1" s="6" t="s">
        <v>2</v>
      </c>
      <c r="E1" s="6">
        <v>2</v>
      </c>
      <c r="G1" s="1"/>
    </row>
    <row r="2" spans="2:33" ht="15.6" x14ac:dyDescent="0.25">
      <c r="B2" s="199" t="s">
        <v>3</v>
      </c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1"/>
      <c r="O2" s="93" t="s">
        <v>4</v>
      </c>
      <c r="P2" s="94" t="s">
        <v>5</v>
      </c>
      <c r="Q2" s="95" t="s">
        <v>6</v>
      </c>
      <c r="R2" s="94" t="s">
        <v>7</v>
      </c>
      <c r="S2" s="94" t="s">
        <v>8</v>
      </c>
      <c r="T2" s="94" t="s">
        <v>9</v>
      </c>
      <c r="U2" s="95" t="s">
        <v>10</v>
      </c>
      <c r="V2" s="96" t="s">
        <v>11</v>
      </c>
      <c r="W2" s="94" t="s">
        <v>12</v>
      </c>
      <c r="X2" s="94" t="s">
        <v>13</v>
      </c>
      <c r="Y2" s="94" t="s">
        <v>14</v>
      </c>
      <c r="Z2" s="94" t="s">
        <v>15</v>
      </c>
      <c r="AA2" s="94" t="s">
        <v>16</v>
      </c>
      <c r="AB2" s="97" t="s">
        <v>17</v>
      </c>
      <c r="AC2" s="98" t="s">
        <v>18</v>
      </c>
      <c r="AD2" s="11" t="s">
        <v>19</v>
      </c>
      <c r="AE2" s="11" t="s">
        <v>20</v>
      </c>
      <c r="AF2" s="12" t="s">
        <v>13</v>
      </c>
      <c r="AG2" s="12" t="s">
        <v>21</v>
      </c>
    </row>
    <row r="3" spans="2:33" ht="15.6" x14ac:dyDescent="0.25">
      <c r="B3" s="202" t="s">
        <v>22</v>
      </c>
      <c r="C3" s="203"/>
      <c r="D3" s="202" t="s">
        <v>10</v>
      </c>
      <c r="E3" s="203"/>
      <c r="F3" s="202" t="s">
        <v>23</v>
      </c>
      <c r="G3" s="203"/>
      <c r="H3" s="202" t="s">
        <v>24</v>
      </c>
      <c r="I3" s="203"/>
      <c r="J3" s="202" t="s">
        <v>12</v>
      </c>
      <c r="K3" s="203"/>
      <c r="L3" s="202" t="s">
        <v>25</v>
      </c>
      <c r="M3" s="203"/>
      <c r="O3" s="30">
        <v>1</v>
      </c>
      <c r="P3" s="99" t="s">
        <v>26</v>
      </c>
      <c r="Q3" s="34">
        <v>10.9346</v>
      </c>
      <c r="R3" s="32" t="s">
        <v>1</v>
      </c>
      <c r="S3" s="33">
        <f t="shared" ref="S3:S8" si="0">$C$4*(1+C$5+C$6+C$7+C$8)+C$9</f>
        <v>2318.4</v>
      </c>
      <c r="T3" s="34">
        <f>($C$5+$C$6+$C$7+$C$8)+($C$9+$C$10)/$C$4</f>
        <v>1.4404210526315799</v>
      </c>
      <c r="U3" s="34">
        <f>IF(R3=$C$1,SUM($E$4:$E$9),SUM($E$4:$E$8))</f>
        <v>1.3120000000000001</v>
      </c>
      <c r="V3" s="35">
        <f t="shared" ref="V3:V8" si="1">1+$G$10*($I$10-1)</f>
        <v>2.74525</v>
      </c>
      <c r="W3" s="32">
        <f t="shared" ref="W3:W10" si="2">IF(R3=$C$1,$K$4+$K$5,$K$4)</f>
        <v>0.4</v>
      </c>
      <c r="X3" s="35">
        <f t="shared" ref="X3:X7" si="3">$AF$8</f>
        <v>0.59868918578270702</v>
      </c>
      <c r="Y3" s="32">
        <f t="shared" ref="Y3:Y8" si="4">$AF$11</f>
        <v>0.8</v>
      </c>
      <c r="Z3" s="36">
        <v>0</v>
      </c>
      <c r="AA3" s="36">
        <v>0</v>
      </c>
      <c r="AB3" s="36">
        <v>0</v>
      </c>
      <c r="AC3" s="15">
        <f t="shared" ref="AC3:AC8" si="5">Q3*$C$4*(1+T3)*(1+U3)*V3*(1+W3)*X3*Y3*(1+Z3)*(1+AA3)*(1+AB3)*O3</f>
        <v>107889.811652089</v>
      </c>
      <c r="AD3" s="11">
        <v>0</v>
      </c>
      <c r="AE3" s="11">
        <v>0</v>
      </c>
      <c r="AF3" s="12">
        <f t="shared" ref="AF3:AF8" si="6">1520/(1520+(792+8*AG3)*(1-AE3/100))</f>
        <v>0.48843187660668402</v>
      </c>
      <c r="AG3" s="23">
        <v>100</v>
      </c>
    </row>
    <row r="4" spans="2:33" ht="15.6" x14ac:dyDescent="0.25">
      <c r="B4" s="24" t="s">
        <v>27</v>
      </c>
      <c r="C4" s="25">
        <f>450+500</f>
        <v>950</v>
      </c>
      <c r="D4" s="24" t="s">
        <v>28</v>
      </c>
      <c r="E4" s="26">
        <f>E1*30%</f>
        <v>0.6</v>
      </c>
      <c r="F4" s="24" t="s">
        <v>29</v>
      </c>
      <c r="G4" s="27">
        <v>0.13</v>
      </c>
      <c r="H4" s="24" t="s">
        <v>29</v>
      </c>
      <c r="I4" s="27">
        <v>1.5</v>
      </c>
      <c r="J4" s="100" t="s">
        <v>30</v>
      </c>
      <c r="K4" s="26">
        <v>0.4</v>
      </c>
      <c r="L4" s="24" t="s">
        <v>31</v>
      </c>
      <c r="M4" s="27">
        <f>8.6%*2</f>
        <v>0.17199999999999999</v>
      </c>
      <c r="O4" s="30">
        <v>1</v>
      </c>
      <c r="P4" s="15" t="s">
        <v>32</v>
      </c>
      <c r="Q4" s="34">
        <v>2.5051000000000001</v>
      </c>
      <c r="R4" s="32" t="s">
        <v>1</v>
      </c>
      <c r="S4" s="33">
        <f t="shared" si="0"/>
        <v>2318.4</v>
      </c>
      <c r="T4" s="34">
        <f t="shared" ref="T4:T8" si="7">($C$5+$C$6+$C$7+$C$8)+($C$9+$C$10)/$C$4</f>
        <v>1.4404210526315799</v>
      </c>
      <c r="U4" s="34">
        <f t="shared" ref="U4:U8" si="8">IF(R4=$C$1,SUM($E$4:$E$9),SUM($E$4:$E$8))</f>
        <v>1.3120000000000001</v>
      </c>
      <c r="V4" s="35">
        <f t="shared" si="1"/>
        <v>2.74525</v>
      </c>
      <c r="W4" s="32">
        <f t="shared" si="2"/>
        <v>0.4</v>
      </c>
      <c r="X4" s="35">
        <f t="shared" si="3"/>
        <v>0.59868918578270702</v>
      </c>
      <c r="Y4" s="32">
        <f t="shared" si="4"/>
        <v>0.8</v>
      </c>
      <c r="Z4" s="36">
        <v>0</v>
      </c>
      <c r="AA4" s="36">
        <v>0</v>
      </c>
      <c r="AB4" s="36">
        <v>0</v>
      </c>
      <c r="AC4" s="15">
        <f t="shared" si="5"/>
        <v>24717.389494782499</v>
      </c>
      <c r="AD4" s="11">
        <v>12</v>
      </c>
      <c r="AE4" s="11">
        <v>18</v>
      </c>
      <c r="AF4" s="12">
        <f>1520/(1520+(792+8*AG4)*(1-AE4/100)*(1-AD4/100))</f>
        <v>0.56954709614914201</v>
      </c>
      <c r="AG4" s="23">
        <v>100</v>
      </c>
    </row>
    <row r="5" spans="2:33" ht="15.6" x14ac:dyDescent="0.25">
      <c r="B5" s="24" t="s">
        <v>33</v>
      </c>
      <c r="C5" s="26">
        <f>12%+12%</f>
        <v>0.24</v>
      </c>
      <c r="D5" s="24" t="s">
        <v>34</v>
      </c>
      <c r="E5" s="26">
        <f>12%+10%</f>
        <v>0.22</v>
      </c>
      <c r="F5" s="24" t="s">
        <v>35</v>
      </c>
      <c r="G5" s="27">
        <v>0.36</v>
      </c>
      <c r="H5" s="24" t="s">
        <v>35</v>
      </c>
      <c r="I5" s="27">
        <v>0</v>
      </c>
      <c r="J5" s="38" t="s">
        <v>36</v>
      </c>
      <c r="K5" s="26"/>
      <c r="L5" s="24" t="s">
        <v>37</v>
      </c>
      <c r="M5" s="27">
        <f>8.6%*2</f>
        <v>0.17199999999999999</v>
      </c>
      <c r="O5" s="30">
        <v>1</v>
      </c>
      <c r="P5" s="15" t="s">
        <v>38</v>
      </c>
      <c r="Q5" s="34">
        <f>205.97%+95.43%*3+266.41%*2</f>
        <v>10.2508</v>
      </c>
      <c r="R5" s="32" t="s">
        <v>1</v>
      </c>
      <c r="S5" s="33">
        <f t="shared" si="0"/>
        <v>2318.4</v>
      </c>
      <c r="T5" s="34">
        <f t="shared" si="7"/>
        <v>1.4404210526315799</v>
      </c>
      <c r="U5" s="34">
        <f t="shared" si="8"/>
        <v>1.3120000000000001</v>
      </c>
      <c r="V5" s="35">
        <f t="shared" si="1"/>
        <v>2.74525</v>
      </c>
      <c r="W5" s="32">
        <f t="shared" si="2"/>
        <v>0.4</v>
      </c>
      <c r="X5" s="35">
        <f t="shared" si="3"/>
        <v>0.59868918578270702</v>
      </c>
      <c r="Y5" s="32">
        <f t="shared" si="4"/>
        <v>0.8</v>
      </c>
      <c r="Z5" s="36">
        <v>0</v>
      </c>
      <c r="AA5" s="36">
        <v>0</v>
      </c>
      <c r="AB5" s="36">
        <v>0</v>
      </c>
      <c r="AC5" s="15">
        <f t="shared" si="5"/>
        <v>101142.875028189</v>
      </c>
      <c r="AD5" s="11">
        <v>0</v>
      </c>
      <c r="AE5" s="11">
        <v>30</v>
      </c>
      <c r="AF5" s="12">
        <f t="shared" si="6"/>
        <v>0.57698147585787996</v>
      </c>
      <c r="AG5" s="23">
        <v>100</v>
      </c>
    </row>
    <row r="6" spans="2:33" ht="15.6" x14ac:dyDescent="0.25">
      <c r="B6" s="24" t="s">
        <v>39</v>
      </c>
      <c r="C6" s="26">
        <f>18%+18%+M4+(2-E1)*30%</f>
        <v>0.53200000000000003</v>
      </c>
      <c r="D6" s="24" t="s">
        <v>40</v>
      </c>
      <c r="E6" s="26"/>
      <c r="F6" s="24" t="s">
        <v>41</v>
      </c>
      <c r="G6" s="27"/>
      <c r="H6" s="24" t="s">
        <v>41</v>
      </c>
      <c r="I6" s="27">
        <v>0.2</v>
      </c>
      <c r="J6" s="38"/>
      <c r="K6" s="27"/>
      <c r="L6" s="24" t="s">
        <v>23</v>
      </c>
      <c r="M6" s="27">
        <f>8.1*5%</f>
        <v>0.40500000000000003</v>
      </c>
      <c r="O6" s="30">
        <v>1</v>
      </c>
      <c r="P6" s="15" t="s">
        <v>42</v>
      </c>
      <c r="Q6" s="34">
        <f>319.19%*2</f>
        <v>6.3837999999999999</v>
      </c>
      <c r="R6" s="32" t="s">
        <v>1</v>
      </c>
      <c r="S6" s="33">
        <f t="shared" si="0"/>
        <v>2318.4</v>
      </c>
      <c r="T6" s="34">
        <f t="shared" si="7"/>
        <v>1.4404210526315799</v>
      </c>
      <c r="U6" s="34">
        <f t="shared" si="8"/>
        <v>1.3120000000000001</v>
      </c>
      <c r="V6" s="35">
        <f t="shared" si="1"/>
        <v>2.74525</v>
      </c>
      <c r="W6" s="32">
        <f t="shared" si="2"/>
        <v>0.4</v>
      </c>
      <c r="X6" s="35">
        <f t="shared" si="3"/>
        <v>0.59868918578270702</v>
      </c>
      <c r="Y6" s="32">
        <f t="shared" si="4"/>
        <v>0.8</v>
      </c>
      <c r="Z6" s="36">
        <v>0</v>
      </c>
      <c r="AA6" s="36">
        <v>0</v>
      </c>
      <c r="AB6" s="36">
        <v>0</v>
      </c>
      <c r="AC6" s="15">
        <f t="shared" si="5"/>
        <v>62987.853202184597</v>
      </c>
      <c r="AD6" s="11">
        <v>0</v>
      </c>
      <c r="AE6" s="11">
        <v>21.6</v>
      </c>
      <c r="AF6" s="12">
        <f t="shared" si="6"/>
        <v>0.54910755571996706</v>
      </c>
      <c r="AG6" s="23">
        <v>100</v>
      </c>
    </row>
    <row r="7" spans="2:33" ht="15.6" x14ac:dyDescent="0.25">
      <c r="B7" s="24" t="s">
        <v>43</v>
      </c>
      <c r="C7" s="40">
        <v>0.3</v>
      </c>
      <c r="D7" s="24" t="s">
        <v>44</v>
      </c>
      <c r="E7" s="26"/>
      <c r="F7" s="24" t="s">
        <v>39</v>
      </c>
      <c r="G7" s="27">
        <f>M6</f>
        <v>0.40500000000000003</v>
      </c>
      <c r="H7" s="24" t="s">
        <v>39</v>
      </c>
      <c r="I7" s="27">
        <f>M7+44%</f>
        <v>1.25</v>
      </c>
      <c r="J7" s="38"/>
      <c r="K7" s="27"/>
      <c r="L7" s="24" t="s">
        <v>45</v>
      </c>
      <c r="M7" s="26">
        <f>16.2%*5</f>
        <v>0.81</v>
      </c>
      <c r="O7" s="30">
        <v>1</v>
      </c>
      <c r="P7" s="15" t="s">
        <v>46</v>
      </c>
      <c r="Q7" s="34">
        <f t="shared" ref="Q7:Q10" si="9">126.45%+55.67%*3+167.01%*2</f>
        <v>6.2747999999999999</v>
      </c>
      <c r="R7" s="32" t="s">
        <v>1</v>
      </c>
      <c r="S7" s="33">
        <f t="shared" si="0"/>
        <v>2318.4</v>
      </c>
      <c r="T7" s="34">
        <f t="shared" si="7"/>
        <v>1.4404210526315799</v>
      </c>
      <c r="U7" s="34">
        <f t="shared" si="8"/>
        <v>1.3120000000000001</v>
      </c>
      <c r="V7" s="35">
        <f t="shared" si="1"/>
        <v>2.74525</v>
      </c>
      <c r="W7" s="32">
        <f t="shared" si="2"/>
        <v>0.4</v>
      </c>
      <c r="X7" s="35">
        <f t="shared" si="3"/>
        <v>0.59868918578270702</v>
      </c>
      <c r="Y7" s="32">
        <f t="shared" si="4"/>
        <v>0.8</v>
      </c>
      <c r="Z7" s="36">
        <v>0</v>
      </c>
      <c r="AA7" s="36">
        <v>0</v>
      </c>
      <c r="AB7" s="36">
        <v>0</v>
      </c>
      <c r="AC7" s="15">
        <f t="shared" si="5"/>
        <v>61912.3690079683</v>
      </c>
      <c r="AD7" s="11">
        <v>0</v>
      </c>
      <c r="AE7" s="11">
        <v>28.8</v>
      </c>
      <c r="AF7" s="12">
        <f t="shared" si="6"/>
        <v>0.57282747642362697</v>
      </c>
      <c r="AG7" s="23">
        <v>100</v>
      </c>
    </row>
    <row r="8" spans="2:33" ht="15.6" x14ac:dyDescent="0.25">
      <c r="B8" s="24" t="s">
        <v>47</v>
      </c>
      <c r="C8" s="40"/>
      <c r="D8" s="24" t="s">
        <v>48</v>
      </c>
      <c r="E8" s="25"/>
      <c r="F8" s="24" t="s">
        <v>49</v>
      </c>
      <c r="G8" s="27">
        <v>0</v>
      </c>
      <c r="H8" s="24" t="s">
        <v>49</v>
      </c>
      <c r="I8" s="27">
        <v>0</v>
      </c>
      <c r="J8" s="38"/>
      <c r="K8" s="27"/>
      <c r="L8" s="24"/>
      <c r="M8" s="25"/>
      <c r="O8" s="30">
        <v>1</v>
      </c>
      <c r="P8" s="15" t="s">
        <v>50</v>
      </c>
      <c r="Q8" s="34">
        <f>164.16%+13.68%</f>
        <v>1.7784</v>
      </c>
      <c r="R8" s="32" t="s">
        <v>50</v>
      </c>
      <c r="S8" s="33">
        <f t="shared" si="0"/>
        <v>2318.4</v>
      </c>
      <c r="T8" s="34">
        <f t="shared" si="7"/>
        <v>1.4404210526315799</v>
      </c>
      <c r="U8" s="34">
        <f t="shared" si="8"/>
        <v>0.82</v>
      </c>
      <c r="V8" s="35">
        <f t="shared" si="1"/>
        <v>2.74525</v>
      </c>
      <c r="W8" s="32">
        <f t="shared" si="2"/>
        <v>0.4</v>
      </c>
      <c r="X8" s="35">
        <f>$AF$3</f>
        <v>0.48843187660668402</v>
      </c>
      <c r="Y8" s="32">
        <f t="shared" si="4"/>
        <v>0.8</v>
      </c>
      <c r="Z8" s="36">
        <v>0</v>
      </c>
      <c r="AA8" s="36">
        <v>0</v>
      </c>
      <c r="AB8" s="36">
        <v>0</v>
      </c>
      <c r="AC8" s="15">
        <f t="shared" si="5"/>
        <v>11269.2010826223</v>
      </c>
      <c r="AD8" s="11">
        <v>0</v>
      </c>
      <c r="AE8" s="11">
        <v>36</v>
      </c>
      <c r="AF8" s="12">
        <f t="shared" si="6"/>
        <v>0.59868918578270702</v>
      </c>
      <c r="AG8" s="23">
        <v>100</v>
      </c>
    </row>
    <row r="9" spans="2:33" ht="15.6" x14ac:dyDescent="0.25">
      <c r="B9" s="24" t="s">
        <v>51</v>
      </c>
      <c r="C9" s="25">
        <v>350</v>
      </c>
      <c r="D9" s="24" t="s">
        <v>52</v>
      </c>
      <c r="E9" s="26">
        <f>12%+M5+20%</f>
        <v>0.49199999999999999</v>
      </c>
      <c r="F9" s="24" t="s">
        <v>53</v>
      </c>
      <c r="G9" s="27">
        <v>0</v>
      </c>
      <c r="H9" s="24" t="s">
        <v>53</v>
      </c>
      <c r="I9" s="27">
        <v>0</v>
      </c>
      <c r="J9" s="38"/>
      <c r="K9" s="27"/>
      <c r="L9" s="24"/>
      <c r="M9" s="25"/>
      <c r="O9" s="30">
        <v>1</v>
      </c>
      <c r="P9" s="15" t="s">
        <v>46</v>
      </c>
      <c r="Q9" s="34">
        <f t="shared" si="9"/>
        <v>6.2747999999999999</v>
      </c>
      <c r="R9" s="32" t="s">
        <v>1</v>
      </c>
      <c r="S9" s="33">
        <f t="shared" ref="S9:S13" si="10">$C$4*(1+C$5+C$6+C$7+C$8)+C$9</f>
        <v>2318.4</v>
      </c>
      <c r="T9" s="34">
        <f t="shared" ref="T9:T13" si="11">($C$5+$C$6+$C$7+$C$8)+($C$9+$C$10)/$C$4</f>
        <v>1.4404210526315799</v>
      </c>
      <c r="U9" s="34">
        <f t="shared" ref="U9:U13" si="12">IF(R9=$C$1,SUM($E$4:$E$9),SUM($E$4:$E$8))</f>
        <v>1.3120000000000001</v>
      </c>
      <c r="V9" s="35">
        <f t="shared" ref="V9:V13" si="13">1+$G$10*($I$10-1)</f>
        <v>2.74525</v>
      </c>
      <c r="W9" s="32">
        <f t="shared" si="2"/>
        <v>0.4</v>
      </c>
      <c r="X9" s="35">
        <f t="shared" ref="X9:X10" si="14">$AF$8</f>
        <v>0.59868918578270702</v>
      </c>
      <c r="Y9" s="32">
        <f t="shared" ref="Y9:Y13" si="15">$AF$11</f>
        <v>0.8</v>
      </c>
      <c r="Z9" s="36">
        <v>0</v>
      </c>
      <c r="AA9" s="36">
        <v>0</v>
      </c>
      <c r="AB9" s="36">
        <v>0</v>
      </c>
      <c r="AC9" s="15">
        <f t="shared" ref="AC9:AC13" si="16">Q9*$C$4*(1+T9)*(1+U9)*V9*(1+W9)*X9*Y9*(1+Z9)*(1+AA9)*(1+AB9)*O9</f>
        <v>61912.3690079683</v>
      </c>
    </row>
    <row r="10" spans="2:33" ht="15.6" x14ac:dyDescent="0.25">
      <c r="B10" s="42" t="s">
        <v>54</v>
      </c>
      <c r="C10" s="43"/>
      <c r="D10" s="42"/>
      <c r="E10" s="44"/>
      <c r="F10" s="45" t="s">
        <v>55</v>
      </c>
      <c r="G10" s="46">
        <f>MIN(100%,SUM(G4:G9))</f>
        <v>0.89500000000000002</v>
      </c>
      <c r="H10" s="45" t="s">
        <v>56</v>
      </c>
      <c r="I10" s="46">
        <f>SUM(I4:I9)</f>
        <v>2.95</v>
      </c>
      <c r="J10" s="47"/>
      <c r="K10" s="102"/>
      <c r="L10" s="42"/>
      <c r="M10" s="43"/>
      <c r="O10" s="30">
        <v>1</v>
      </c>
      <c r="P10" s="15" t="s">
        <v>46</v>
      </c>
      <c r="Q10" s="34">
        <f t="shared" si="9"/>
        <v>6.2747999999999999</v>
      </c>
      <c r="R10" s="32" t="s">
        <v>1</v>
      </c>
      <c r="S10" s="33">
        <f t="shared" si="10"/>
        <v>2318.4</v>
      </c>
      <c r="T10" s="34">
        <f t="shared" si="11"/>
        <v>1.4404210526315799</v>
      </c>
      <c r="U10" s="34">
        <f t="shared" si="12"/>
        <v>1.3120000000000001</v>
      </c>
      <c r="V10" s="35">
        <f t="shared" si="13"/>
        <v>2.74525</v>
      </c>
      <c r="W10" s="32">
        <f t="shared" si="2"/>
        <v>0.4</v>
      </c>
      <c r="X10" s="35">
        <f t="shared" si="14"/>
        <v>0.59868918578270702</v>
      </c>
      <c r="Y10" s="32">
        <f t="shared" si="15"/>
        <v>0.8</v>
      </c>
      <c r="Z10" s="36">
        <v>0</v>
      </c>
      <c r="AA10" s="36">
        <v>0</v>
      </c>
      <c r="AB10" s="36">
        <v>0</v>
      </c>
      <c r="AC10" s="15">
        <f t="shared" si="16"/>
        <v>61912.3690079683</v>
      </c>
    </row>
    <row r="11" spans="2:33" ht="15.6" x14ac:dyDescent="0.25">
      <c r="E11" s="58"/>
      <c r="F11" s="13" t="s">
        <v>57</v>
      </c>
      <c r="G11" s="59">
        <f>MAX(0,SUM(G4:G9)-1)</f>
        <v>0</v>
      </c>
      <c r="J11" s="2"/>
      <c r="K11" s="2"/>
      <c r="O11" s="30">
        <v>1</v>
      </c>
      <c r="P11" s="15" t="s">
        <v>58</v>
      </c>
      <c r="Q11" s="34">
        <f>53.68%*2</f>
        <v>1.0736000000000001</v>
      </c>
      <c r="R11" s="32" t="s">
        <v>59</v>
      </c>
      <c r="S11" s="33">
        <f t="shared" si="10"/>
        <v>2318.4</v>
      </c>
      <c r="T11" s="34">
        <f t="shared" si="11"/>
        <v>1.4404210526315799</v>
      </c>
      <c r="U11" s="34">
        <f t="shared" si="12"/>
        <v>0.82</v>
      </c>
      <c r="V11" s="35">
        <f t="shared" si="13"/>
        <v>2.74525</v>
      </c>
      <c r="W11" s="32">
        <f t="shared" ref="W11:W17" si="17">IF(R11=$C$1,$K$4+$K$5,$K$4)</f>
        <v>0.4</v>
      </c>
      <c r="X11" s="35">
        <f>$AF$3</f>
        <v>0.48843187660668402</v>
      </c>
      <c r="Y11" s="32">
        <f t="shared" si="15"/>
        <v>0.8</v>
      </c>
      <c r="Z11" s="36">
        <v>0</v>
      </c>
      <c r="AA11" s="36">
        <v>0</v>
      </c>
      <c r="AB11" s="36">
        <v>0</v>
      </c>
      <c r="AC11" s="15">
        <f t="shared" si="16"/>
        <v>6803.0894524872501</v>
      </c>
      <c r="AE11" s="76" t="s">
        <v>60</v>
      </c>
      <c r="AF11" s="76">
        <v>0.8</v>
      </c>
    </row>
    <row r="12" spans="2:33" ht="15.6" x14ac:dyDescent="0.25">
      <c r="E12" s="58"/>
      <c r="J12" s="2"/>
      <c r="K12" s="2"/>
      <c r="O12" s="30">
        <v>1</v>
      </c>
      <c r="P12" s="15" t="s">
        <v>61</v>
      </c>
      <c r="Q12" s="34">
        <f>140.73%*2+145%</f>
        <v>4.2645999999999997</v>
      </c>
      <c r="R12" s="32" t="s">
        <v>62</v>
      </c>
      <c r="S12" s="33">
        <f t="shared" si="10"/>
        <v>2318.4</v>
      </c>
      <c r="T12" s="34">
        <f t="shared" si="11"/>
        <v>1.4404210526315799</v>
      </c>
      <c r="U12" s="34">
        <f t="shared" si="12"/>
        <v>0.82</v>
      </c>
      <c r="V12" s="35">
        <f t="shared" si="13"/>
        <v>2.74525</v>
      </c>
      <c r="W12" s="32">
        <f t="shared" si="17"/>
        <v>0.4</v>
      </c>
      <c r="X12" s="35">
        <f>$AF$3</f>
        <v>0.48843187660668402</v>
      </c>
      <c r="Y12" s="32">
        <f t="shared" si="15"/>
        <v>0.8</v>
      </c>
      <c r="Z12" s="36">
        <v>0</v>
      </c>
      <c r="AA12" s="36">
        <v>0</v>
      </c>
      <c r="AB12" s="36">
        <v>0</v>
      </c>
      <c r="AC12" s="15">
        <f t="shared" si="16"/>
        <v>27023.523918663501</v>
      </c>
      <c r="AE12" s="71" t="s">
        <v>63</v>
      </c>
      <c r="AF12" s="71">
        <v>0.8</v>
      </c>
    </row>
    <row r="13" spans="2:33" ht="15.6" x14ac:dyDescent="0.25">
      <c r="O13" s="30">
        <v>1</v>
      </c>
      <c r="P13" s="15" t="s">
        <v>64</v>
      </c>
      <c r="Q13" s="34">
        <v>0.87680000000000002</v>
      </c>
      <c r="R13" s="32" t="s">
        <v>59</v>
      </c>
      <c r="S13" s="33">
        <f t="shared" si="10"/>
        <v>2318.4</v>
      </c>
      <c r="T13" s="34">
        <f t="shared" si="11"/>
        <v>1.4404210526315799</v>
      </c>
      <c r="U13" s="34">
        <f t="shared" si="12"/>
        <v>0.82</v>
      </c>
      <c r="V13" s="35">
        <f t="shared" si="13"/>
        <v>2.74525</v>
      </c>
      <c r="W13" s="32">
        <f t="shared" si="17"/>
        <v>0.4</v>
      </c>
      <c r="X13" s="35">
        <f>$AF$3</f>
        <v>0.48843187660668402</v>
      </c>
      <c r="Y13" s="32">
        <f t="shared" si="15"/>
        <v>0.8</v>
      </c>
      <c r="Z13" s="36">
        <v>0</v>
      </c>
      <c r="AA13" s="36">
        <v>0</v>
      </c>
      <c r="AB13" s="36">
        <v>0</v>
      </c>
      <c r="AC13" s="15">
        <f t="shared" si="16"/>
        <v>5556.0253650715504</v>
      </c>
      <c r="AE13" s="103" t="s">
        <v>65</v>
      </c>
      <c r="AF13" s="103">
        <v>0.8</v>
      </c>
    </row>
    <row r="14" spans="2:33" ht="15.6" x14ac:dyDescent="0.25">
      <c r="B14" s="75" t="s">
        <v>66</v>
      </c>
      <c r="D14" s="75"/>
      <c r="O14" s="30">
        <v>1</v>
      </c>
      <c r="P14" s="15" t="s">
        <v>32</v>
      </c>
      <c r="Q14" s="34">
        <v>2.5051000000000001</v>
      </c>
      <c r="R14" s="32" t="s">
        <v>1</v>
      </c>
      <c r="S14" s="33">
        <f t="shared" ref="S14:S17" si="18">$C$4*(1+C$5+C$6+C$7+C$8)+C$9</f>
        <v>2318.4</v>
      </c>
      <c r="T14" s="34">
        <f t="shared" ref="T14:T17" si="19">($C$5+$C$6+$C$7+$C$8)+($C$9+$C$10)/$C$4</f>
        <v>1.4404210526315799</v>
      </c>
      <c r="U14" s="34">
        <f t="shared" ref="U14:U17" si="20">IF(R14=$C$1,SUM($E$4:$E$9),SUM($E$4:$E$8))-20%</f>
        <v>1.1120000000000001</v>
      </c>
      <c r="V14" s="35">
        <f t="shared" ref="V14:V17" si="21">1+$G$10*($I$10-1)</f>
        <v>2.74525</v>
      </c>
      <c r="W14" s="32">
        <f t="shared" si="17"/>
        <v>0.4</v>
      </c>
      <c r="X14" s="35">
        <f t="shared" ref="X14:X17" si="22">$AF$8</f>
        <v>0.59868918578270702</v>
      </c>
      <c r="Y14" s="32">
        <f t="shared" ref="Y14:Y17" si="23">$AF$11</f>
        <v>0.8</v>
      </c>
      <c r="Z14" s="36">
        <v>0</v>
      </c>
      <c r="AA14" s="36">
        <v>0</v>
      </c>
      <c r="AB14" s="36">
        <v>0</v>
      </c>
      <c r="AC14" s="15">
        <f t="shared" ref="AC14:AC17" si="24">Q14*$C$4*(1+T14)*(1+U14)*V14*(1+W14)*X14*Y14*(1+Z14)*(1+AA14)*(1+AB14)*O14</f>
        <v>22579.207012534898</v>
      </c>
      <c r="AE14" s="74" t="s">
        <v>67</v>
      </c>
      <c r="AF14" s="74">
        <v>0.8</v>
      </c>
    </row>
    <row r="15" spans="2:33" ht="15.6" x14ac:dyDescent="0.25">
      <c r="B15" s="77"/>
      <c r="C15" s="78" t="s">
        <v>68</v>
      </c>
      <c r="D15" s="78" t="s">
        <v>69</v>
      </c>
      <c r="E15" s="78" t="s">
        <v>70</v>
      </c>
      <c r="F15" s="78" t="s">
        <v>71</v>
      </c>
      <c r="O15" s="30">
        <v>1</v>
      </c>
      <c r="P15" s="15" t="s">
        <v>72</v>
      </c>
      <c r="Q15" s="34">
        <f>205.97%+95.43%*3+266.41%*2</f>
        <v>10.2508</v>
      </c>
      <c r="R15" s="32" t="s">
        <v>1</v>
      </c>
      <c r="S15" s="33">
        <f t="shared" si="18"/>
        <v>2318.4</v>
      </c>
      <c r="T15" s="34">
        <f t="shared" si="19"/>
        <v>1.4404210526315799</v>
      </c>
      <c r="U15" s="34">
        <f t="shared" si="20"/>
        <v>1.1120000000000001</v>
      </c>
      <c r="V15" s="35">
        <f t="shared" si="21"/>
        <v>2.74525</v>
      </c>
      <c r="W15" s="32">
        <f t="shared" si="17"/>
        <v>0.4</v>
      </c>
      <c r="X15" s="35">
        <f t="shared" si="22"/>
        <v>0.59868918578270702</v>
      </c>
      <c r="Y15" s="32">
        <f t="shared" si="23"/>
        <v>0.8</v>
      </c>
      <c r="Z15" s="36">
        <v>0</v>
      </c>
      <c r="AA15" s="36">
        <v>0</v>
      </c>
      <c r="AB15" s="36">
        <v>0</v>
      </c>
      <c r="AC15" s="15">
        <f t="shared" si="24"/>
        <v>92393.491375231693</v>
      </c>
      <c r="AE15" s="110" t="s">
        <v>73</v>
      </c>
      <c r="AF15" s="110">
        <v>0.8</v>
      </c>
    </row>
    <row r="16" spans="2:33" ht="15.6" x14ac:dyDescent="0.25">
      <c r="B16" s="4" t="s">
        <v>74</v>
      </c>
      <c r="C16" s="84">
        <f>SUM(AC3:AC17)</f>
        <v>702055.86654785904</v>
      </c>
      <c r="D16" s="84">
        <f>C16/$E$16</f>
        <v>28082.234661914401</v>
      </c>
      <c r="E16" s="85">
        <v>25</v>
      </c>
      <c r="F16" s="86">
        <f>C16/$C$18</f>
        <v>0.91056323016820595</v>
      </c>
      <c r="O16" s="30">
        <v>1</v>
      </c>
      <c r="P16" s="111" t="s">
        <v>75</v>
      </c>
      <c r="Q16" s="34">
        <f>219.79%*2</f>
        <v>4.3958000000000004</v>
      </c>
      <c r="R16" s="32" t="s">
        <v>1</v>
      </c>
      <c r="S16" s="33">
        <f t="shared" si="18"/>
        <v>2318.4</v>
      </c>
      <c r="T16" s="34">
        <f t="shared" si="19"/>
        <v>1.4404210526315799</v>
      </c>
      <c r="U16" s="34">
        <f t="shared" si="20"/>
        <v>1.1120000000000001</v>
      </c>
      <c r="V16" s="35">
        <f t="shared" si="21"/>
        <v>2.74525</v>
      </c>
      <c r="W16" s="32">
        <f t="shared" si="17"/>
        <v>0.4</v>
      </c>
      <c r="X16" s="35">
        <f t="shared" si="22"/>
        <v>0.59868918578270702</v>
      </c>
      <c r="Y16" s="32">
        <f t="shared" si="23"/>
        <v>0.8</v>
      </c>
      <c r="Z16" s="36">
        <v>0</v>
      </c>
      <c r="AA16" s="36">
        <v>0</v>
      </c>
      <c r="AB16" s="36">
        <v>0</v>
      </c>
      <c r="AC16" s="15">
        <f t="shared" si="24"/>
        <v>39620.645158157698</v>
      </c>
      <c r="AE16" s="78" t="s">
        <v>76</v>
      </c>
      <c r="AF16" s="78">
        <v>0.8</v>
      </c>
    </row>
    <row r="17" spans="2:32" ht="15.6" x14ac:dyDescent="0.25">
      <c r="B17" s="4" t="s">
        <v>77</v>
      </c>
      <c r="C17" s="84">
        <f>AC22</f>
        <v>68956.890488431905</v>
      </c>
      <c r="D17" s="84">
        <f>C17/$E$16</f>
        <v>2758.2756195372699</v>
      </c>
      <c r="E17" s="85"/>
      <c r="F17" s="86">
        <f>C17/$C$18</f>
        <v>8.9436769831794299E-2</v>
      </c>
      <c r="J17" s="34"/>
      <c r="O17" s="30">
        <v>1</v>
      </c>
      <c r="P17" s="111" t="s">
        <v>78</v>
      </c>
      <c r="Q17" s="34">
        <v>1.5905</v>
      </c>
      <c r="R17" s="32" t="s">
        <v>1</v>
      </c>
      <c r="S17" s="33">
        <f t="shared" si="18"/>
        <v>2318.4</v>
      </c>
      <c r="T17" s="34">
        <f t="shared" si="19"/>
        <v>1.4404210526315799</v>
      </c>
      <c r="U17" s="34">
        <f t="shared" si="20"/>
        <v>1.1120000000000001</v>
      </c>
      <c r="V17" s="35">
        <f t="shared" si="21"/>
        <v>2.74525</v>
      </c>
      <c r="W17" s="32">
        <f t="shared" si="17"/>
        <v>0.4</v>
      </c>
      <c r="X17" s="35">
        <f t="shared" si="22"/>
        <v>0.59868918578270702</v>
      </c>
      <c r="Y17" s="32">
        <f t="shared" si="23"/>
        <v>0.8</v>
      </c>
      <c r="Z17" s="36">
        <v>0</v>
      </c>
      <c r="AA17" s="36">
        <v>0</v>
      </c>
      <c r="AB17" s="36">
        <v>0</v>
      </c>
      <c r="AC17" s="15">
        <f t="shared" si="24"/>
        <v>14335.6467819395</v>
      </c>
    </row>
    <row r="18" spans="2:32" ht="15.6" x14ac:dyDescent="0.25">
      <c r="B18" s="4" t="s">
        <v>79</v>
      </c>
      <c r="C18" s="87">
        <f>SUM(C16:C17)</f>
        <v>771012.75703629095</v>
      </c>
      <c r="D18" s="87">
        <f>C18/E16</f>
        <v>30840.510281451599</v>
      </c>
      <c r="E18" s="88"/>
      <c r="F18" s="89"/>
      <c r="Q18" s="1"/>
      <c r="U18" s="1"/>
      <c r="V18" s="1"/>
      <c r="AB18" s="1"/>
      <c r="AC18" s="1"/>
      <c r="AE18" s="1" t="s">
        <v>80</v>
      </c>
      <c r="AF18" s="1">
        <v>0.8</v>
      </c>
    </row>
    <row r="19" spans="2:32" ht="15.6" x14ac:dyDescent="0.25">
      <c r="B19" s="4"/>
      <c r="C19" s="4"/>
      <c r="D19" s="4"/>
      <c r="O19" s="60">
        <f t="shared" ref="O19:O21" si="25">$O$22</f>
        <v>1</v>
      </c>
      <c r="P19" s="62" t="s">
        <v>81</v>
      </c>
      <c r="Q19" s="61">
        <v>18.807500000000001</v>
      </c>
      <c r="R19" s="62" t="s">
        <v>82</v>
      </c>
      <c r="S19" s="62">
        <v>10027</v>
      </c>
      <c r="T19" s="61">
        <v>0</v>
      </c>
      <c r="U19" s="61">
        <v>0</v>
      </c>
      <c r="V19" s="63">
        <v>1</v>
      </c>
      <c r="W19" s="62">
        <v>0</v>
      </c>
      <c r="X19" s="63">
        <f t="shared" ref="X19:X22" si="26">$AF$3</f>
        <v>0.48843187660668402</v>
      </c>
      <c r="Y19" s="62">
        <f t="shared" ref="Y19:Y22" si="27">$AF$18</f>
        <v>0.8</v>
      </c>
      <c r="Z19" s="64">
        <v>0</v>
      </c>
      <c r="AA19" s="64">
        <v>0</v>
      </c>
      <c r="AB19" s="29">
        <v>0.5</v>
      </c>
      <c r="AC19" s="112">
        <f t="shared" ref="AC19:AC22" si="28">Q19*S19*(1+T19)*(1+U19)*V19*(1+W19)*X19*Y19*(1+Z19)*(1+AA19)*(1+AB19)*O19</f>
        <v>110531.82254498699</v>
      </c>
    </row>
    <row r="20" spans="2:32" ht="15.6" x14ac:dyDescent="0.25">
      <c r="B20" s="4"/>
      <c r="C20" s="4"/>
      <c r="D20" s="4"/>
      <c r="F20" s="4"/>
      <c r="O20" s="24">
        <f t="shared" si="25"/>
        <v>1</v>
      </c>
      <c r="P20" s="1" t="s">
        <v>83</v>
      </c>
      <c r="Q20" s="2">
        <v>2.9822000000000002</v>
      </c>
      <c r="R20" s="1" t="s">
        <v>82</v>
      </c>
      <c r="S20" s="1">
        <v>10027</v>
      </c>
      <c r="T20" s="2">
        <v>0</v>
      </c>
      <c r="U20" s="2">
        <v>0</v>
      </c>
      <c r="V20" s="69">
        <v>1</v>
      </c>
      <c r="W20" s="1">
        <v>0</v>
      </c>
      <c r="X20" s="69">
        <f t="shared" si="26"/>
        <v>0.48843187660668402</v>
      </c>
      <c r="Y20" s="1">
        <f t="shared" si="27"/>
        <v>0.8</v>
      </c>
      <c r="Z20" s="58">
        <v>0</v>
      </c>
      <c r="AA20" s="58">
        <v>0</v>
      </c>
      <c r="AB20" s="26">
        <v>0.5</v>
      </c>
      <c r="AC20" s="112">
        <f t="shared" si="28"/>
        <v>17526.412398971701</v>
      </c>
    </row>
    <row r="21" spans="2:32" ht="15.6" x14ac:dyDescent="0.25">
      <c r="B21" s="1" t="s">
        <v>84</v>
      </c>
      <c r="F21" s="4"/>
      <c r="O21" s="24">
        <f t="shared" si="25"/>
        <v>1</v>
      </c>
      <c r="P21" s="1" t="s">
        <v>85</v>
      </c>
      <c r="Q21" s="2">
        <v>5.9642999999999997</v>
      </c>
      <c r="R21" s="1" t="s">
        <v>82</v>
      </c>
      <c r="S21" s="1">
        <v>10027</v>
      </c>
      <c r="T21" s="2">
        <v>0</v>
      </c>
      <c r="U21" s="2">
        <v>0</v>
      </c>
      <c r="V21" s="69">
        <v>1</v>
      </c>
      <c r="W21" s="1">
        <v>0</v>
      </c>
      <c r="X21" s="69">
        <f t="shared" si="26"/>
        <v>0.48843187660668402</v>
      </c>
      <c r="Y21" s="1">
        <f t="shared" si="27"/>
        <v>0.8</v>
      </c>
      <c r="Z21" s="58">
        <v>0</v>
      </c>
      <c r="AA21" s="58">
        <v>0</v>
      </c>
      <c r="AB21" s="26">
        <v>0.5</v>
      </c>
      <c r="AC21" s="113">
        <f t="shared" si="28"/>
        <v>35052.237097172198</v>
      </c>
    </row>
    <row r="22" spans="2:32" ht="15.6" x14ac:dyDescent="0.25">
      <c r="O22" s="13">
        <v>1</v>
      </c>
      <c r="P22" s="114" t="s">
        <v>77</v>
      </c>
      <c r="Q22" s="115">
        <v>16</v>
      </c>
      <c r="R22" s="114" t="s">
        <v>86</v>
      </c>
      <c r="S22" s="114">
        <v>10027</v>
      </c>
      <c r="T22" s="115">
        <v>0</v>
      </c>
      <c r="U22" s="115">
        <v>0</v>
      </c>
      <c r="V22" s="116">
        <v>1</v>
      </c>
      <c r="W22" s="114">
        <v>0</v>
      </c>
      <c r="X22" s="116">
        <f t="shared" si="26"/>
        <v>0.48843187660668402</v>
      </c>
      <c r="Y22" s="114">
        <f t="shared" si="27"/>
        <v>0.8</v>
      </c>
      <c r="Z22" s="117">
        <v>0</v>
      </c>
      <c r="AA22" s="117">
        <v>0</v>
      </c>
      <c r="AB22" s="118">
        <v>0.1</v>
      </c>
      <c r="AC22" s="119">
        <f t="shared" si="28"/>
        <v>68956.890488431905</v>
      </c>
    </row>
    <row r="23" spans="2:32" x14ac:dyDescent="0.25">
      <c r="B23" s="4"/>
      <c r="C23" s="4"/>
      <c r="D23" s="4"/>
      <c r="F23" s="4"/>
    </row>
    <row r="24" spans="2:32" x14ac:dyDescent="0.25">
      <c r="B24" s="4"/>
      <c r="C24" s="4"/>
      <c r="D24" s="4"/>
      <c r="F24" s="4"/>
      <c r="O24" s="62" t="s">
        <v>4</v>
      </c>
      <c r="P24" s="62"/>
      <c r="Q24" s="61"/>
      <c r="R24" s="62"/>
      <c r="S24" s="62"/>
      <c r="T24" s="62"/>
      <c r="U24" s="61"/>
      <c r="V24" s="120"/>
      <c r="W24" s="62"/>
      <c r="X24" s="62"/>
      <c r="Y24" s="62"/>
      <c r="Z24" s="62"/>
      <c r="AA24" s="62"/>
      <c r="AB24" s="121"/>
      <c r="AC24" s="122"/>
    </row>
    <row r="25" spans="2:32" ht="15.6" x14ac:dyDescent="0.25">
      <c r="G25" s="1"/>
      <c r="O25" s="1">
        <v>1</v>
      </c>
      <c r="P25" s="103" t="s">
        <v>87</v>
      </c>
      <c r="Q25" s="123">
        <f>IF(N41&gt;0,(MAX(45%,112.5%+112.5%*(N41-2))),(IF(N41&lt;=0,0)))</f>
        <v>5.625</v>
      </c>
      <c r="R25" s="103" t="s">
        <v>87</v>
      </c>
      <c r="S25" s="124">
        <v>3674.1</v>
      </c>
      <c r="T25" s="125">
        <v>0</v>
      </c>
      <c r="U25" s="125">
        <v>0</v>
      </c>
      <c r="V25" s="126">
        <v>1</v>
      </c>
      <c r="W25" s="103">
        <v>0</v>
      </c>
      <c r="X25" s="126">
        <f t="shared" ref="X25:X28" si="29">$AF$3</f>
        <v>0.48843187660668402</v>
      </c>
      <c r="Y25" s="103">
        <f>$AF$13</f>
        <v>0.8</v>
      </c>
      <c r="Z25" s="127">
        <v>0</v>
      </c>
      <c r="AA25" s="127">
        <v>0</v>
      </c>
      <c r="AB25" s="127">
        <v>0</v>
      </c>
      <c r="AC25" s="128">
        <f t="shared" ref="AC25:AC28" si="30">Q25*S25*(1+T25)*(1+U25)*V25*(1+W25)*X25*Y25*(1+Z25)*(1+AA25)*(1+AB25)*O25</f>
        <v>8075.4640102827798</v>
      </c>
    </row>
    <row r="26" spans="2:32" ht="15.6" x14ac:dyDescent="0.25">
      <c r="B26" s="4"/>
      <c r="C26" s="4"/>
      <c r="D26" s="4"/>
      <c r="F26" s="4"/>
      <c r="O26" s="1">
        <v>1</v>
      </c>
      <c r="P26" s="76" t="s">
        <v>88</v>
      </c>
      <c r="Q26" s="129">
        <f>IF(N42=1,0.3,IF(AND(N42&gt;=2,N42&lt;=10),0.3+0.2439*(N42-1),IF(AND(N42&gt;=11),2.4951+0.8317*(N42-10),IF(AND(N42&lt;=0),0,""))))</f>
        <v>2.4950999999999999</v>
      </c>
      <c r="R26" s="76" t="s">
        <v>88</v>
      </c>
      <c r="S26" s="130">
        <v>3674.1</v>
      </c>
      <c r="T26" s="131">
        <v>0</v>
      </c>
      <c r="U26" s="131">
        <v>0</v>
      </c>
      <c r="V26" s="132">
        <v>1</v>
      </c>
      <c r="W26" s="76">
        <v>0</v>
      </c>
      <c r="X26" s="132">
        <f t="shared" si="29"/>
        <v>0.48843187660668402</v>
      </c>
      <c r="Y26" s="76">
        <f>$AF$11</f>
        <v>0.8</v>
      </c>
      <c r="Z26" s="133">
        <v>0</v>
      </c>
      <c r="AA26" s="133">
        <v>0</v>
      </c>
      <c r="AB26" s="133">
        <v>0</v>
      </c>
      <c r="AC26" s="134">
        <f t="shared" si="30"/>
        <v>3582.0604892545002</v>
      </c>
    </row>
    <row r="27" spans="2:32" ht="15.6" x14ac:dyDescent="0.25">
      <c r="B27" s="4"/>
      <c r="C27" s="4"/>
      <c r="D27" s="4"/>
      <c r="F27" s="4"/>
      <c r="O27" s="1">
        <v>1</v>
      </c>
      <c r="P27" s="110" t="s">
        <v>89</v>
      </c>
      <c r="Q27" s="135">
        <f>IF(N43=1,24.5%,IF(AND(10&gt;=N43,N43&gt;=2),24.5%+(N43-1)*19.9185%,IF(AND(13&gt;=N43,N43&gt;=11),203.77%+(N43-10)*(271.69%-203.77%),"")))</f>
        <v>4.0753000000000004</v>
      </c>
      <c r="R27" s="110" t="s">
        <v>89</v>
      </c>
      <c r="S27" s="136">
        <v>3674.1</v>
      </c>
      <c r="T27" s="137">
        <v>0</v>
      </c>
      <c r="U27" s="137">
        <v>0</v>
      </c>
      <c r="V27" s="138">
        <v>1</v>
      </c>
      <c r="W27" s="110">
        <v>0</v>
      </c>
      <c r="X27" s="138">
        <f t="shared" si="29"/>
        <v>0.48843187660668402</v>
      </c>
      <c r="Y27" s="110">
        <f>$AF$15</f>
        <v>0.8</v>
      </c>
      <c r="Z27" s="139">
        <v>0</v>
      </c>
      <c r="AA27" s="139">
        <v>0</v>
      </c>
      <c r="AB27" s="139">
        <v>0</v>
      </c>
      <c r="AC27" s="140">
        <f t="shared" si="30"/>
        <v>5850.6557299742899</v>
      </c>
    </row>
    <row r="28" spans="2:32" ht="15.6" x14ac:dyDescent="0.25">
      <c r="O28" s="79">
        <v>1</v>
      </c>
      <c r="P28" s="141" t="s">
        <v>90</v>
      </c>
      <c r="Q28" s="142">
        <f>IF(N44=1,0.84,IF(N44=2,1.5229,IF(N44=3,2.2058,IF(N44=4,2.8888,IF(N44=5,3.5717,IF(N44=6,4.2546,IF(N44=7,4.9375,IF(N44=8,5.6204,IF(N44=9,6.3034,IF(N44=10,6.9863,IF(N44=11,9.315,IF(N44=12,11.6438,IF(N44=13,13.9726,"")))))))))))))</f>
        <v>13.9726</v>
      </c>
      <c r="R28" s="141" t="s">
        <v>90</v>
      </c>
      <c r="S28" s="143">
        <v>3674.1</v>
      </c>
      <c r="T28" s="144">
        <v>0</v>
      </c>
      <c r="U28" s="144">
        <v>0</v>
      </c>
      <c r="V28" s="145">
        <v>1</v>
      </c>
      <c r="W28" s="141">
        <v>0</v>
      </c>
      <c r="X28" s="145">
        <f t="shared" si="29"/>
        <v>0.48843187660668402</v>
      </c>
      <c r="Y28" s="141">
        <f>$AF$16</f>
        <v>0.8</v>
      </c>
      <c r="Z28" s="146">
        <v>0</v>
      </c>
      <c r="AA28" s="146">
        <v>0</v>
      </c>
      <c r="AB28" s="146">
        <v>0</v>
      </c>
      <c r="AC28" s="147">
        <f t="shared" si="30"/>
        <v>20059.596165347</v>
      </c>
    </row>
    <row r="29" spans="2:32" x14ac:dyDescent="0.25">
      <c r="B29" s="4"/>
      <c r="C29" s="4"/>
      <c r="D29" s="4"/>
      <c r="F29" s="4"/>
    </row>
    <row r="30" spans="2:32" x14ac:dyDescent="0.25">
      <c r="B30" s="4"/>
      <c r="C30" s="4"/>
      <c r="D30" s="4"/>
    </row>
    <row r="32" spans="2:32" x14ac:dyDescent="0.25">
      <c r="B32" s="4"/>
      <c r="C32" s="4"/>
      <c r="D32" s="4"/>
    </row>
    <row r="40" spans="14:14" x14ac:dyDescent="0.25">
      <c r="N40" s="60" t="s">
        <v>91</v>
      </c>
    </row>
    <row r="41" spans="14:14" x14ac:dyDescent="0.25">
      <c r="N41" s="24">
        <v>6</v>
      </c>
    </row>
    <row r="42" spans="14:14" x14ac:dyDescent="0.25">
      <c r="N42" s="24">
        <v>10</v>
      </c>
    </row>
    <row r="43" spans="14:14" x14ac:dyDescent="0.25">
      <c r="N43" s="24">
        <v>13</v>
      </c>
    </row>
    <row r="44" spans="14:14" x14ac:dyDescent="0.25">
      <c r="N44" s="42">
        <v>13</v>
      </c>
    </row>
  </sheetData>
  <mergeCells count="7">
    <mergeCell ref="B2:M2"/>
    <mergeCell ref="B3:C3"/>
    <mergeCell ref="D3:E3"/>
    <mergeCell ref="F3:G3"/>
    <mergeCell ref="H3:I3"/>
    <mergeCell ref="J3:K3"/>
    <mergeCell ref="L3:M3"/>
  </mergeCells>
  <phoneticPr fontId="10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32"/>
  <sheetViews>
    <sheetView topLeftCell="A2" workbookViewId="0">
      <selection activeCell="H21" sqref="H21:H27"/>
    </sheetView>
  </sheetViews>
  <sheetFormatPr defaultColWidth="9.6640625" defaultRowHeight="14.4" x14ac:dyDescent="0.25"/>
  <cols>
    <col min="1" max="1" width="9.6640625" style="1"/>
    <col min="2" max="2" width="15.44140625" style="1" customWidth="1"/>
    <col min="3" max="3" width="10" style="1" customWidth="1"/>
    <col min="4" max="4" width="11.77734375" style="1" customWidth="1"/>
    <col min="5" max="5" width="5.5546875" style="1" customWidth="1"/>
    <col min="6" max="6" width="11.77734375" style="1" customWidth="1"/>
    <col min="7" max="7" width="7.5546875" style="2" customWidth="1"/>
    <col min="8" max="8" width="14" style="1" customWidth="1"/>
    <col min="9" max="9" width="8.5546875" style="1" customWidth="1"/>
    <col min="10" max="10" width="11.77734375" style="1" customWidth="1"/>
    <col min="11" max="11" width="4.5546875" style="1" customWidth="1"/>
    <col min="12" max="12" width="9.5546875" style="1" customWidth="1"/>
    <col min="13" max="13" width="7.5546875" style="1" customWidth="1"/>
    <col min="14" max="14" width="5.5546875" style="1" customWidth="1"/>
    <col min="15" max="15" width="6.21875" style="1" customWidth="1"/>
    <col min="16" max="16" width="21.21875" style="1" customWidth="1"/>
    <col min="17" max="17" width="9.5546875" style="2" customWidth="1"/>
    <col min="18" max="18" width="6.21875" style="1" customWidth="1"/>
    <col min="19" max="19" width="11" style="1" customWidth="1"/>
    <col min="20" max="20" width="8.5546875" style="1" customWidth="1"/>
    <col min="21" max="21" width="8.5546875" style="2" customWidth="1"/>
    <col min="22" max="22" width="8.5546875" style="3" customWidth="1"/>
    <col min="23" max="25" width="8.5546875" style="1" customWidth="1"/>
    <col min="26" max="26" width="11" style="1" customWidth="1"/>
    <col min="27" max="27" width="8.5546875" style="1" customWidth="1"/>
    <col min="28" max="28" width="11" style="4" customWidth="1"/>
    <col min="29" max="29" width="10" style="4" customWidth="1"/>
    <col min="30" max="30" width="9.5546875" style="1" customWidth="1"/>
    <col min="31" max="31" width="5.5546875" style="1" customWidth="1"/>
    <col min="32" max="32" width="8.5546875" style="1" customWidth="1"/>
    <col min="33" max="33" width="9.5546875" style="1" customWidth="1"/>
    <col min="34" max="16384" width="9.6640625" style="1"/>
  </cols>
  <sheetData>
    <row r="1" spans="2:33" x14ac:dyDescent="0.25">
      <c r="B1" s="5" t="s">
        <v>0</v>
      </c>
      <c r="C1" s="5" t="s">
        <v>1</v>
      </c>
      <c r="D1" s="6" t="s">
        <v>2</v>
      </c>
      <c r="E1" s="6">
        <v>2</v>
      </c>
      <c r="G1" s="1"/>
    </row>
    <row r="2" spans="2:33" ht="15.6" x14ac:dyDescent="0.25">
      <c r="B2" s="199" t="s">
        <v>3</v>
      </c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1"/>
      <c r="O2" s="93" t="s">
        <v>4</v>
      </c>
      <c r="P2" s="94" t="s">
        <v>5</v>
      </c>
      <c r="Q2" s="95" t="s">
        <v>6</v>
      </c>
      <c r="R2" s="94" t="s">
        <v>7</v>
      </c>
      <c r="S2" s="94" t="s">
        <v>8</v>
      </c>
      <c r="T2" s="94" t="s">
        <v>9</v>
      </c>
      <c r="U2" s="95" t="s">
        <v>10</v>
      </c>
      <c r="V2" s="96" t="s">
        <v>11</v>
      </c>
      <c r="W2" s="94" t="s">
        <v>12</v>
      </c>
      <c r="X2" s="94" t="s">
        <v>13</v>
      </c>
      <c r="Y2" s="94" t="s">
        <v>14</v>
      </c>
      <c r="Z2" s="94" t="s">
        <v>15</v>
      </c>
      <c r="AA2" s="94" t="s">
        <v>16</v>
      </c>
      <c r="AB2" s="97" t="s">
        <v>17</v>
      </c>
      <c r="AC2" s="98" t="s">
        <v>18</v>
      </c>
      <c r="AD2" s="11" t="s">
        <v>19</v>
      </c>
      <c r="AE2" s="11" t="s">
        <v>20</v>
      </c>
      <c r="AF2" s="12" t="s">
        <v>13</v>
      </c>
      <c r="AG2" s="12" t="s">
        <v>21</v>
      </c>
    </row>
    <row r="3" spans="2:33" ht="15.6" x14ac:dyDescent="0.25">
      <c r="B3" s="202" t="s">
        <v>22</v>
      </c>
      <c r="C3" s="203"/>
      <c r="D3" s="202" t="s">
        <v>10</v>
      </c>
      <c r="E3" s="203"/>
      <c r="F3" s="202" t="s">
        <v>23</v>
      </c>
      <c r="G3" s="203"/>
      <c r="H3" s="202" t="s">
        <v>24</v>
      </c>
      <c r="I3" s="203"/>
      <c r="J3" s="202" t="s">
        <v>12</v>
      </c>
      <c r="K3" s="203"/>
      <c r="L3" s="202" t="s">
        <v>25</v>
      </c>
      <c r="M3" s="203"/>
      <c r="O3" s="30">
        <v>1</v>
      </c>
      <c r="P3" s="99" t="s">
        <v>26</v>
      </c>
      <c r="Q3" s="34">
        <v>10.9346</v>
      </c>
      <c r="R3" s="32" t="s">
        <v>1</v>
      </c>
      <c r="S3" s="33">
        <f>$C$4*(1+C$5+C$6+C$7+C$8)+C$9</f>
        <v>2812.4</v>
      </c>
      <c r="T3" s="34">
        <f>($C$5+$C$6+$C$7+$C$8)+($C$9+$C$10)/$C$4</f>
        <v>1.96042105263158</v>
      </c>
      <c r="U3" s="34">
        <f t="shared" ref="U3:U11" si="0">IF(R3=$C$1,SUM($E$4:$E$9),SUM($E$4:$E$8))</f>
        <v>1.712</v>
      </c>
      <c r="V3" s="35">
        <f>1+$G$10*($I$10-1)</f>
        <v>2.74525</v>
      </c>
      <c r="W3" s="32">
        <f>IF(R3=$C$1,$K$4+$K$5,$K$4)</f>
        <v>0.8</v>
      </c>
      <c r="X3" s="35">
        <f>$AF$8</f>
        <v>0.70474777448071202</v>
      </c>
      <c r="Y3" s="32">
        <f>$AF$11</f>
        <v>0.8</v>
      </c>
      <c r="Z3" s="36">
        <v>0</v>
      </c>
      <c r="AA3" s="36">
        <v>0</v>
      </c>
      <c r="AB3" s="36">
        <v>0</v>
      </c>
      <c r="AC3" s="15">
        <f>Q3*$C$4*(1+T3)*(1+U3)*V3*(1+W3)*X3*Y3*(1+Z3)*(1+AA3)*(1+AB3)*O3</f>
        <v>232352.73053886701</v>
      </c>
      <c r="AD3" s="11">
        <v>0</v>
      </c>
      <c r="AE3" s="11">
        <v>0</v>
      </c>
      <c r="AF3" s="12">
        <f t="shared" ref="AF3:AF8" si="1">1520/(1520+(792+8*AG3)*(1-AE3/100))</f>
        <v>0.48843187660668402</v>
      </c>
      <c r="AG3" s="23">
        <v>100</v>
      </c>
    </row>
    <row r="4" spans="2:33" ht="15.6" x14ac:dyDescent="0.25">
      <c r="B4" s="24" t="s">
        <v>27</v>
      </c>
      <c r="C4" s="25">
        <f>450+500</f>
        <v>950</v>
      </c>
      <c r="D4" s="24" t="s">
        <v>28</v>
      </c>
      <c r="E4" s="26">
        <f>E1*30%</f>
        <v>0.6</v>
      </c>
      <c r="F4" s="24" t="s">
        <v>29</v>
      </c>
      <c r="G4" s="27">
        <v>0.13</v>
      </c>
      <c r="H4" s="24" t="s">
        <v>29</v>
      </c>
      <c r="I4" s="27">
        <v>1.5</v>
      </c>
      <c r="J4" s="100" t="s">
        <v>30</v>
      </c>
      <c r="K4" s="26">
        <v>0.8</v>
      </c>
      <c r="L4" s="24" t="s">
        <v>31</v>
      </c>
      <c r="M4" s="27">
        <f>8.6%*2</f>
        <v>0.17199999999999999</v>
      </c>
      <c r="O4" s="30">
        <v>1</v>
      </c>
      <c r="P4" s="15" t="s">
        <v>42</v>
      </c>
      <c r="Q4" s="34">
        <f t="shared" ref="Q4:Q8" si="2">319.19%*2</f>
        <v>6.3837999999999999</v>
      </c>
      <c r="R4" s="32" t="s">
        <v>1</v>
      </c>
      <c r="S4" s="33">
        <f>$C$4*(1+C$5+C$6+C$7+C$8)+C$9</f>
        <v>2812.4</v>
      </c>
      <c r="T4" s="34">
        <f>($C$5+$C$6+$C$7+$C$8)+($C$9+$C$10)/$C$4</f>
        <v>1.96042105263158</v>
      </c>
      <c r="U4" s="34">
        <f t="shared" si="0"/>
        <v>1.712</v>
      </c>
      <c r="V4" s="35">
        <f>1+$G$10*($I$10-1)</f>
        <v>2.74525</v>
      </c>
      <c r="W4" s="32">
        <f t="shared" ref="W4:W9" si="3">IF(R4=$C$1,$K$4+$K$5,$K$4)+65%</f>
        <v>1.45</v>
      </c>
      <c r="X4" s="35">
        <f>$AF$8</f>
        <v>0.70474777448071202</v>
      </c>
      <c r="Y4" s="32">
        <f>$AF$11</f>
        <v>0.8</v>
      </c>
      <c r="Z4" s="36">
        <v>0</v>
      </c>
      <c r="AA4" s="36">
        <v>0</v>
      </c>
      <c r="AB4" s="36">
        <v>0</v>
      </c>
      <c r="AC4" s="15">
        <f>Q4*$C$4*(1+T4)*(1+U4)*V4*(1+W4)*X4*Y4*(1+Z4)*(1+AA4)*(1+AB4)*O4</f>
        <v>184636.57335300301</v>
      </c>
      <c r="AD4" s="11">
        <v>12</v>
      </c>
      <c r="AE4" s="11">
        <v>18</v>
      </c>
      <c r="AF4" s="12">
        <f>1520/(1520+(792+8*AG4)*(1-AE4/100)*(1-AD4/100))</f>
        <v>0.56954709614914201</v>
      </c>
      <c r="AG4" s="23">
        <v>100</v>
      </c>
    </row>
    <row r="5" spans="2:33" ht="15.6" x14ac:dyDescent="0.25">
      <c r="B5" s="24" t="s">
        <v>33</v>
      </c>
      <c r="C5" s="26">
        <v>0.36</v>
      </c>
      <c r="D5" s="24" t="s">
        <v>34</v>
      </c>
      <c r="E5" s="26">
        <f>12%+10%</f>
        <v>0.22</v>
      </c>
      <c r="F5" s="24" t="s">
        <v>35</v>
      </c>
      <c r="G5" s="27">
        <v>0.36</v>
      </c>
      <c r="H5" s="24" t="s">
        <v>35</v>
      </c>
      <c r="I5" s="27">
        <v>0</v>
      </c>
      <c r="J5" s="38" t="s">
        <v>36</v>
      </c>
      <c r="K5" s="26"/>
      <c r="L5" s="24" t="s">
        <v>37</v>
      </c>
      <c r="M5" s="27">
        <f>8.6%*2</f>
        <v>0.17199999999999999</v>
      </c>
      <c r="O5" s="30">
        <v>1</v>
      </c>
      <c r="P5" s="15" t="s">
        <v>38</v>
      </c>
      <c r="Q5" s="34">
        <f>205.97%+95.43%*3+266.41%*2</f>
        <v>10.2508</v>
      </c>
      <c r="R5" s="32" t="s">
        <v>1</v>
      </c>
      <c r="S5" s="33">
        <f t="shared" ref="S5:S12" si="4">$C$4*(1+C$5+C$6+C$7+C$8)+C$9</f>
        <v>2812.4</v>
      </c>
      <c r="T5" s="34">
        <f t="shared" ref="T5:T12" si="5">($C$5+$C$6+$C$7+$C$8)+($C$9+$C$10)/$C$4</f>
        <v>1.96042105263158</v>
      </c>
      <c r="U5" s="34">
        <f t="shared" si="0"/>
        <v>1.712</v>
      </c>
      <c r="V5" s="35">
        <f t="shared" ref="V5:V12" si="6">1+$G$10*($I$10-1)</f>
        <v>2.74525</v>
      </c>
      <c r="W5" s="32">
        <f t="shared" si="3"/>
        <v>1.45</v>
      </c>
      <c r="X5" s="35">
        <f t="shared" ref="X5:X9" si="7">$AF$8</f>
        <v>0.70474777448071202</v>
      </c>
      <c r="Y5" s="32">
        <f t="shared" ref="Y5:Y12" si="8">$AF$11</f>
        <v>0.8</v>
      </c>
      <c r="Z5" s="36">
        <v>0</v>
      </c>
      <c r="AA5" s="36">
        <v>0</v>
      </c>
      <c r="AB5" s="36">
        <v>0</v>
      </c>
      <c r="AC5" s="15">
        <f t="shared" ref="AC5:AC12" si="9">Q5*$C$4*(1+T5)*(1+U5)*V5*(1+W5)*X5*Y5*(1+Z5)*(1+AA5)*(1+AB5)*O5</f>
        <v>296480.55799476302</v>
      </c>
      <c r="AD5" s="11">
        <v>0</v>
      </c>
      <c r="AE5" s="11">
        <v>30</v>
      </c>
      <c r="AF5" s="12">
        <f t="shared" si="1"/>
        <v>0.57698147585787996</v>
      </c>
      <c r="AG5" s="23">
        <v>100</v>
      </c>
    </row>
    <row r="6" spans="2:33" ht="15.6" x14ac:dyDescent="0.25">
      <c r="B6" s="24" t="s">
        <v>39</v>
      </c>
      <c r="C6" s="26">
        <f>18%+18%+M4+(2-E1)*30%</f>
        <v>0.53200000000000003</v>
      </c>
      <c r="D6" s="24" t="s">
        <v>40</v>
      </c>
      <c r="E6" s="26"/>
      <c r="F6" s="24" t="s">
        <v>41</v>
      </c>
      <c r="G6" s="27"/>
      <c r="H6" s="24" t="s">
        <v>41</v>
      </c>
      <c r="I6" s="27">
        <v>0.2</v>
      </c>
      <c r="J6" s="38"/>
      <c r="K6" s="27"/>
      <c r="L6" s="24" t="s">
        <v>23</v>
      </c>
      <c r="M6" s="27">
        <f>8.1*5%</f>
        <v>0.40500000000000003</v>
      </c>
      <c r="O6" s="30">
        <v>1</v>
      </c>
      <c r="P6" s="15" t="s">
        <v>75</v>
      </c>
      <c r="Q6" s="34">
        <f>219.79%*2</f>
        <v>4.3958000000000004</v>
      </c>
      <c r="R6" s="32" t="s">
        <v>1</v>
      </c>
      <c r="S6" s="33">
        <f t="shared" si="4"/>
        <v>2812.4</v>
      </c>
      <c r="T6" s="34">
        <f t="shared" si="5"/>
        <v>1.96042105263158</v>
      </c>
      <c r="U6" s="34">
        <f t="shared" si="0"/>
        <v>1.712</v>
      </c>
      <c r="V6" s="35">
        <f t="shared" si="6"/>
        <v>2.74525</v>
      </c>
      <c r="W6" s="32">
        <f t="shared" si="3"/>
        <v>1.45</v>
      </c>
      <c r="X6" s="35">
        <f t="shared" si="7"/>
        <v>0.70474777448071202</v>
      </c>
      <c r="Y6" s="32">
        <f t="shared" si="8"/>
        <v>0.8</v>
      </c>
      <c r="Z6" s="36">
        <v>0</v>
      </c>
      <c r="AA6" s="36">
        <v>0</v>
      </c>
      <c r="AB6" s="36">
        <v>0</v>
      </c>
      <c r="AC6" s="15">
        <f t="shared" si="9"/>
        <v>127138.29523875</v>
      </c>
      <c r="AD6" s="11">
        <v>0</v>
      </c>
      <c r="AE6" s="11">
        <v>21.6</v>
      </c>
      <c r="AF6" s="12">
        <f t="shared" si="1"/>
        <v>0.54910755571996706</v>
      </c>
      <c r="AG6" s="23">
        <v>100</v>
      </c>
    </row>
    <row r="7" spans="2:33" ht="15.6" x14ac:dyDescent="0.25">
      <c r="B7" s="24" t="s">
        <v>43</v>
      </c>
      <c r="C7" s="40">
        <f>30%+40%</f>
        <v>0.7</v>
      </c>
      <c r="D7" s="24" t="s">
        <v>44</v>
      </c>
      <c r="E7" s="26"/>
      <c r="F7" s="24" t="s">
        <v>39</v>
      </c>
      <c r="G7" s="27">
        <f>M6</f>
        <v>0.40500000000000003</v>
      </c>
      <c r="H7" s="24" t="s">
        <v>39</v>
      </c>
      <c r="I7" s="27">
        <f>M7+44%</f>
        <v>1.25</v>
      </c>
      <c r="J7" s="38"/>
      <c r="K7" s="27"/>
      <c r="L7" s="24" t="s">
        <v>45</v>
      </c>
      <c r="M7" s="26">
        <f>16.2%*5</f>
        <v>0.81</v>
      </c>
      <c r="O7" s="30">
        <v>1</v>
      </c>
      <c r="P7" s="111" t="s">
        <v>78</v>
      </c>
      <c r="Q7" s="34">
        <f>159.05%+1600%</f>
        <v>17.590499999999999</v>
      </c>
      <c r="R7" s="32" t="s">
        <v>1</v>
      </c>
      <c r="S7" s="33">
        <f t="shared" si="4"/>
        <v>2812.4</v>
      </c>
      <c r="T7" s="34">
        <f t="shared" si="5"/>
        <v>1.96042105263158</v>
      </c>
      <c r="U7" s="34">
        <f t="shared" si="0"/>
        <v>1.712</v>
      </c>
      <c r="V7" s="35">
        <f t="shared" si="6"/>
        <v>2.74525</v>
      </c>
      <c r="W7" s="32">
        <f>IF(R7=$C$1,$K$4+$K$5,$K$4)</f>
        <v>0.8</v>
      </c>
      <c r="X7" s="35">
        <f t="shared" si="7"/>
        <v>0.70474777448071202</v>
      </c>
      <c r="Y7" s="32">
        <f t="shared" si="8"/>
        <v>0.8</v>
      </c>
      <c r="Z7" s="36">
        <v>0</v>
      </c>
      <c r="AA7" s="36">
        <v>0</v>
      </c>
      <c r="AB7" s="36">
        <v>0</v>
      </c>
      <c r="AC7" s="15">
        <f t="shared" si="9"/>
        <v>373786.0284367</v>
      </c>
      <c r="AD7" s="11">
        <v>0</v>
      </c>
      <c r="AE7" s="11">
        <v>28.8</v>
      </c>
      <c r="AF7" s="12">
        <f t="shared" si="1"/>
        <v>0.57282747642362697</v>
      </c>
      <c r="AG7" s="23">
        <v>100</v>
      </c>
    </row>
    <row r="8" spans="2:33" ht="15.6" x14ac:dyDescent="0.25">
      <c r="B8" s="24" t="s">
        <v>47</v>
      </c>
      <c r="C8" s="40"/>
      <c r="D8" s="24" t="s">
        <v>48</v>
      </c>
      <c r="E8" s="25"/>
      <c r="F8" s="24" t="s">
        <v>49</v>
      </c>
      <c r="G8" s="27">
        <v>0</v>
      </c>
      <c r="H8" s="24" t="s">
        <v>49</v>
      </c>
      <c r="I8" s="27">
        <v>0</v>
      </c>
      <c r="J8" s="38"/>
      <c r="K8" s="27"/>
      <c r="L8" s="24"/>
      <c r="M8" s="25"/>
      <c r="O8" s="30">
        <v>2</v>
      </c>
      <c r="P8" s="111" t="s">
        <v>42</v>
      </c>
      <c r="Q8" s="34">
        <f t="shared" si="2"/>
        <v>6.3837999999999999</v>
      </c>
      <c r="R8" s="32" t="s">
        <v>1</v>
      </c>
      <c r="S8" s="33">
        <f t="shared" si="4"/>
        <v>2812.4</v>
      </c>
      <c r="T8" s="34">
        <f t="shared" si="5"/>
        <v>1.96042105263158</v>
      </c>
      <c r="U8" s="34">
        <f t="shared" si="0"/>
        <v>1.712</v>
      </c>
      <c r="V8" s="35">
        <f t="shared" si="6"/>
        <v>2.74525</v>
      </c>
      <c r="W8" s="32">
        <f t="shared" si="3"/>
        <v>1.45</v>
      </c>
      <c r="X8" s="35">
        <f t="shared" si="7"/>
        <v>0.70474777448071202</v>
      </c>
      <c r="Y8" s="32">
        <f t="shared" si="8"/>
        <v>0.8</v>
      </c>
      <c r="Z8" s="36">
        <v>0</v>
      </c>
      <c r="AA8" s="36">
        <v>0</v>
      </c>
      <c r="AB8" s="36">
        <v>0</v>
      </c>
      <c r="AC8" s="15">
        <f t="shared" si="9"/>
        <v>369273.14670600602</v>
      </c>
      <c r="AD8" s="11">
        <v>0</v>
      </c>
      <c r="AE8" s="11">
        <v>60</v>
      </c>
      <c r="AF8" s="12">
        <f t="shared" si="1"/>
        <v>0.70474777448071202</v>
      </c>
      <c r="AG8" s="23">
        <v>100</v>
      </c>
    </row>
    <row r="9" spans="2:33" ht="15.6" x14ac:dyDescent="0.25">
      <c r="B9" s="24" t="s">
        <v>51</v>
      </c>
      <c r="C9" s="25">
        <v>350</v>
      </c>
      <c r="D9" s="24" t="s">
        <v>52</v>
      </c>
      <c r="E9" s="26">
        <f>12%+M5+20%+20%*2</f>
        <v>0.89200000000000002</v>
      </c>
      <c r="F9" s="24" t="s">
        <v>53</v>
      </c>
      <c r="G9" s="27">
        <v>0</v>
      </c>
      <c r="H9" s="24" t="s">
        <v>53</v>
      </c>
      <c r="I9" s="27">
        <v>0</v>
      </c>
      <c r="J9" s="38"/>
      <c r="K9" s="27"/>
      <c r="L9" s="24"/>
      <c r="M9" s="25"/>
      <c r="O9" s="30">
        <v>1</v>
      </c>
      <c r="P9" s="15" t="s">
        <v>38</v>
      </c>
      <c r="Q9" s="34">
        <f>205.97%+95.43%*3+266.41%*2</f>
        <v>10.2508</v>
      </c>
      <c r="R9" s="32" t="s">
        <v>1</v>
      </c>
      <c r="S9" s="33">
        <f t="shared" si="4"/>
        <v>2812.4</v>
      </c>
      <c r="T9" s="34">
        <f t="shared" si="5"/>
        <v>1.96042105263158</v>
      </c>
      <c r="U9" s="34">
        <f t="shared" si="0"/>
        <v>1.712</v>
      </c>
      <c r="V9" s="35">
        <f t="shared" si="6"/>
        <v>2.74525</v>
      </c>
      <c r="W9" s="32">
        <f t="shared" si="3"/>
        <v>1.45</v>
      </c>
      <c r="X9" s="35">
        <f t="shared" si="7"/>
        <v>0.70474777448071202</v>
      </c>
      <c r="Y9" s="32">
        <f t="shared" si="8"/>
        <v>0.8</v>
      </c>
      <c r="Z9" s="36">
        <v>0</v>
      </c>
      <c r="AA9" s="36">
        <v>0</v>
      </c>
      <c r="AB9" s="36">
        <v>0</v>
      </c>
      <c r="AC9" s="15">
        <f t="shared" si="9"/>
        <v>296480.55799476302</v>
      </c>
    </row>
    <row r="10" spans="2:33" ht="15.6" x14ac:dyDescent="0.25">
      <c r="B10" s="42" t="s">
        <v>54</v>
      </c>
      <c r="C10" s="43"/>
      <c r="D10" s="42"/>
      <c r="E10" s="44"/>
      <c r="F10" s="45" t="s">
        <v>55</v>
      </c>
      <c r="G10" s="46">
        <f>MIN(100%,SUM(G4:G9))</f>
        <v>0.89500000000000002</v>
      </c>
      <c r="H10" s="45" t="s">
        <v>56</v>
      </c>
      <c r="I10" s="46">
        <f>SUM(I4:I9)</f>
        <v>2.95</v>
      </c>
      <c r="J10" s="47"/>
      <c r="K10" s="102"/>
      <c r="L10" s="42"/>
      <c r="M10" s="43"/>
      <c r="O10" s="30">
        <v>1</v>
      </c>
      <c r="P10" s="15" t="s">
        <v>50</v>
      </c>
      <c r="Q10" s="34">
        <f>164.16%+13.68%</f>
        <v>1.7784</v>
      </c>
      <c r="R10" s="32" t="s">
        <v>50</v>
      </c>
      <c r="S10" s="33">
        <f t="shared" si="4"/>
        <v>2812.4</v>
      </c>
      <c r="T10" s="34">
        <f t="shared" si="5"/>
        <v>1.96042105263158</v>
      </c>
      <c r="U10" s="34">
        <f t="shared" si="0"/>
        <v>0.82</v>
      </c>
      <c r="V10" s="35">
        <f t="shared" si="6"/>
        <v>2.74525</v>
      </c>
      <c r="W10" s="32">
        <f>IF(R10=$C$1,$K$4+$K$5,$K$4)</f>
        <v>0.8</v>
      </c>
      <c r="X10" s="35">
        <f>$AF$3</f>
        <v>0.48843187660668402</v>
      </c>
      <c r="Y10" s="32">
        <f t="shared" si="8"/>
        <v>0.8</v>
      </c>
      <c r="Z10" s="36">
        <v>0</v>
      </c>
      <c r="AA10" s="36">
        <v>0</v>
      </c>
      <c r="AB10" s="36">
        <v>0</v>
      </c>
      <c r="AC10" s="15">
        <f t="shared" si="9"/>
        <v>17576.253951179599</v>
      </c>
    </row>
    <row r="11" spans="2:33" ht="15.6" x14ac:dyDescent="0.25">
      <c r="E11" s="58"/>
      <c r="F11" s="13" t="s">
        <v>57</v>
      </c>
      <c r="G11" s="59">
        <f>MAX(0,SUM(G4:G9)-1)</f>
        <v>0</v>
      </c>
      <c r="J11" s="2"/>
      <c r="K11" s="2"/>
      <c r="O11" s="30">
        <v>1</v>
      </c>
      <c r="P11" s="15" t="s">
        <v>46</v>
      </c>
      <c r="Q11" s="34">
        <f>126.45%+55.67%*3+167.01%*2</f>
        <v>6.2747999999999999</v>
      </c>
      <c r="R11" s="32" t="s">
        <v>1</v>
      </c>
      <c r="S11" s="33">
        <f t="shared" si="4"/>
        <v>2812.4</v>
      </c>
      <c r="T11" s="34">
        <f t="shared" si="5"/>
        <v>1.96042105263158</v>
      </c>
      <c r="U11" s="34">
        <f t="shared" si="0"/>
        <v>1.712</v>
      </c>
      <c r="V11" s="35">
        <f t="shared" si="6"/>
        <v>2.74525</v>
      </c>
      <c r="W11" s="32">
        <f>IF(R11=$C$1,$K$4+$K$5,$K$4)+65%</f>
        <v>1.45</v>
      </c>
      <c r="X11" s="35">
        <f>$AF$8</f>
        <v>0.70474777448071202</v>
      </c>
      <c r="Y11" s="32">
        <f t="shared" si="8"/>
        <v>0.8</v>
      </c>
      <c r="Z11" s="36">
        <v>0</v>
      </c>
      <c r="AA11" s="36">
        <v>0</v>
      </c>
      <c r="AB11" s="36">
        <v>0</v>
      </c>
      <c r="AC11" s="15">
        <f t="shared" si="9"/>
        <v>181484.001766256</v>
      </c>
      <c r="AE11" s="76" t="s">
        <v>60</v>
      </c>
      <c r="AF11" s="76">
        <v>0.8</v>
      </c>
    </row>
    <row r="12" spans="2:33" ht="15.6" x14ac:dyDescent="0.25">
      <c r="E12" s="58"/>
      <c r="J12" s="2"/>
      <c r="K12" s="2"/>
      <c r="O12" s="30">
        <v>3</v>
      </c>
      <c r="P12" s="15" t="s">
        <v>46</v>
      </c>
      <c r="Q12" s="34">
        <f>126.45%+55.67%*3+167.01%*2</f>
        <v>6.2747999999999999</v>
      </c>
      <c r="R12" s="32" t="s">
        <v>1</v>
      </c>
      <c r="S12" s="33">
        <f t="shared" si="4"/>
        <v>2812.4</v>
      </c>
      <c r="T12" s="34">
        <f t="shared" si="5"/>
        <v>1.96042105263158</v>
      </c>
      <c r="U12" s="34">
        <f>IF(R12=$C$1,SUM($E$4:$E$9),SUM($E$4:$E$8))-40%</f>
        <v>1.3120000000000001</v>
      </c>
      <c r="V12" s="35">
        <f t="shared" si="6"/>
        <v>2.74525</v>
      </c>
      <c r="W12" s="32">
        <f>IF(R12=$C$1,$K$4+$K$5,$K$4)+65%</f>
        <v>1.45</v>
      </c>
      <c r="X12" s="35">
        <f>$AF$8</f>
        <v>0.70474777448071202</v>
      </c>
      <c r="Y12" s="32">
        <f t="shared" si="8"/>
        <v>0.8</v>
      </c>
      <c r="Z12" s="36">
        <v>0</v>
      </c>
      <c r="AA12" s="36">
        <v>0</v>
      </c>
      <c r="AB12" s="36">
        <v>0</v>
      </c>
      <c r="AC12" s="15">
        <f t="shared" si="9"/>
        <v>464149.349649982</v>
      </c>
      <c r="AE12" s="71" t="s">
        <v>63</v>
      </c>
      <c r="AF12" s="71">
        <v>0.8</v>
      </c>
    </row>
    <row r="13" spans="2:33" x14ac:dyDescent="0.25">
      <c r="Q13" s="1"/>
      <c r="U13" s="1"/>
      <c r="V13" s="1"/>
      <c r="AB13" s="1"/>
      <c r="AC13" s="1"/>
      <c r="AE13" s="103" t="s">
        <v>65</v>
      </c>
      <c r="AF13" s="103">
        <v>0.8</v>
      </c>
    </row>
    <row r="14" spans="2:33" ht="15.6" x14ac:dyDescent="0.25">
      <c r="B14" s="75" t="s">
        <v>66</v>
      </c>
      <c r="D14" s="75"/>
      <c r="O14" s="60">
        <f t="shared" ref="O14:O16" si="10">$O$17</f>
        <v>1</v>
      </c>
      <c r="P14" s="62" t="s">
        <v>81</v>
      </c>
      <c r="Q14" s="61">
        <v>18.807500000000001</v>
      </c>
      <c r="R14" s="62" t="s">
        <v>82</v>
      </c>
      <c r="S14" s="62">
        <v>10027</v>
      </c>
      <c r="T14" s="61">
        <v>0</v>
      </c>
      <c r="U14" s="61">
        <v>0</v>
      </c>
      <c r="V14" s="63">
        <v>1</v>
      </c>
      <c r="W14" s="62">
        <v>0</v>
      </c>
      <c r="X14" s="63">
        <f t="shared" ref="X14:X17" si="11">$AF$3</f>
        <v>0.48843187660668402</v>
      </c>
      <c r="Y14" s="62">
        <f t="shared" ref="Y14:Y17" si="12">$AF$18</f>
        <v>0.8</v>
      </c>
      <c r="Z14" s="64">
        <v>0</v>
      </c>
      <c r="AA14" s="64">
        <v>0</v>
      </c>
      <c r="AB14" s="29">
        <v>0.5</v>
      </c>
      <c r="AC14" s="112">
        <f t="shared" ref="AC14:AC17" si="13">Q14*S14*(1+T14)*(1+U14)*V14*(1+W14)*X14*Y14*(1+Z14)*(1+AA14)*(1+AB14)*O14</f>
        <v>110531.82254498699</v>
      </c>
      <c r="AE14" s="74" t="s">
        <v>67</v>
      </c>
      <c r="AF14" s="74">
        <v>0.8</v>
      </c>
    </row>
    <row r="15" spans="2:33" ht="15.6" x14ac:dyDescent="0.25">
      <c r="B15" s="77"/>
      <c r="C15" s="78" t="s">
        <v>68</v>
      </c>
      <c r="D15" s="78" t="s">
        <v>69</v>
      </c>
      <c r="E15" s="78" t="s">
        <v>70</v>
      </c>
      <c r="F15" s="78" t="s">
        <v>71</v>
      </c>
      <c r="O15" s="24">
        <f t="shared" si="10"/>
        <v>1</v>
      </c>
      <c r="P15" s="1" t="s">
        <v>83</v>
      </c>
      <c r="Q15" s="2">
        <v>2.9822000000000002</v>
      </c>
      <c r="R15" s="1" t="s">
        <v>82</v>
      </c>
      <c r="S15" s="1">
        <v>10027</v>
      </c>
      <c r="T15" s="2">
        <v>0</v>
      </c>
      <c r="U15" s="2">
        <v>0</v>
      </c>
      <c r="V15" s="69">
        <v>1</v>
      </c>
      <c r="W15" s="1">
        <v>0</v>
      </c>
      <c r="X15" s="69">
        <f t="shared" si="11"/>
        <v>0.48843187660668402</v>
      </c>
      <c r="Y15" s="1">
        <f t="shared" si="12"/>
        <v>0.8</v>
      </c>
      <c r="Z15" s="58">
        <v>0</v>
      </c>
      <c r="AA15" s="58">
        <v>0</v>
      </c>
      <c r="AB15" s="26">
        <v>0.5</v>
      </c>
      <c r="AC15" s="112">
        <f t="shared" si="13"/>
        <v>17526.412398971701</v>
      </c>
      <c r="AE15" s="110" t="s">
        <v>73</v>
      </c>
      <c r="AF15" s="110">
        <v>0.8</v>
      </c>
    </row>
    <row r="16" spans="2:33" ht="15.6" x14ac:dyDescent="0.25">
      <c r="B16" s="4" t="s">
        <v>74</v>
      </c>
      <c r="C16" s="84">
        <f>SUM(AC3:AC12)</f>
        <v>2543357.4956302699</v>
      </c>
      <c r="D16" s="84">
        <f>C16/$E$16</f>
        <v>101734.299825211</v>
      </c>
      <c r="E16" s="85">
        <v>25</v>
      </c>
      <c r="F16" s="86">
        <f>C16/$C$18</f>
        <v>0.97360314254101499</v>
      </c>
      <c r="O16" s="24">
        <f t="shared" si="10"/>
        <v>1</v>
      </c>
      <c r="P16" s="1" t="s">
        <v>85</v>
      </c>
      <c r="Q16" s="2">
        <v>5.9642999999999997</v>
      </c>
      <c r="R16" s="1" t="s">
        <v>82</v>
      </c>
      <c r="S16" s="1">
        <v>10027</v>
      </c>
      <c r="T16" s="2">
        <v>0</v>
      </c>
      <c r="U16" s="2">
        <v>0</v>
      </c>
      <c r="V16" s="69">
        <v>1</v>
      </c>
      <c r="W16" s="1">
        <v>0</v>
      </c>
      <c r="X16" s="69">
        <f t="shared" si="11"/>
        <v>0.48843187660668402</v>
      </c>
      <c r="Y16" s="1">
        <f t="shared" si="12"/>
        <v>0.8</v>
      </c>
      <c r="Z16" s="58">
        <v>0</v>
      </c>
      <c r="AA16" s="58">
        <v>0</v>
      </c>
      <c r="AB16" s="26">
        <v>0.5</v>
      </c>
      <c r="AC16" s="113">
        <f t="shared" si="13"/>
        <v>35052.237097172198</v>
      </c>
      <c r="AE16" s="78" t="s">
        <v>76</v>
      </c>
      <c r="AF16" s="78">
        <v>0.8</v>
      </c>
    </row>
    <row r="17" spans="2:32" ht="15.6" x14ac:dyDescent="0.25">
      <c r="B17" s="4" t="s">
        <v>77</v>
      </c>
      <c r="C17" s="84">
        <f>AC17</f>
        <v>68956.890488431905</v>
      </c>
      <c r="D17" s="84">
        <f>C17/$E$16</f>
        <v>2758.2756195372699</v>
      </c>
      <c r="E17" s="85"/>
      <c r="F17" s="86">
        <f>C17/$C$18</f>
        <v>2.63968574589852E-2</v>
      </c>
      <c r="O17" s="13">
        <v>1</v>
      </c>
      <c r="P17" s="114" t="s">
        <v>77</v>
      </c>
      <c r="Q17" s="115">
        <v>16</v>
      </c>
      <c r="R17" s="114" t="s">
        <v>86</v>
      </c>
      <c r="S17" s="114">
        <v>10027</v>
      </c>
      <c r="T17" s="115">
        <v>0</v>
      </c>
      <c r="U17" s="115">
        <v>0</v>
      </c>
      <c r="V17" s="116">
        <v>1</v>
      </c>
      <c r="W17" s="114">
        <v>0</v>
      </c>
      <c r="X17" s="116">
        <f t="shared" si="11"/>
        <v>0.48843187660668402</v>
      </c>
      <c r="Y17" s="114">
        <f t="shared" si="12"/>
        <v>0.8</v>
      </c>
      <c r="Z17" s="117">
        <v>0</v>
      </c>
      <c r="AA17" s="117">
        <v>0</v>
      </c>
      <c r="AB17" s="118">
        <v>0.1</v>
      </c>
      <c r="AC17" s="119">
        <f t="shared" si="13"/>
        <v>68956.890488431905</v>
      </c>
    </row>
    <row r="18" spans="2:32" ht="15.6" x14ac:dyDescent="0.25">
      <c r="B18" s="4" t="s">
        <v>79</v>
      </c>
      <c r="C18" s="87">
        <f>SUM(C16:C17)</f>
        <v>2612314.3861186998</v>
      </c>
      <c r="D18" s="87">
        <f>C18/E16</f>
        <v>104492.575444748</v>
      </c>
      <c r="E18" s="88"/>
      <c r="F18" s="89"/>
      <c r="AE18" s="1" t="s">
        <v>80</v>
      </c>
      <c r="AF18" s="1">
        <v>0.8</v>
      </c>
    </row>
    <row r="19" spans="2:32" x14ac:dyDescent="0.25">
      <c r="B19" s="4"/>
      <c r="C19" s="4"/>
      <c r="D19" s="4"/>
      <c r="G19" s="149"/>
      <c r="N19" s="60" t="s">
        <v>91</v>
      </c>
      <c r="O19" s="62" t="s">
        <v>4</v>
      </c>
      <c r="P19" s="62"/>
      <c r="Q19" s="61"/>
      <c r="R19" s="62"/>
      <c r="S19" s="62"/>
      <c r="T19" s="62"/>
      <c r="U19" s="61"/>
      <c r="V19" s="120"/>
      <c r="W19" s="62"/>
      <c r="X19" s="62"/>
      <c r="Y19" s="62"/>
      <c r="Z19" s="62"/>
      <c r="AA19" s="62"/>
      <c r="AB19" s="121"/>
      <c r="AC19" s="122"/>
    </row>
    <row r="20" spans="2:32" ht="15.6" x14ac:dyDescent="0.25">
      <c r="B20" s="4"/>
      <c r="C20" s="4"/>
      <c r="D20" s="4"/>
      <c r="F20" s="4"/>
      <c r="G20" s="149"/>
      <c r="N20" s="24">
        <v>6</v>
      </c>
      <c r="O20" s="1">
        <v>1</v>
      </c>
      <c r="P20" s="103" t="s">
        <v>87</v>
      </c>
      <c r="Q20" s="123">
        <f>IF(N20&gt;0,(MAX(45%,112.5%+112.5%*(N20-2))),(IF(N20&lt;=0,0)))</f>
        <v>5.625</v>
      </c>
      <c r="R20" s="103" t="s">
        <v>87</v>
      </c>
      <c r="S20" s="124">
        <v>3674.1</v>
      </c>
      <c r="T20" s="125">
        <v>0</v>
      </c>
      <c r="U20" s="125">
        <v>0</v>
      </c>
      <c r="V20" s="126">
        <v>1</v>
      </c>
      <c r="W20" s="103">
        <v>0</v>
      </c>
      <c r="X20" s="126">
        <f t="shared" ref="X20:X23" si="14">$AF$3</f>
        <v>0.48843187660668402</v>
      </c>
      <c r="Y20" s="103">
        <f>$AF$13</f>
        <v>0.8</v>
      </c>
      <c r="Z20" s="127">
        <v>0</v>
      </c>
      <c r="AA20" s="127">
        <v>0</v>
      </c>
      <c r="AB20" s="127">
        <v>0</v>
      </c>
      <c r="AC20" s="128">
        <f t="shared" ref="AC20:AC23" si="15">Q20*S20*(1+T20)*(1+U20)*V20*(1+W20)*X20*Y20*(1+Z20)*(1+AA20)*(1+AB20)*O20</f>
        <v>8075.4640102827798</v>
      </c>
    </row>
    <row r="21" spans="2:32" ht="15.6" x14ac:dyDescent="0.25">
      <c r="B21" s="1" t="s">
        <v>84</v>
      </c>
      <c r="F21" s="4"/>
      <c r="G21" s="150" t="s">
        <v>92</v>
      </c>
      <c r="H21" s="91" t="s">
        <v>93</v>
      </c>
      <c r="I21" s="91" t="s">
        <v>94</v>
      </c>
      <c r="N21" s="24">
        <v>10</v>
      </c>
      <c r="O21" s="1">
        <v>1</v>
      </c>
      <c r="P21" s="76" t="s">
        <v>88</v>
      </c>
      <c r="Q21" s="129">
        <f>IF(N21=1,0.3,IF(AND(N21&gt;=2,N21&lt;=10),0.3+0.2439*(N21-1),IF(AND(N21&gt;=11),2.4951+0.8317*(N21-10),IF(AND(N21&lt;=0),0,""))))</f>
        <v>2.4950999999999999</v>
      </c>
      <c r="R21" s="76" t="s">
        <v>88</v>
      </c>
      <c r="S21" s="130">
        <v>3674.1</v>
      </c>
      <c r="T21" s="131">
        <v>0</v>
      </c>
      <c r="U21" s="131">
        <v>0</v>
      </c>
      <c r="V21" s="132">
        <v>1</v>
      </c>
      <c r="W21" s="76">
        <v>0</v>
      </c>
      <c r="X21" s="132">
        <f t="shared" si="14"/>
        <v>0.48843187660668402</v>
      </c>
      <c r="Y21" s="76">
        <f>$AF$11</f>
        <v>0.8</v>
      </c>
      <c r="Z21" s="133">
        <v>0</v>
      </c>
      <c r="AA21" s="133">
        <v>0</v>
      </c>
      <c r="AB21" s="133">
        <v>0</v>
      </c>
      <c r="AC21" s="134">
        <f t="shared" si="15"/>
        <v>3582.0604892545002</v>
      </c>
    </row>
    <row r="22" spans="2:32" ht="15.6" x14ac:dyDescent="0.25">
      <c r="G22" s="149" t="s">
        <v>95</v>
      </c>
      <c r="H22" s="1">
        <v>30841</v>
      </c>
      <c r="N22" s="24">
        <v>13</v>
      </c>
      <c r="O22" s="1">
        <v>1</v>
      </c>
      <c r="P22" s="110" t="s">
        <v>89</v>
      </c>
      <c r="Q22" s="135">
        <f>IF(N22=1,24.5%,IF(AND(10&gt;=N22,N22&gt;=2),24.5%+(N22-1)*19.9185%,IF(AND(13&gt;=N22,N22&gt;=11),203.77%+(N22-10)*(271.69%-203.77%),"")))</f>
        <v>4.0753000000000004</v>
      </c>
      <c r="R22" s="110" t="s">
        <v>89</v>
      </c>
      <c r="S22" s="136">
        <v>3674.1</v>
      </c>
      <c r="T22" s="137">
        <v>0</v>
      </c>
      <c r="U22" s="137">
        <v>0</v>
      </c>
      <c r="V22" s="138">
        <v>1</v>
      </c>
      <c r="W22" s="110">
        <v>0</v>
      </c>
      <c r="X22" s="138">
        <f t="shared" si="14"/>
        <v>0.48843187660668402</v>
      </c>
      <c r="Y22" s="110">
        <f>$AF$15</f>
        <v>0.8</v>
      </c>
      <c r="Z22" s="139">
        <v>0</v>
      </c>
      <c r="AA22" s="139">
        <v>0</v>
      </c>
      <c r="AB22" s="139">
        <v>0</v>
      </c>
      <c r="AC22" s="140">
        <f t="shared" si="15"/>
        <v>5850.6557299742899</v>
      </c>
    </row>
    <row r="23" spans="2:32" ht="15.6" x14ac:dyDescent="0.25">
      <c r="B23" s="4"/>
      <c r="C23" s="4"/>
      <c r="D23" s="4"/>
      <c r="F23" s="4"/>
      <c r="G23" s="149" t="s">
        <v>96</v>
      </c>
      <c r="H23" s="1">
        <v>35443</v>
      </c>
      <c r="I23" s="2">
        <f>H23/H22-1</f>
        <v>0.14921695146071801</v>
      </c>
      <c r="N23" s="42">
        <v>13</v>
      </c>
      <c r="O23" s="79">
        <v>1</v>
      </c>
      <c r="P23" s="141" t="s">
        <v>90</v>
      </c>
      <c r="Q23" s="142">
        <f>IF(N23=1,0.84,IF(N23=2,1.5229,IF(N23=3,2.2058,IF(N23=4,2.8888,IF(N23=5,3.5717,IF(N23=6,4.2546,IF(N23=7,4.9375,IF(N23=8,5.6204,IF(N23=9,6.3034,IF(N23=10,6.9863,IF(N23=11,9.315,IF(N23=12,11.6438,IF(N23=13,13.9726,"")))))))))))))</f>
        <v>13.9726</v>
      </c>
      <c r="R23" s="141" t="s">
        <v>90</v>
      </c>
      <c r="S23" s="143">
        <v>3674.1</v>
      </c>
      <c r="T23" s="144">
        <v>0</v>
      </c>
      <c r="U23" s="144">
        <v>0</v>
      </c>
      <c r="V23" s="145">
        <v>1</v>
      </c>
      <c r="W23" s="141">
        <v>0</v>
      </c>
      <c r="X23" s="145">
        <f t="shared" si="14"/>
        <v>0.48843187660668402</v>
      </c>
      <c r="Y23" s="141">
        <f>$AF$16</f>
        <v>0.8</v>
      </c>
      <c r="Z23" s="146">
        <v>0</v>
      </c>
      <c r="AA23" s="146">
        <v>0</v>
      </c>
      <c r="AB23" s="146">
        <v>0</v>
      </c>
      <c r="AC23" s="147">
        <f t="shared" si="15"/>
        <v>20059.596165347</v>
      </c>
    </row>
    <row r="24" spans="2:32" x14ac:dyDescent="0.25">
      <c r="B24" s="4"/>
      <c r="C24" s="4"/>
      <c r="D24" s="4"/>
      <c r="F24" s="4"/>
      <c r="G24" s="149" t="s">
        <v>97</v>
      </c>
      <c r="H24" s="1">
        <v>44782</v>
      </c>
      <c r="I24" s="2">
        <f>H24/H23-1</f>
        <v>0.26349349660017501</v>
      </c>
    </row>
    <row r="25" spans="2:32" x14ac:dyDescent="0.25">
      <c r="G25" s="149" t="s">
        <v>98</v>
      </c>
      <c r="H25" s="1">
        <v>55686</v>
      </c>
      <c r="I25" s="2">
        <f>H25/H24-1</f>
        <v>0.243490688222947</v>
      </c>
    </row>
    <row r="26" spans="2:32" x14ac:dyDescent="0.25">
      <c r="B26" s="4"/>
      <c r="C26" s="4"/>
      <c r="D26" s="4"/>
      <c r="F26" s="4"/>
      <c r="G26" s="149" t="s">
        <v>99</v>
      </c>
      <c r="H26" s="1">
        <v>80824</v>
      </c>
      <c r="I26" s="2">
        <f>H26/H25-1</f>
        <v>0.45142405631577098</v>
      </c>
    </row>
    <row r="27" spans="2:32" x14ac:dyDescent="0.25">
      <c r="B27" s="4"/>
      <c r="C27" s="4"/>
      <c r="D27" s="4"/>
      <c r="F27" s="4"/>
      <c r="G27" s="149" t="s">
        <v>100</v>
      </c>
      <c r="H27" s="1">
        <v>104493</v>
      </c>
      <c r="I27" s="2">
        <f>H27/H26-1</f>
        <v>0.29284618430169301</v>
      </c>
    </row>
    <row r="28" spans="2:32" x14ac:dyDescent="0.25">
      <c r="G28" s="149"/>
    </row>
    <row r="29" spans="2:32" x14ac:dyDescent="0.25">
      <c r="B29" s="4"/>
      <c r="C29" s="4"/>
      <c r="D29" s="4"/>
      <c r="F29" s="4"/>
      <c r="G29" s="149"/>
    </row>
    <row r="30" spans="2:32" x14ac:dyDescent="0.25">
      <c r="B30" s="4"/>
      <c r="C30" s="4"/>
      <c r="D30" s="4"/>
      <c r="G30" s="149"/>
    </row>
    <row r="32" spans="2:32" x14ac:dyDescent="0.25">
      <c r="B32" s="4"/>
      <c r="C32" s="4"/>
      <c r="D32" s="4"/>
    </row>
  </sheetData>
  <mergeCells count="7">
    <mergeCell ref="B2:M2"/>
    <mergeCell ref="B3:C3"/>
    <mergeCell ref="D3:E3"/>
    <mergeCell ref="F3:G3"/>
    <mergeCell ref="H3:I3"/>
    <mergeCell ref="J3:K3"/>
    <mergeCell ref="L3:M3"/>
  </mergeCells>
  <phoneticPr fontId="10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44"/>
  <sheetViews>
    <sheetView topLeftCell="B1" workbookViewId="0">
      <selection activeCell="G12" sqref="G12"/>
    </sheetView>
  </sheetViews>
  <sheetFormatPr defaultColWidth="9.6640625" defaultRowHeight="14.4" x14ac:dyDescent="0.25"/>
  <cols>
    <col min="1" max="1" width="9.5546875" style="1" customWidth="1"/>
    <col min="2" max="2" width="15.44140625" style="1" customWidth="1"/>
    <col min="3" max="3" width="10" style="1" customWidth="1"/>
    <col min="4" max="4" width="11.77734375" style="1" customWidth="1"/>
    <col min="5" max="5" width="6.5546875" style="1" customWidth="1"/>
    <col min="6" max="6" width="11.77734375" style="1" customWidth="1"/>
    <col min="7" max="7" width="7.5546875" style="2" customWidth="1"/>
    <col min="8" max="8" width="14" style="1" customWidth="1"/>
    <col min="9" max="9" width="8.5546875" style="1" customWidth="1"/>
    <col min="10" max="10" width="11.77734375" style="1" customWidth="1"/>
    <col min="11" max="11" width="4.5546875" style="1" customWidth="1"/>
    <col min="12" max="12" width="9.5546875" style="1" customWidth="1"/>
    <col min="13" max="13" width="7.5546875" style="1" customWidth="1"/>
    <col min="14" max="14" width="5.5546875" style="1" customWidth="1"/>
    <col min="15" max="15" width="6.21875" style="1" customWidth="1"/>
    <col min="16" max="16" width="23.77734375" style="1" customWidth="1"/>
    <col min="17" max="17" width="9.5546875" style="2" customWidth="1"/>
    <col min="18" max="18" width="6.21875" style="1" customWidth="1"/>
    <col min="19" max="19" width="11" style="1" customWidth="1"/>
    <col min="20" max="20" width="8.5546875" style="1" customWidth="1"/>
    <col min="21" max="21" width="8.5546875" style="2" customWidth="1"/>
    <col min="22" max="22" width="8.5546875" style="3" customWidth="1"/>
    <col min="23" max="25" width="8.5546875" style="1" customWidth="1"/>
    <col min="26" max="26" width="11" style="1" customWidth="1"/>
    <col min="27" max="27" width="8.5546875" style="1" customWidth="1"/>
    <col min="28" max="28" width="11" style="4" customWidth="1"/>
    <col min="29" max="29" width="10" style="4" customWidth="1"/>
    <col min="30" max="30" width="9.5546875" style="1" customWidth="1"/>
    <col min="31" max="31" width="5.5546875" style="1" customWidth="1"/>
    <col min="32" max="32" width="8.5546875" style="1" customWidth="1"/>
    <col min="33" max="33" width="9.5546875" style="1" customWidth="1"/>
    <col min="34" max="16384" width="9.6640625" style="1"/>
  </cols>
  <sheetData>
    <row r="1" spans="1:33" x14ac:dyDescent="0.25">
      <c r="B1" s="5" t="s">
        <v>0</v>
      </c>
      <c r="C1" s="5" t="s">
        <v>59</v>
      </c>
      <c r="D1" s="6" t="s">
        <v>2</v>
      </c>
      <c r="E1" s="6">
        <v>0</v>
      </c>
      <c r="G1" s="1"/>
    </row>
    <row r="2" spans="1:33" ht="15.6" x14ac:dyDescent="0.25">
      <c r="B2" s="199" t="s">
        <v>101</v>
      </c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1"/>
      <c r="O2" s="93" t="s">
        <v>4</v>
      </c>
      <c r="P2" s="94" t="s">
        <v>5</v>
      </c>
      <c r="Q2" s="95" t="s">
        <v>6</v>
      </c>
      <c r="R2" s="94" t="s">
        <v>7</v>
      </c>
      <c r="S2" s="94" t="s">
        <v>8</v>
      </c>
      <c r="T2" s="94" t="s">
        <v>9</v>
      </c>
      <c r="U2" s="95" t="s">
        <v>10</v>
      </c>
      <c r="V2" s="96" t="s">
        <v>11</v>
      </c>
      <c r="W2" s="94" t="s">
        <v>12</v>
      </c>
      <c r="X2" s="94" t="s">
        <v>13</v>
      </c>
      <c r="Y2" s="94" t="s">
        <v>14</v>
      </c>
      <c r="Z2" s="94" t="s">
        <v>15</v>
      </c>
      <c r="AA2" s="94" t="s">
        <v>16</v>
      </c>
      <c r="AB2" s="97" t="s">
        <v>17</v>
      </c>
      <c r="AC2" s="98" t="s">
        <v>18</v>
      </c>
      <c r="AD2" s="11" t="s">
        <v>19</v>
      </c>
      <c r="AE2" s="11" t="s">
        <v>20</v>
      </c>
      <c r="AF2" s="12" t="s">
        <v>13</v>
      </c>
      <c r="AG2" s="12" t="s">
        <v>21</v>
      </c>
    </row>
    <row r="3" spans="1:33" ht="15.6" x14ac:dyDescent="0.25">
      <c r="A3" s="1" t="s">
        <v>102</v>
      </c>
      <c r="B3" s="202" t="s">
        <v>22</v>
      </c>
      <c r="C3" s="203"/>
      <c r="D3" s="202" t="s">
        <v>10</v>
      </c>
      <c r="E3" s="203"/>
      <c r="F3" s="202" t="s">
        <v>23</v>
      </c>
      <c r="G3" s="203"/>
      <c r="H3" s="202" t="s">
        <v>24</v>
      </c>
      <c r="I3" s="203"/>
      <c r="J3" s="202" t="s">
        <v>12</v>
      </c>
      <c r="K3" s="203"/>
      <c r="L3" s="202" t="s">
        <v>25</v>
      </c>
      <c r="M3" s="203"/>
      <c r="O3" s="30">
        <v>1</v>
      </c>
      <c r="P3" s="99" t="s">
        <v>103</v>
      </c>
      <c r="Q3" s="34">
        <v>2.1581000000000001</v>
      </c>
      <c r="R3" s="32" t="s">
        <v>59</v>
      </c>
      <c r="S3" s="33">
        <f t="shared" ref="S3:S8" si="0">$C$4*(1+C$5+C$6+C$7)+C$9+C$8</f>
        <v>3174.38</v>
      </c>
      <c r="T3" s="34">
        <f t="shared" ref="T3:T8" si="1">($C$5+$C$6+$C$7)+($C$9+$C$8)/$C$4</f>
        <v>3.0386513994910902</v>
      </c>
      <c r="U3" s="34">
        <f>IF(R3=$C$1,SUM($E$4:$E$9),SUM($E$4:$E$8))</f>
        <v>1.1879999999999999</v>
      </c>
      <c r="V3" s="35">
        <f t="shared" ref="V3:V15" si="2">1+$G$10*($I$10-1)</f>
        <v>2.0938500000000002</v>
      </c>
      <c r="W3" s="32">
        <f t="shared" ref="W3:W15" si="3">IF(R3=$C$1,$K$4+$K$5,$K$4)</f>
        <v>0</v>
      </c>
      <c r="X3" s="35">
        <f t="shared" ref="X3:X7" si="4">$AF$8</f>
        <v>0.48843187660668402</v>
      </c>
      <c r="Y3" s="32">
        <f t="shared" ref="Y3:Y15" si="5">$AF$11</f>
        <v>0.8</v>
      </c>
      <c r="Z3" s="36">
        <v>0</v>
      </c>
      <c r="AA3" s="36">
        <v>0</v>
      </c>
      <c r="AB3" s="36">
        <v>0</v>
      </c>
      <c r="AC3" s="15">
        <f t="shared" ref="AC3:AC15" si="6">Q3*$C$4*(1+T3)*(1+U3)*V3*(1+W3)*X3*Y3*(1+Z3)*(1+AA3)*(1+AB3)*O3</f>
        <v>12263.5822893063</v>
      </c>
      <c r="AD3" s="11">
        <v>0</v>
      </c>
      <c r="AE3" s="11">
        <v>0</v>
      </c>
      <c r="AF3" s="12">
        <f t="shared" ref="AF3:AF8" si="7">1520/(1520+(792+8*AG3)*(1-AE3/100))</f>
        <v>0.48843187660668402</v>
      </c>
      <c r="AG3" s="23">
        <v>100</v>
      </c>
    </row>
    <row r="4" spans="1:33" ht="15.6" x14ac:dyDescent="0.25">
      <c r="A4" s="148">
        <f>M4</f>
        <v>0.27600000000000002</v>
      </c>
      <c r="B4" s="24" t="s">
        <v>27</v>
      </c>
      <c r="C4" s="25">
        <f>412+374</f>
        <v>786</v>
      </c>
      <c r="D4" s="24" t="s">
        <v>28</v>
      </c>
      <c r="E4" s="148">
        <f>E1*30%</f>
        <v>0</v>
      </c>
      <c r="F4" s="24" t="s">
        <v>29</v>
      </c>
      <c r="G4" s="27">
        <v>0.13</v>
      </c>
      <c r="H4" s="24" t="s">
        <v>29</v>
      </c>
      <c r="I4" s="27">
        <v>1.5</v>
      </c>
      <c r="J4" s="100" t="s">
        <v>30</v>
      </c>
      <c r="K4" s="26">
        <v>0</v>
      </c>
      <c r="L4" s="24" t="s">
        <v>102</v>
      </c>
      <c r="M4" s="27">
        <f>9.2%*3</f>
        <v>0.27600000000000002</v>
      </c>
      <c r="O4" s="30">
        <v>1</v>
      </c>
      <c r="P4" s="15" t="s">
        <v>104</v>
      </c>
      <c r="Q4" s="34">
        <v>2.6278999999999999</v>
      </c>
      <c r="R4" s="32" t="s">
        <v>59</v>
      </c>
      <c r="S4" s="33">
        <f t="shared" si="0"/>
        <v>3174.38</v>
      </c>
      <c r="T4" s="34">
        <f t="shared" si="1"/>
        <v>3.0386513994910902</v>
      </c>
      <c r="U4" s="34">
        <f t="shared" ref="U4:U8" si="8">IF(R4=$C$1,SUM($E$4:$E$9),SUM($E$4:$E$8))</f>
        <v>1.1879999999999999</v>
      </c>
      <c r="V4" s="35">
        <f t="shared" si="2"/>
        <v>2.0938500000000002</v>
      </c>
      <c r="W4" s="32">
        <f t="shared" si="3"/>
        <v>0</v>
      </c>
      <c r="X4" s="35">
        <f t="shared" si="4"/>
        <v>0.48843187660668402</v>
      </c>
      <c r="Y4" s="32">
        <f t="shared" si="5"/>
        <v>0.8</v>
      </c>
      <c r="Z4" s="36">
        <v>0</v>
      </c>
      <c r="AA4" s="36">
        <v>0</v>
      </c>
      <c r="AB4" s="36">
        <v>0</v>
      </c>
      <c r="AC4" s="15">
        <f t="shared" si="6"/>
        <v>14933.259764639301</v>
      </c>
      <c r="AD4" s="11">
        <v>12</v>
      </c>
      <c r="AE4" s="11">
        <v>18</v>
      </c>
      <c r="AF4" s="12">
        <f>1520/(1520+(792+8*AG4)*(1-AE4/100)*(1-AD4/100))</f>
        <v>0.56954709614914201</v>
      </c>
      <c r="AG4" s="23">
        <v>100</v>
      </c>
    </row>
    <row r="5" spans="1:33" ht="15.6" x14ac:dyDescent="0.25">
      <c r="A5" s="148">
        <v>0.77</v>
      </c>
      <c r="B5" s="24" t="s">
        <v>33</v>
      </c>
      <c r="C5" s="26">
        <f>12%</f>
        <v>0.12</v>
      </c>
      <c r="D5" s="24" t="s">
        <v>34</v>
      </c>
      <c r="E5" s="148">
        <f>12%+30%</f>
        <v>0.42</v>
      </c>
      <c r="F5" s="24" t="s">
        <v>35</v>
      </c>
      <c r="G5" s="27">
        <f>8%+(E11-1)*2%</f>
        <v>0.08</v>
      </c>
      <c r="H5" s="24" t="s">
        <v>35</v>
      </c>
      <c r="I5" s="27">
        <v>0</v>
      </c>
      <c r="J5" s="38" t="s">
        <v>36</v>
      </c>
      <c r="K5" s="26"/>
      <c r="L5" s="24" t="s">
        <v>105</v>
      </c>
      <c r="M5" s="27">
        <f>8.6%*3</f>
        <v>0.25800000000000001</v>
      </c>
      <c r="O5" s="30">
        <v>1</v>
      </c>
      <c r="P5" s="15" t="s">
        <v>106</v>
      </c>
      <c r="Q5" s="34">
        <v>2.6196999999999999</v>
      </c>
      <c r="R5" s="32" t="s">
        <v>59</v>
      </c>
      <c r="S5" s="33">
        <f t="shared" si="0"/>
        <v>3174.38</v>
      </c>
      <c r="T5" s="34">
        <f t="shared" si="1"/>
        <v>3.0386513994910902</v>
      </c>
      <c r="U5" s="34">
        <f t="shared" si="8"/>
        <v>1.1879999999999999</v>
      </c>
      <c r="V5" s="35">
        <f t="shared" si="2"/>
        <v>2.0938500000000002</v>
      </c>
      <c r="W5" s="32">
        <f t="shared" si="3"/>
        <v>0</v>
      </c>
      <c r="X5" s="35">
        <f t="shared" si="4"/>
        <v>0.48843187660668402</v>
      </c>
      <c r="Y5" s="32">
        <f t="shared" si="5"/>
        <v>0.8</v>
      </c>
      <c r="Z5" s="36">
        <v>0</v>
      </c>
      <c r="AA5" s="36">
        <v>0</v>
      </c>
      <c r="AB5" s="36">
        <v>0</v>
      </c>
      <c r="AC5" s="15">
        <f t="shared" si="6"/>
        <v>14886.662584354601</v>
      </c>
      <c r="AD5" s="11">
        <v>0</v>
      </c>
      <c r="AE5" s="11">
        <v>30</v>
      </c>
      <c r="AF5" s="12">
        <f t="shared" si="7"/>
        <v>0.57698147585787996</v>
      </c>
      <c r="AG5" s="23">
        <v>100</v>
      </c>
    </row>
    <row r="6" spans="1:33" ht="15.6" x14ac:dyDescent="0.25">
      <c r="A6" s="148">
        <v>0.1</v>
      </c>
      <c r="B6" s="24" t="s">
        <v>39</v>
      </c>
      <c r="C6" s="26">
        <f>18%+18%+15%</f>
        <v>0.51</v>
      </c>
      <c r="D6" s="24" t="s">
        <v>40</v>
      </c>
      <c r="E6" s="148">
        <v>0.15</v>
      </c>
      <c r="F6" s="24" t="s">
        <v>107</v>
      </c>
      <c r="G6" s="27">
        <v>0.22</v>
      </c>
      <c r="H6" s="24" t="s">
        <v>41</v>
      </c>
      <c r="I6" s="27"/>
      <c r="J6" s="38"/>
      <c r="K6" s="27"/>
      <c r="L6" s="24" t="s">
        <v>23</v>
      </c>
      <c r="M6" s="27">
        <f>8.1*5%</f>
        <v>0.40500000000000003</v>
      </c>
      <c r="O6" s="30">
        <v>1</v>
      </c>
      <c r="P6" s="15" t="s">
        <v>108</v>
      </c>
      <c r="Q6" s="34">
        <v>5.077</v>
      </c>
      <c r="R6" s="32" t="s">
        <v>59</v>
      </c>
      <c r="S6" s="33">
        <f t="shared" si="0"/>
        <v>3174.38</v>
      </c>
      <c r="T6" s="34">
        <f t="shared" si="1"/>
        <v>3.0386513994910902</v>
      </c>
      <c r="U6" s="34">
        <f t="shared" si="8"/>
        <v>1.1879999999999999</v>
      </c>
      <c r="V6" s="35">
        <f t="shared" si="2"/>
        <v>2.0938500000000002</v>
      </c>
      <c r="W6" s="32">
        <f t="shared" si="3"/>
        <v>0</v>
      </c>
      <c r="X6" s="35">
        <f t="shared" si="4"/>
        <v>0.48843187660668402</v>
      </c>
      <c r="Y6" s="32">
        <f t="shared" si="5"/>
        <v>0.8</v>
      </c>
      <c r="Z6" s="36">
        <v>0</v>
      </c>
      <c r="AA6" s="36">
        <v>0</v>
      </c>
      <c r="AB6" s="36">
        <v>0</v>
      </c>
      <c r="AC6" s="15">
        <f t="shared" si="6"/>
        <v>28850.473695754601</v>
      </c>
      <c r="AD6" s="11">
        <v>0</v>
      </c>
      <c r="AE6" s="11">
        <v>21.6</v>
      </c>
      <c r="AF6" s="12">
        <f t="shared" si="7"/>
        <v>0.54910755571996706</v>
      </c>
      <c r="AG6" s="23">
        <v>100</v>
      </c>
    </row>
    <row r="7" spans="1:33" ht="15.6" x14ac:dyDescent="0.25">
      <c r="A7" s="148">
        <v>0.64</v>
      </c>
      <c r="B7" s="24" t="s">
        <v>43</v>
      </c>
      <c r="C7" s="40"/>
      <c r="D7" s="24" t="s">
        <v>44</v>
      </c>
      <c r="E7" s="148"/>
      <c r="F7" s="24" t="s">
        <v>39</v>
      </c>
      <c r="G7" s="27">
        <f>M6</f>
        <v>0.40500000000000003</v>
      </c>
      <c r="H7" s="24" t="s">
        <v>39</v>
      </c>
      <c r="I7" s="27">
        <f>M7</f>
        <v>0.81</v>
      </c>
      <c r="J7" s="38"/>
      <c r="K7" s="27"/>
      <c r="L7" s="24" t="s">
        <v>45</v>
      </c>
      <c r="M7" s="26">
        <f>16.2%*5</f>
        <v>0.81</v>
      </c>
      <c r="O7" s="30">
        <v>1</v>
      </c>
      <c r="P7" s="15" t="s">
        <v>109</v>
      </c>
      <c r="Q7" s="34">
        <v>18.8871</v>
      </c>
      <c r="R7" s="32" t="s">
        <v>59</v>
      </c>
      <c r="S7" s="33">
        <f t="shared" si="0"/>
        <v>3174.38</v>
      </c>
      <c r="T7" s="34">
        <f t="shared" si="1"/>
        <v>3.0386513994910902</v>
      </c>
      <c r="U7" s="34">
        <f t="shared" si="8"/>
        <v>1.1879999999999999</v>
      </c>
      <c r="V7" s="35">
        <f t="shared" si="2"/>
        <v>2.0938500000000002</v>
      </c>
      <c r="W7" s="32">
        <f t="shared" si="3"/>
        <v>0</v>
      </c>
      <c r="X7" s="35">
        <f t="shared" si="4"/>
        <v>0.48843187660668402</v>
      </c>
      <c r="Y7" s="32">
        <f t="shared" si="5"/>
        <v>0.8</v>
      </c>
      <c r="Z7" s="36">
        <v>0</v>
      </c>
      <c r="AA7" s="36">
        <v>0</v>
      </c>
      <c r="AB7" s="36">
        <v>0</v>
      </c>
      <c r="AC7" s="15">
        <f t="shared" si="6"/>
        <v>107327.512652962</v>
      </c>
      <c r="AD7" s="11">
        <v>0</v>
      </c>
      <c r="AE7" s="11">
        <v>28.8</v>
      </c>
      <c r="AF7" s="12">
        <f t="shared" si="7"/>
        <v>0.57282747642362697</v>
      </c>
      <c r="AG7" s="23">
        <v>100</v>
      </c>
    </row>
    <row r="8" spans="1:33" ht="15.6" x14ac:dyDescent="0.25">
      <c r="A8" s="148"/>
      <c r="B8" s="24" t="s">
        <v>110</v>
      </c>
      <c r="C8" s="25">
        <f>(A11-150%)*1200</f>
        <v>1543.2</v>
      </c>
      <c r="D8" s="24" t="s">
        <v>48</v>
      </c>
      <c r="E8" s="148"/>
      <c r="F8" s="24" t="s">
        <v>49</v>
      </c>
      <c r="G8" s="27">
        <v>0</v>
      </c>
      <c r="H8" s="24" t="s">
        <v>49</v>
      </c>
      <c r="I8" s="27">
        <v>0</v>
      </c>
      <c r="J8" s="38"/>
      <c r="K8" s="27"/>
      <c r="L8" s="24"/>
      <c r="M8" s="25"/>
      <c r="O8" s="30">
        <v>1</v>
      </c>
      <c r="P8" s="15" t="s">
        <v>111</v>
      </c>
      <c r="Q8" s="34">
        <v>6.8045</v>
      </c>
      <c r="R8" s="32" t="s">
        <v>1</v>
      </c>
      <c r="S8" s="33">
        <f t="shared" si="0"/>
        <v>3174.38</v>
      </c>
      <c r="T8" s="34">
        <f t="shared" si="1"/>
        <v>3.0386513994910902</v>
      </c>
      <c r="U8" s="34">
        <f t="shared" si="8"/>
        <v>0.56999999999999995</v>
      </c>
      <c r="V8" s="35">
        <f t="shared" si="2"/>
        <v>2.0938500000000002</v>
      </c>
      <c r="W8" s="32">
        <f t="shared" si="3"/>
        <v>0</v>
      </c>
      <c r="X8" s="35">
        <f t="shared" ref="X8:X13" si="9">$AF$3</f>
        <v>0.48843187660668402</v>
      </c>
      <c r="Y8" s="32">
        <f t="shared" si="5"/>
        <v>0.8</v>
      </c>
      <c r="Z8" s="36">
        <v>0</v>
      </c>
      <c r="AA8" s="36">
        <v>0</v>
      </c>
      <c r="AB8" s="36">
        <v>0</v>
      </c>
      <c r="AC8" s="15">
        <f t="shared" si="6"/>
        <v>27745.613869313602</v>
      </c>
      <c r="AD8" s="11">
        <v>0</v>
      </c>
      <c r="AE8" s="11">
        <v>0</v>
      </c>
      <c r="AF8" s="12">
        <f t="shared" si="7"/>
        <v>0.48843187660668402</v>
      </c>
      <c r="AG8" s="23">
        <v>100</v>
      </c>
    </row>
    <row r="9" spans="1:33" ht="15.6" x14ac:dyDescent="0.25">
      <c r="A9" s="148"/>
      <c r="B9" s="24" t="s">
        <v>51</v>
      </c>
      <c r="C9" s="25">
        <v>350</v>
      </c>
      <c r="D9" s="24" t="s">
        <v>52</v>
      </c>
      <c r="E9" s="148">
        <f>12%+M5+24%+(E11-1)*6%</f>
        <v>0.61799999999999999</v>
      </c>
      <c r="F9" s="24" t="s">
        <v>53</v>
      </c>
      <c r="G9" s="27">
        <v>0</v>
      </c>
      <c r="H9" s="24" t="s">
        <v>53</v>
      </c>
      <c r="I9" s="27">
        <v>0</v>
      </c>
      <c r="J9" s="38"/>
      <c r="K9" s="27"/>
      <c r="L9" s="24"/>
      <c r="M9" s="25"/>
      <c r="O9" s="30">
        <v>1</v>
      </c>
      <c r="P9" s="15" t="s">
        <v>103</v>
      </c>
      <c r="Q9" s="34">
        <v>2.1581000000000001</v>
      </c>
      <c r="R9" s="32" t="s">
        <v>59</v>
      </c>
      <c r="S9" s="33">
        <f>$C$4*(1+C$5+C$6+C$7)+C$9+C$8+$C$10</f>
        <v>4203.18</v>
      </c>
      <c r="T9" s="34">
        <f>($C$5+$C$6+$C$7)+($C$9+$C$10+$C$8)/$C$4</f>
        <v>4.3475572519084</v>
      </c>
      <c r="U9" s="34">
        <f>IF(R9=$C$1,SUM($E$4:$E$10),SUM($E$4:$E$8))</f>
        <v>1.4279999999999999</v>
      </c>
      <c r="V9" s="35">
        <f t="shared" si="2"/>
        <v>2.0938500000000002</v>
      </c>
      <c r="W9" s="32">
        <f t="shared" si="3"/>
        <v>0</v>
      </c>
      <c r="X9" s="35">
        <f t="shared" ref="X9:X15" si="10">$AF$8</f>
        <v>0.48843187660668402</v>
      </c>
      <c r="Y9" s="32">
        <f t="shared" si="5"/>
        <v>0.8</v>
      </c>
      <c r="Z9" s="36">
        <v>0</v>
      </c>
      <c r="AA9" s="36">
        <v>0</v>
      </c>
      <c r="AB9" s="36">
        <v>0</v>
      </c>
      <c r="AC9" s="15">
        <f t="shared" si="6"/>
        <v>18019.294738271601</v>
      </c>
      <c r="AE9" s="1">
        <v>0</v>
      </c>
    </row>
    <row r="10" spans="1:33" ht="15.6" x14ac:dyDescent="0.25">
      <c r="A10" s="148"/>
      <c r="B10" s="42" t="s">
        <v>112</v>
      </c>
      <c r="C10" s="25">
        <f>(A11-150%)*800</f>
        <v>1028.8</v>
      </c>
      <c r="D10" s="42" t="s">
        <v>113</v>
      </c>
      <c r="E10" s="148">
        <f>24%+(E11-1)*6%</f>
        <v>0.24</v>
      </c>
      <c r="F10" s="45" t="s">
        <v>55</v>
      </c>
      <c r="G10" s="46">
        <f>MIN(100%,SUM(G4:G9))</f>
        <v>0.83499999999999996</v>
      </c>
      <c r="H10" s="45" t="s">
        <v>56</v>
      </c>
      <c r="I10" s="46">
        <f>SUM(I4:I9)</f>
        <v>2.31</v>
      </c>
      <c r="J10" s="47"/>
      <c r="K10" s="102"/>
      <c r="L10" s="42"/>
      <c r="M10" s="43"/>
      <c r="O10" s="30">
        <v>1</v>
      </c>
      <c r="P10" s="15" t="s">
        <v>104</v>
      </c>
      <c r="Q10" s="34">
        <v>2.6278999999999999</v>
      </c>
      <c r="R10" s="32" t="s">
        <v>59</v>
      </c>
      <c r="S10" s="33">
        <f t="shared" ref="S10:S15" si="11">$C$4*(1+C$5+C$6+C$7)+C$9+C$8+$C$10</f>
        <v>4203.18</v>
      </c>
      <c r="T10" s="34">
        <f t="shared" ref="T10:T15" si="12">($C$5+$C$6+$C$7)+($C$9+$C$10+$C$8)/$C$4</f>
        <v>4.3475572519084</v>
      </c>
      <c r="U10" s="34">
        <f t="shared" ref="U10:U15" si="13">IF(R10=$C$1,SUM($E$4:$E$10),SUM($E$4:$E$8))</f>
        <v>1.4279999999999999</v>
      </c>
      <c r="V10" s="35">
        <f t="shared" si="2"/>
        <v>2.0938500000000002</v>
      </c>
      <c r="W10" s="32">
        <f t="shared" si="3"/>
        <v>0</v>
      </c>
      <c r="X10" s="35">
        <f t="shared" si="10"/>
        <v>0.48843187660668402</v>
      </c>
      <c r="Y10" s="32">
        <f t="shared" si="5"/>
        <v>0.8</v>
      </c>
      <c r="Z10" s="36">
        <v>0</v>
      </c>
      <c r="AA10" s="36">
        <v>0</v>
      </c>
      <c r="AB10" s="36">
        <v>0</v>
      </c>
      <c r="AC10" s="15">
        <f t="shared" si="6"/>
        <v>21941.9418204457</v>
      </c>
    </row>
    <row r="11" spans="1:33" ht="15.6" x14ac:dyDescent="0.25">
      <c r="A11" s="148">
        <f>A7+A6+A5+A4+1</f>
        <v>2.786</v>
      </c>
      <c r="D11" s="1" t="s">
        <v>114</v>
      </c>
      <c r="E11" s="1">
        <v>1</v>
      </c>
      <c r="F11" s="13" t="s">
        <v>57</v>
      </c>
      <c r="G11" s="59">
        <f>MAX(0,SUM(G4:G9)-1)</f>
        <v>0</v>
      </c>
      <c r="J11" s="2"/>
      <c r="K11" s="2"/>
      <c r="O11" s="30">
        <v>1</v>
      </c>
      <c r="P11" s="15" t="s">
        <v>106</v>
      </c>
      <c r="Q11" s="34">
        <v>2.6196999999999999</v>
      </c>
      <c r="R11" s="32" t="s">
        <v>59</v>
      </c>
      <c r="S11" s="33">
        <f t="shared" si="11"/>
        <v>4203.18</v>
      </c>
      <c r="T11" s="34">
        <f t="shared" si="12"/>
        <v>4.3475572519084</v>
      </c>
      <c r="U11" s="34">
        <f t="shared" si="13"/>
        <v>1.4279999999999999</v>
      </c>
      <c r="V11" s="35">
        <f t="shared" si="2"/>
        <v>2.0938500000000002</v>
      </c>
      <c r="W11" s="32">
        <f t="shared" si="3"/>
        <v>0</v>
      </c>
      <c r="X11" s="35">
        <f t="shared" si="9"/>
        <v>0.48843187660668402</v>
      </c>
      <c r="Y11" s="32">
        <f t="shared" si="5"/>
        <v>0.8</v>
      </c>
      <c r="Z11" s="36">
        <v>0</v>
      </c>
      <c r="AA11" s="36">
        <v>0</v>
      </c>
      <c r="AB11" s="36">
        <v>0</v>
      </c>
      <c r="AC11" s="15">
        <f t="shared" si="6"/>
        <v>21873.475013136602</v>
      </c>
      <c r="AE11" s="76" t="s">
        <v>60</v>
      </c>
      <c r="AF11" s="76">
        <v>0.8</v>
      </c>
    </row>
    <row r="12" spans="1:33" ht="15.6" x14ac:dyDescent="0.25">
      <c r="E12" s="58"/>
      <c r="J12" s="2"/>
      <c r="K12" s="2"/>
      <c r="O12" s="30">
        <v>1</v>
      </c>
      <c r="P12" s="15" t="s">
        <v>108</v>
      </c>
      <c r="Q12" s="34">
        <v>5.077</v>
      </c>
      <c r="R12" s="32" t="s">
        <v>59</v>
      </c>
      <c r="S12" s="33">
        <f t="shared" si="11"/>
        <v>4203.18</v>
      </c>
      <c r="T12" s="34">
        <f t="shared" si="12"/>
        <v>4.3475572519084</v>
      </c>
      <c r="U12" s="34">
        <f t="shared" si="13"/>
        <v>1.4279999999999999</v>
      </c>
      <c r="V12" s="35">
        <f t="shared" si="2"/>
        <v>2.0938500000000002</v>
      </c>
      <c r="W12" s="32">
        <f t="shared" si="3"/>
        <v>0</v>
      </c>
      <c r="X12" s="35">
        <f t="shared" si="9"/>
        <v>0.48843187660668402</v>
      </c>
      <c r="Y12" s="32">
        <f t="shared" si="5"/>
        <v>0.8</v>
      </c>
      <c r="Z12" s="36">
        <v>0</v>
      </c>
      <c r="AA12" s="36">
        <v>0</v>
      </c>
      <c r="AB12" s="36">
        <v>0</v>
      </c>
      <c r="AC12" s="15">
        <f t="shared" si="6"/>
        <v>42390.973257126599</v>
      </c>
      <c r="AE12" s="71" t="s">
        <v>63</v>
      </c>
      <c r="AF12" s="71">
        <v>0.8</v>
      </c>
    </row>
    <row r="13" spans="1:33" ht="15.6" x14ac:dyDescent="0.25">
      <c r="O13" s="30">
        <v>1</v>
      </c>
      <c r="P13" s="15" t="s">
        <v>109</v>
      </c>
      <c r="Q13" s="34">
        <v>18.8871</v>
      </c>
      <c r="R13" s="32" t="s">
        <v>59</v>
      </c>
      <c r="S13" s="33">
        <f t="shared" si="11"/>
        <v>4203.18</v>
      </c>
      <c r="T13" s="34">
        <f t="shared" si="12"/>
        <v>4.3475572519084</v>
      </c>
      <c r="U13" s="34">
        <f t="shared" si="13"/>
        <v>1.4279999999999999</v>
      </c>
      <c r="V13" s="35">
        <f t="shared" si="2"/>
        <v>2.0938500000000002</v>
      </c>
      <c r="W13" s="32">
        <f t="shared" si="3"/>
        <v>0</v>
      </c>
      <c r="X13" s="35">
        <f t="shared" si="9"/>
        <v>0.48843187660668402</v>
      </c>
      <c r="Y13" s="32">
        <f t="shared" si="5"/>
        <v>0.8</v>
      </c>
      <c r="Z13" s="36">
        <v>0</v>
      </c>
      <c r="AA13" s="36">
        <v>0</v>
      </c>
      <c r="AB13" s="36">
        <v>0</v>
      </c>
      <c r="AC13" s="15">
        <f t="shared" si="6"/>
        <v>157699.93125953799</v>
      </c>
      <c r="AE13" s="103" t="s">
        <v>65</v>
      </c>
      <c r="AF13" s="103">
        <v>0.8</v>
      </c>
    </row>
    <row r="14" spans="1:33" ht="15.6" x14ac:dyDescent="0.25">
      <c r="B14" s="75" t="s">
        <v>66</v>
      </c>
      <c r="D14" s="75"/>
      <c r="O14" s="30">
        <f>24/25</f>
        <v>0.96</v>
      </c>
      <c r="P14" s="15" t="s">
        <v>50</v>
      </c>
      <c r="Q14" s="34">
        <v>3.681</v>
      </c>
      <c r="R14" s="32" t="s">
        <v>50</v>
      </c>
      <c r="S14" s="33">
        <f t="shared" si="11"/>
        <v>4203.18</v>
      </c>
      <c r="T14" s="34">
        <f t="shared" si="12"/>
        <v>4.3475572519084</v>
      </c>
      <c r="U14" s="34">
        <f t="shared" si="13"/>
        <v>0.56999999999999995</v>
      </c>
      <c r="V14" s="35">
        <f t="shared" si="2"/>
        <v>2.0938500000000002</v>
      </c>
      <c r="W14" s="32">
        <f t="shared" si="3"/>
        <v>0</v>
      </c>
      <c r="X14" s="35">
        <f t="shared" si="10"/>
        <v>0.48843187660668402</v>
      </c>
      <c r="Y14" s="32">
        <f t="shared" si="5"/>
        <v>0.8</v>
      </c>
      <c r="Z14" s="36">
        <v>0</v>
      </c>
      <c r="AA14" s="36">
        <v>0</v>
      </c>
      <c r="AB14" s="36">
        <v>0</v>
      </c>
      <c r="AC14" s="15">
        <f t="shared" si="6"/>
        <v>19078.940111545198</v>
      </c>
      <c r="AE14" s="74" t="s">
        <v>67</v>
      </c>
      <c r="AF14" s="74">
        <v>0.8</v>
      </c>
    </row>
    <row r="15" spans="1:33" ht="15.6" x14ac:dyDescent="0.25">
      <c r="B15" s="77"/>
      <c r="C15" s="78" t="s">
        <v>68</v>
      </c>
      <c r="D15" s="78" t="s">
        <v>69</v>
      </c>
      <c r="E15" s="78" t="s">
        <v>70</v>
      </c>
      <c r="F15" s="78" t="s">
        <v>71</v>
      </c>
      <c r="O15" s="30">
        <v>0</v>
      </c>
      <c r="P15" s="15" t="s">
        <v>62</v>
      </c>
      <c r="Q15" s="34">
        <v>3.3391999999999999</v>
      </c>
      <c r="R15" s="32" t="s">
        <v>62</v>
      </c>
      <c r="S15" s="33">
        <f t="shared" si="11"/>
        <v>4203.18</v>
      </c>
      <c r="T15" s="34">
        <f t="shared" si="12"/>
        <v>4.3475572519084</v>
      </c>
      <c r="U15" s="34">
        <f t="shared" si="13"/>
        <v>0.56999999999999995</v>
      </c>
      <c r="V15" s="35">
        <f t="shared" si="2"/>
        <v>2.0938500000000002</v>
      </c>
      <c r="W15" s="32">
        <f t="shared" si="3"/>
        <v>0</v>
      </c>
      <c r="X15" s="35">
        <f t="shared" si="10"/>
        <v>0.48843187660668402</v>
      </c>
      <c r="Y15" s="32">
        <f t="shared" si="5"/>
        <v>0.8</v>
      </c>
      <c r="Z15" s="36">
        <v>0</v>
      </c>
      <c r="AA15" s="36">
        <v>0</v>
      </c>
      <c r="AB15" s="36">
        <v>0</v>
      </c>
      <c r="AC15" s="15">
        <f t="shared" si="6"/>
        <v>0</v>
      </c>
      <c r="AE15" s="110" t="s">
        <v>73</v>
      </c>
      <c r="AF15" s="110">
        <v>0.8</v>
      </c>
    </row>
    <row r="16" spans="1:33" ht="15.6" x14ac:dyDescent="0.25">
      <c r="B16" s="4" t="s">
        <v>101</v>
      </c>
      <c r="C16" s="84">
        <f>SUM(AC3:AC15)</f>
        <v>487011.66105639399</v>
      </c>
      <c r="D16" s="84">
        <f>C16/$E$16</f>
        <v>20292.1525440164</v>
      </c>
      <c r="E16" s="85">
        <v>24</v>
      </c>
      <c r="F16" s="86">
        <f>C16/$C$18</f>
        <v>0.875969800275885</v>
      </c>
      <c r="Q16" s="1"/>
      <c r="U16" s="1"/>
      <c r="V16" s="1"/>
      <c r="AB16" s="1"/>
      <c r="AC16" s="1"/>
      <c r="AE16" s="78" t="s">
        <v>76</v>
      </c>
      <c r="AF16" s="78">
        <v>0.8</v>
      </c>
    </row>
    <row r="17" spans="2:32" ht="15.6" x14ac:dyDescent="0.25">
      <c r="B17" s="4" t="s">
        <v>77</v>
      </c>
      <c r="C17" s="84">
        <f>AC20</f>
        <v>68956.890488431905</v>
      </c>
      <c r="D17" s="84">
        <f>C17/$E$16</f>
        <v>2873.2037703513301</v>
      </c>
      <c r="E17" s="85"/>
      <c r="F17" s="86">
        <f>C17/$C$18</f>
        <v>0.124030199724115</v>
      </c>
      <c r="J17" s="34"/>
      <c r="O17" s="60">
        <f t="shared" ref="O17:O19" si="14">$O$20</f>
        <v>1</v>
      </c>
      <c r="P17" s="62" t="s">
        <v>81</v>
      </c>
      <c r="Q17" s="61">
        <v>18.807500000000001</v>
      </c>
      <c r="R17" s="62" t="s">
        <v>82</v>
      </c>
      <c r="S17" s="62">
        <v>10027</v>
      </c>
      <c r="T17" s="61">
        <v>0</v>
      </c>
      <c r="U17" s="61">
        <v>0</v>
      </c>
      <c r="V17" s="63">
        <v>1</v>
      </c>
      <c r="W17" s="62">
        <v>0</v>
      </c>
      <c r="X17" s="63">
        <f t="shared" ref="X17:X20" si="15">$AF$3</f>
        <v>0.48843187660668402</v>
      </c>
      <c r="Y17" s="62">
        <f t="shared" ref="Y17:Y20" si="16">$AF$18</f>
        <v>0.8</v>
      </c>
      <c r="Z17" s="64">
        <v>0</v>
      </c>
      <c r="AA17" s="64">
        <v>0</v>
      </c>
      <c r="AB17" s="29">
        <v>0.5</v>
      </c>
      <c r="AC17" s="112">
        <f t="shared" ref="AC17:AC20" si="17">Q17*S17*(1+T17)*(1+U17)*V17*(1+W17)*X17*Y17*(1+Z17)*(1+AA17)*(1+AB17)*O17</f>
        <v>110531.82254498699</v>
      </c>
    </row>
    <row r="18" spans="2:32" ht="15.6" x14ac:dyDescent="0.25">
      <c r="B18" s="4" t="s">
        <v>79</v>
      </c>
      <c r="C18" s="87">
        <f>SUM(C16:C17)</f>
        <v>555968.55154482601</v>
      </c>
      <c r="D18" s="87">
        <f>C18/E16</f>
        <v>23165.356314367698</v>
      </c>
      <c r="E18" s="88"/>
      <c r="F18" s="89"/>
      <c r="O18" s="24">
        <f t="shared" si="14"/>
        <v>1</v>
      </c>
      <c r="P18" s="1" t="s">
        <v>83</v>
      </c>
      <c r="Q18" s="2">
        <v>2.9822000000000002</v>
      </c>
      <c r="R18" s="1" t="s">
        <v>82</v>
      </c>
      <c r="S18" s="1">
        <v>10027</v>
      </c>
      <c r="T18" s="2">
        <v>0</v>
      </c>
      <c r="U18" s="2">
        <v>0</v>
      </c>
      <c r="V18" s="69">
        <v>1</v>
      </c>
      <c r="W18" s="1">
        <v>0</v>
      </c>
      <c r="X18" s="69">
        <f t="shared" si="15"/>
        <v>0.48843187660668402</v>
      </c>
      <c r="Y18" s="1">
        <f t="shared" si="16"/>
        <v>0.8</v>
      </c>
      <c r="Z18" s="58">
        <v>0</v>
      </c>
      <c r="AA18" s="58">
        <v>0</v>
      </c>
      <c r="AB18" s="26">
        <v>0.5</v>
      </c>
      <c r="AC18" s="112">
        <f t="shared" si="17"/>
        <v>17526.412398971701</v>
      </c>
      <c r="AE18" s="1" t="s">
        <v>80</v>
      </c>
      <c r="AF18" s="1">
        <v>0.8</v>
      </c>
    </row>
    <row r="19" spans="2:32" ht="15.6" x14ac:dyDescent="0.25">
      <c r="B19" s="4"/>
      <c r="C19" s="4"/>
      <c r="D19" s="4"/>
      <c r="O19" s="24">
        <f t="shared" si="14"/>
        <v>1</v>
      </c>
      <c r="P19" s="1" t="s">
        <v>85</v>
      </c>
      <c r="Q19" s="2">
        <v>5.9642999999999997</v>
      </c>
      <c r="R19" s="1" t="s">
        <v>82</v>
      </c>
      <c r="S19" s="1">
        <v>10027</v>
      </c>
      <c r="T19" s="2">
        <v>0</v>
      </c>
      <c r="U19" s="2">
        <v>0</v>
      </c>
      <c r="V19" s="69">
        <v>1</v>
      </c>
      <c r="W19" s="1">
        <v>0</v>
      </c>
      <c r="X19" s="69">
        <f t="shared" si="15"/>
        <v>0.48843187660668402</v>
      </c>
      <c r="Y19" s="1">
        <f t="shared" si="16"/>
        <v>0.8</v>
      </c>
      <c r="Z19" s="58">
        <v>0</v>
      </c>
      <c r="AA19" s="58">
        <v>0</v>
      </c>
      <c r="AB19" s="26">
        <v>0.5</v>
      </c>
      <c r="AC19" s="113">
        <f t="shared" si="17"/>
        <v>35052.237097172198</v>
      </c>
    </row>
    <row r="20" spans="2:32" ht="15.6" x14ac:dyDescent="0.25">
      <c r="B20" s="4"/>
      <c r="C20" s="4"/>
      <c r="D20" s="4"/>
      <c r="F20" s="4"/>
      <c r="H20" s="90" t="s">
        <v>101</v>
      </c>
      <c r="I20" s="91" t="s">
        <v>115</v>
      </c>
      <c r="J20" s="91" t="s">
        <v>94</v>
      </c>
      <c r="O20" s="13">
        <v>1</v>
      </c>
      <c r="P20" s="114" t="s">
        <v>77</v>
      </c>
      <c r="Q20" s="115">
        <v>16</v>
      </c>
      <c r="R20" s="114" t="s">
        <v>86</v>
      </c>
      <c r="S20" s="114">
        <v>10027</v>
      </c>
      <c r="T20" s="115">
        <v>0</v>
      </c>
      <c r="U20" s="115">
        <v>0</v>
      </c>
      <c r="V20" s="116">
        <v>1</v>
      </c>
      <c r="W20" s="114">
        <v>0</v>
      </c>
      <c r="X20" s="116">
        <f t="shared" si="15"/>
        <v>0.48843187660668402</v>
      </c>
      <c r="Y20" s="114">
        <f t="shared" si="16"/>
        <v>0.8</v>
      </c>
      <c r="Z20" s="117">
        <v>0</v>
      </c>
      <c r="AA20" s="117">
        <v>0</v>
      </c>
      <c r="AB20" s="118">
        <v>0.1</v>
      </c>
      <c r="AC20" s="119">
        <f t="shared" si="17"/>
        <v>68956.890488431905</v>
      </c>
    </row>
    <row r="21" spans="2:32" x14ac:dyDescent="0.25">
      <c r="F21" s="4"/>
      <c r="H21" s="151" t="s">
        <v>95</v>
      </c>
      <c r="I21" s="1">
        <v>23165</v>
      </c>
    </row>
    <row r="22" spans="2:32" x14ac:dyDescent="0.25">
      <c r="H22" s="1">
        <v>11</v>
      </c>
      <c r="I22" s="1">
        <v>28645</v>
      </c>
      <c r="J22" s="2">
        <f t="shared" ref="J22:J27" si="18">I22/I21-1</f>
        <v>0.23656378156701899</v>
      </c>
      <c r="O22" s="62" t="s">
        <v>4</v>
      </c>
      <c r="P22" s="62"/>
      <c r="Q22" s="61"/>
      <c r="R22" s="62"/>
      <c r="S22" s="62"/>
      <c r="T22" s="62"/>
      <c r="U22" s="61"/>
      <c r="V22" s="120"/>
      <c r="W22" s="62"/>
      <c r="X22" s="62"/>
      <c r="Y22" s="62"/>
      <c r="Z22" s="62"/>
      <c r="AA22" s="62"/>
      <c r="AB22" s="121"/>
      <c r="AC22" s="122"/>
    </row>
    <row r="23" spans="2:32" ht="15.6" x14ac:dyDescent="0.25">
      <c r="B23" s="4"/>
      <c r="C23" s="4"/>
      <c r="D23" s="4"/>
      <c r="F23" s="4"/>
      <c r="H23" s="1">
        <v>21</v>
      </c>
      <c r="I23" s="1">
        <v>34890</v>
      </c>
      <c r="J23" s="2">
        <f t="shared" si="18"/>
        <v>0.21801361494152499</v>
      </c>
      <c r="O23" s="1">
        <v>1</v>
      </c>
      <c r="P23" s="103" t="s">
        <v>87</v>
      </c>
      <c r="Q23" s="123">
        <f>IF(N41&gt;0,(MAX(45%,112.5%+112.5%*(N41-2))),(IF(N41&lt;=0,0)))</f>
        <v>5.625</v>
      </c>
      <c r="R23" s="103" t="s">
        <v>87</v>
      </c>
      <c r="S23" s="124">
        <v>3674.1</v>
      </c>
      <c r="T23" s="125">
        <v>0</v>
      </c>
      <c r="U23" s="125">
        <v>0</v>
      </c>
      <c r="V23" s="126">
        <v>1</v>
      </c>
      <c r="W23" s="103">
        <v>0</v>
      </c>
      <c r="X23" s="126">
        <f t="shared" ref="X23:X26" si="19">$AF$3</f>
        <v>0.48843187660668402</v>
      </c>
      <c r="Y23" s="103">
        <f>$AF$13</f>
        <v>0.8</v>
      </c>
      <c r="Z23" s="127">
        <v>0</v>
      </c>
      <c r="AA23" s="127">
        <v>0</v>
      </c>
      <c r="AB23" s="127">
        <v>0</v>
      </c>
      <c r="AC23" s="128">
        <f t="shared" ref="AC23:AC26" si="20">Q23*S23*(1+T23)*(1+U23)*V23*(1+W23)*X23*Y23*(1+Z23)*(1+AA23)*(1+AB23)*O23</f>
        <v>8075.4640102827798</v>
      </c>
    </row>
    <row r="24" spans="2:32" ht="15.6" x14ac:dyDescent="0.25">
      <c r="B24" s="4"/>
      <c r="C24" s="4"/>
      <c r="D24" s="4"/>
      <c r="F24" s="4"/>
      <c r="H24" s="1">
        <v>31</v>
      </c>
      <c r="I24" s="1">
        <v>42139</v>
      </c>
      <c r="J24" s="2">
        <f t="shared" si="18"/>
        <v>0.207767268558326</v>
      </c>
      <c r="O24" s="1">
        <v>1</v>
      </c>
      <c r="P24" s="76" t="s">
        <v>88</v>
      </c>
      <c r="Q24" s="129">
        <f>IF(N42=1,0.3,IF(AND(N42&gt;=2,N42&lt;=10),0.3+0.2439*(N42-1),IF(AND(N42&gt;=11),2.4951+0.8317*(N42-10),IF(AND(N42&lt;=0),0,""))))</f>
        <v>2.4950999999999999</v>
      </c>
      <c r="R24" s="76" t="s">
        <v>88</v>
      </c>
      <c r="S24" s="130">
        <v>3674.1</v>
      </c>
      <c r="T24" s="131">
        <v>0</v>
      </c>
      <c r="U24" s="131">
        <v>0</v>
      </c>
      <c r="V24" s="132">
        <v>1</v>
      </c>
      <c r="W24" s="76">
        <v>0</v>
      </c>
      <c r="X24" s="132">
        <f t="shared" si="19"/>
        <v>0.48843187660668402</v>
      </c>
      <c r="Y24" s="76">
        <f>$AF$11</f>
        <v>0.8</v>
      </c>
      <c r="Z24" s="133">
        <v>0</v>
      </c>
      <c r="AA24" s="133">
        <v>0</v>
      </c>
      <c r="AB24" s="133">
        <v>0</v>
      </c>
      <c r="AC24" s="134">
        <f t="shared" si="20"/>
        <v>3582.0604892545002</v>
      </c>
    </row>
    <row r="25" spans="2:32" ht="15.6" x14ac:dyDescent="0.25">
      <c r="G25" s="1"/>
      <c r="H25" s="1">
        <v>51</v>
      </c>
      <c r="I25" s="1">
        <v>43981</v>
      </c>
      <c r="J25" s="2">
        <f t="shared" si="18"/>
        <v>4.37124753791025E-2</v>
      </c>
      <c r="O25" s="1">
        <v>1</v>
      </c>
      <c r="P25" s="110" t="s">
        <v>89</v>
      </c>
      <c r="Q25" s="135">
        <f>IF(N43=1,24.5%,IF(AND(10&gt;=N43,N43&gt;=2),24.5%+(N43-1)*19.9185%,IF(AND(13&gt;=N43,N43&gt;=11),203.77%+(N43-10)*(271.69%-203.77%),"")))</f>
        <v>4.0753000000000004</v>
      </c>
      <c r="R25" s="110" t="s">
        <v>89</v>
      </c>
      <c r="S25" s="136">
        <v>3674.1</v>
      </c>
      <c r="T25" s="137">
        <v>0</v>
      </c>
      <c r="U25" s="137">
        <v>0</v>
      </c>
      <c r="V25" s="138">
        <v>1</v>
      </c>
      <c r="W25" s="110">
        <v>0</v>
      </c>
      <c r="X25" s="138">
        <f t="shared" si="19"/>
        <v>0.48843187660668402</v>
      </c>
      <c r="Y25" s="110">
        <f>$AF$15</f>
        <v>0.8</v>
      </c>
      <c r="Z25" s="139">
        <v>0</v>
      </c>
      <c r="AA25" s="139">
        <v>0</v>
      </c>
      <c r="AB25" s="139">
        <v>0</v>
      </c>
      <c r="AC25" s="140">
        <f t="shared" si="20"/>
        <v>5850.6557299742899</v>
      </c>
    </row>
    <row r="26" spans="2:32" ht="15.6" x14ac:dyDescent="0.25">
      <c r="B26" s="4"/>
      <c r="C26" s="4"/>
      <c r="D26" s="4"/>
      <c r="F26" s="4"/>
      <c r="H26" s="1">
        <v>61</v>
      </c>
      <c r="I26" s="1">
        <v>55308</v>
      </c>
      <c r="J26" s="2">
        <f t="shared" si="18"/>
        <v>0.25754302994474898</v>
      </c>
      <c r="O26" s="79">
        <v>1</v>
      </c>
      <c r="P26" s="141" t="s">
        <v>90</v>
      </c>
      <c r="Q26" s="142">
        <f>IF(N44=1,0.84,IF(N44=2,1.5229,IF(N44=3,2.2058,IF(N44=4,2.8888,IF(N44=5,3.5717,IF(N44=6,4.2546,IF(N44=7,4.9375,IF(N44=8,5.6204,IF(N44=9,6.3034,IF(N44=10,6.9863,IF(N44=11,9.315,IF(N44=12,11.6438,IF(N44=13,13.9726,"")))))))))))))</f>
        <v>13.9726</v>
      </c>
      <c r="R26" s="141" t="s">
        <v>90</v>
      </c>
      <c r="S26" s="143">
        <v>3674.1</v>
      </c>
      <c r="T26" s="144">
        <v>0</v>
      </c>
      <c r="U26" s="144">
        <v>0</v>
      </c>
      <c r="V26" s="145">
        <v>1</v>
      </c>
      <c r="W26" s="141">
        <v>0</v>
      </c>
      <c r="X26" s="145">
        <f t="shared" si="19"/>
        <v>0.48843187660668402</v>
      </c>
      <c r="Y26" s="141">
        <f>$AF$16</f>
        <v>0.8</v>
      </c>
      <c r="Z26" s="146">
        <v>0</v>
      </c>
      <c r="AA26" s="146">
        <v>0</v>
      </c>
      <c r="AB26" s="146">
        <v>0</v>
      </c>
      <c r="AC26" s="147">
        <f t="shared" si="20"/>
        <v>20059.596165347</v>
      </c>
    </row>
    <row r="27" spans="2:32" x14ac:dyDescent="0.25">
      <c r="B27" s="4"/>
      <c r="C27" s="4"/>
      <c r="D27" s="4"/>
      <c r="F27" s="4"/>
      <c r="H27" s="1">
        <v>65</v>
      </c>
      <c r="I27" s="1">
        <v>64468</v>
      </c>
      <c r="J27" s="2">
        <f t="shared" si="18"/>
        <v>0.16561799378028499</v>
      </c>
    </row>
    <row r="29" spans="2:32" x14ac:dyDescent="0.25">
      <c r="B29" s="4"/>
      <c r="C29" s="4"/>
      <c r="D29" s="4"/>
      <c r="F29" s="4"/>
    </row>
    <row r="30" spans="2:32" x14ac:dyDescent="0.25">
      <c r="B30" s="4"/>
      <c r="C30" s="4"/>
      <c r="D30" s="4"/>
    </row>
    <row r="32" spans="2:32" x14ac:dyDescent="0.25">
      <c r="B32" s="4"/>
      <c r="C32" s="4"/>
      <c r="D32" s="4"/>
    </row>
    <row r="40" spans="14:14" x14ac:dyDescent="0.25">
      <c r="N40" s="60" t="s">
        <v>91</v>
      </c>
    </row>
    <row r="41" spans="14:14" x14ac:dyDescent="0.25">
      <c r="N41" s="24">
        <v>6</v>
      </c>
    </row>
    <row r="42" spans="14:14" x14ac:dyDescent="0.25">
      <c r="N42" s="24">
        <v>10</v>
      </c>
    </row>
    <row r="43" spans="14:14" x14ac:dyDescent="0.25">
      <c r="N43" s="24">
        <v>13</v>
      </c>
    </row>
    <row r="44" spans="14:14" x14ac:dyDescent="0.25">
      <c r="N44" s="42">
        <v>13</v>
      </c>
    </row>
  </sheetData>
  <mergeCells count="7">
    <mergeCell ref="B2:M2"/>
    <mergeCell ref="B3:C3"/>
    <mergeCell ref="D3:E3"/>
    <mergeCell ref="F3:G3"/>
    <mergeCell ref="H3:I3"/>
    <mergeCell ref="J3:K3"/>
    <mergeCell ref="L3:M3"/>
  </mergeCells>
  <phoneticPr fontId="10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G33"/>
  <sheetViews>
    <sheetView topLeftCell="G1" workbookViewId="0">
      <selection activeCell="B22" sqref="B22"/>
    </sheetView>
  </sheetViews>
  <sheetFormatPr defaultColWidth="9.6640625" defaultRowHeight="14.4" x14ac:dyDescent="0.25"/>
  <cols>
    <col min="1" max="1" width="9.6640625" style="1"/>
    <col min="2" max="2" width="15.44140625" style="1" customWidth="1"/>
    <col min="3" max="3" width="10" style="1" customWidth="1"/>
    <col min="4" max="4" width="11.77734375" style="1" customWidth="1"/>
    <col min="5" max="5" width="5.5546875" style="1" customWidth="1"/>
    <col min="6" max="6" width="11.77734375" style="1" customWidth="1"/>
    <col min="7" max="7" width="7.5546875" style="2" customWidth="1"/>
    <col min="8" max="8" width="14" style="1" customWidth="1"/>
    <col min="9" max="9" width="8.5546875" style="1" customWidth="1"/>
    <col min="10" max="10" width="11.77734375" style="1" customWidth="1"/>
    <col min="11" max="11" width="4.5546875" style="1" customWidth="1"/>
    <col min="12" max="12" width="9.5546875" style="1" customWidth="1"/>
    <col min="13" max="13" width="7.5546875" style="1" customWidth="1"/>
    <col min="14" max="14" width="5.5546875" style="1" customWidth="1"/>
    <col min="15" max="15" width="6.21875" style="1" customWidth="1"/>
    <col min="16" max="16" width="21.21875" style="1" customWidth="1"/>
    <col min="17" max="17" width="9.5546875" style="2" customWidth="1"/>
    <col min="18" max="18" width="6.21875" style="1" customWidth="1"/>
    <col min="19" max="19" width="11" style="1" customWidth="1"/>
    <col min="20" max="20" width="8.5546875" style="1" customWidth="1"/>
    <col min="21" max="21" width="8.5546875" style="2" customWidth="1"/>
    <col min="22" max="22" width="8.5546875" style="3" customWidth="1"/>
    <col min="23" max="25" width="8.5546875" style="1" customWidth="1"/>
    <col min="26" max="26" width="11" style="1" customWidth="1"/>
    <col min="27" max="27" width="8.5546875" style="1" customWidth="1"/>
    <col min="28" max="28" width="11" style="4" customWidth="1"/>
    <col min="29" max="29" width="10" style="4" customWidth="1"/>
    <col min="30" max="30" width="9.5546875" style="1" customWidth="1"/>
    <col min="31" max="31" width="5.5546875" style="1" customWidth="1"/>
    <col min="32" max="32" width="8.5546875" style="1" customWidth="1"/>
    <col min="33" max="33" width="9.5546875" style="1" customWidth="1"/>
    <col min="34" max="16384" width="9.6640625" style="1"/>
  </cols>
  <sheetData>
    <row r="1" spans="2:33" x14ac:dyDescent="0.25">
      <c r="B1" s="5" t="s">
        <v>0</v>
      </c>
      <c r="C1" s="5" t="s">
        <v>59</v>
      </c>
      <c r="D1" s="6" t="s">
        <v>2</v>
      </c>
      <c r="E1" s="6">
        <v>2</v>
      </c>
      <c r="G1" s="1"/>
    </row>
    <row r="2" spans="2:33" ht="15.6" x14ac:dyDescent="0.25">
      <c r="B2" s="199" t="s">
        <v>3</v>
      </c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1"/>
      <c r="O2" s="93" t="s">
        <v>4</v>
      </c>
      <c r="P2" s="94" t="s">
        <v>5</v>
      </c>
      <c r="Q2" s="95" t="s">
        <v>6</v>
      </c>
      <c r="R2" s="94" t="s">
        <v>7</v>
      </c>
      <c r="S2" s="94" t="s">
        <v>116</v>
      </c>
      <c r="T2" s="94" t="s">
        <v>117</v>
      </c>
      <c r="U2" s="95" t="s">
        <v>10</v>
      </c>
      <c r="V2" s="96" t="s">
        <v>11</v>
      </c>
      <c r="W2" s="94" t="s">
        <v>12</v>
      </c>
      <c r="X2" s="94" t="s">
        <v>13</v>
      </c>
      <c r="Y2" s="94" t="s">
        <v>14</v>
      </c>
      <c r="Z2" s="94" t="s">
        <v>15</v>
      </c>
      <c r="AA2" s="94" t="s">
        <v>16</v>
      </c>
      <c r="AB2" s="97" t="s">
        <v>17</v>
      </c>
      <c r="AC2" s="98" t="s">
        <v>18</v>
      </c>
      <c r="AD2" s="11" t="s">
        <v>19</v>
      </c>
      <c r="AE2" s="11" t="s">
        <v>20</v>
      </c>
      <c r="AF2" s="12" t="s">
        <v>13</v>
      </c>
      <c r="AG2" s="12" t="s">
        <v>21</v>
      </c>
    </row>
    <row r="3" spans="2:33" ht="15.6" x14ac:dyDescent="0.25">
      <c r="B3" s="202" t="s">
        <v>22</v>
      </c>
      <c r="C3" s="203"/>
      <c r="D3" s="202" t="s">
        <v>10</v>
      </c>
      <c r="E3" s="203"/>
      <c r="F3" s="202" t="s">
        <v>23</v>
      </c>
      <c r="G3" s="203"/>
      <c r="H3" s="202" t="s">
        <v>24</v>
      </c>
      <c r="I3" s="203"/>
      <c r="J3" s="202" t="s">
        <v>12</v>
      </c>
      <c r="K3" s="203"/>
      <c r="L3" s="202" t="s">
        <v>25</v>
      </c>
      <c r="M3" s="203"/>
      <c r="O3" s="30">
        <v>1</v>
      </c>
      <c r="P3" s="99" t="s">
        <v>118</v>
      </c>
      <c r="Q3" s="34">
        <v>0.50129999999999997</v>
      </c>
      <c r="R3" s="32" t="s">
        <v>59</v>
      </c>
      <c r="S3" s="33">
        <f>$C$4*(1+C$5+C$6+C$7+C$8)+C$9+C$10</f>
        <v>48976.4</v>
      </c>
      <c r="T3" s="34">
        <f>($C$5+$C$6+$C$7+$C$8)+($C$9+$C$10)/$C$4</f>
        <v>2.3092162162162202</v>
      </c>
      <c r="U3" s="34">
        <f>IF(R3=$C$1,SUM($E$4:$E$9),SUM($E$4:$E$8))</f>
        <v>0.9</v>
      </c>
      <c r="V3" s="35">
        <f>1+$G$10*($I$10-1)</f>
        <v>2.4962499999999999</v>
      </c>
      <c r="W3" s="32">
        <f>IF(R3=$C$1,$K$4+$K$5,$K$4)</f>
        <v>0.2</v>
      </c>
      <c r="X3" s="35">
        <f>$AF$4</f>
        <v>0.50927415031628598</v>
      </c>
      <c r="Y3" s="32">
        <f>$AF$11</f>
        <v>0.8</v>
      </c>
      <c r="Z3" s="36">
        <v>0</v>
      </c>
      <c r="AA3" s="36">
        <v>0</v>
      </c>
      <c r="AB3" s="36">
        <v>0</v>
      </c>
      <c r="AC3" s="15">
        <f>Q3*S3*(1+U3)*V3*(1+W3)*X3*Y3*(1+Z3)*(1+AA3)*(1+AB3)*O3</f>
        <v>56931.038837460401</v>
      </c>
      <c r="AD3" s="11">
        <v>0</v>
      </c>
      <c r="AE3" s="11">
        <v>0</v>
      </c>
      <c r="AF3" s="12">
        <f t="shared" ref="AF3:AF8" si="0">1520/(1520+(792+8*AG3)*(1-AE3/100))</f>
        <v>0.48843187660668402</v>
      </c>
      <c r="AG3" s="23">
        <v>100</v>
      </c>
    </row>
    <row r="4" spans="2:33" ht="15.6" x14ac:dyDescent="0.25">
      <c r="B4" s="24" t="s">
        <v>27</v>
      </c>
      <c r="C4" s="25">
        <v>14800</v>
      </c>
      <c r="D4" s="24" t="s">
        <v>28</v>
      </c>
      <c r="E4" s="26">
        <v>0</v>
      </c>
      <c r="F4" s="24" t="s">
        <v>29</v>
      </c>
      <c r="G4" s="27">
        <v>0.13</v>
      </c>
      <c r="H4" s="24" t="s">
        <v>29</v>
      </c>
      <c r="I4" s="27">
        <v>1.5</v>
      </c>
      <c r="J4" s="100" t="s">
        <v>30</v>
      </c>
      <c r="K4" s="26">
        <f>20%+(E11-1)*5%</f>
        <v>0.2</v>
      </c>
      <c r="L4" s="24" t="s">
        <v>119</v>
      </c>
      <c r="M4" s="27">
        <f>8.6%*2</f>
        <v>0.17199999999999999</v>
      </c>
      <c r="O4" s="30">
        <v>1</v>
      </c>
      <c r="P4" s="15" t="s">
        <v>62</v>
      </c>
      <c r="Q4" s="34">
        <v>0.29530000000000001</v>
      </c>
      <c r="R4" s="32" t="s">
        <v>59</v>
      </c>
      <c r="S4" s="33">
        <f>$C$4*(1+C$5+C$6+C$7+C$8)+C$9+C$10</f>
        <v>48976.4</v>
      </c>
      <c r="T4" s="34">
        <f>($C$5+$C$6+$C$7+$C$8)+($C$9+$C$10)/$C$4</f>
        <v>2.3092162162162202</v>
      </c>
      <c r="U4" s="34">
        <f>IF(R4=$C$1,SUM($E$4:$E$9),SUM($E$4:$E$8))</f>
        <v>0.9</v>
      </c>
      <c r="V4" s="35">
        <f>1+$G$10*($I$10-1)</f>
        <v>2.4962499999999999</v>
      </c>
      <c r="W4" s="32">
        <f>IF(R4=$C$1,$K$4+$K$5,$K$4)</f>
        <v>0.2</v>
      </c>
      <c r="X4" s="35">
        <f>$AF$4</f>
        <v>0.50927415031628598</v>
      </c>
      <c r="Y4" s="32">
        <f>$AF$11</f>
        <v>0.8</v>
      </c>
      <c r="Z4" s="36">
        <v>0</v>
      </c>
      <c r="AA4" s="36">
        <v>0</v>
      </c>
      <c r="AB4" s="36">
        <v>0</v>
      </c>
      <c r="AC4" s="15">
        <f>Q4*S4*(1+U4)*V4*(1+W4)*X4*Y4*(1+Z4)*(1+AA4)*(1+AB4)*O4</f>
        <v>33536.277216640803</v>
      </c>
      <c r="AD4" s="11">
        <f>8+(E11-1)*2</f>
        <v>8</v>
      </c>
      <c r="AE4" s="11"/>
      <c r="AF4" s="12">
        <f>1520/(1520+(792+8*AG4)*(1-AE4/100)*(1-AD4/100))</f>
        <v>0.50927415031628598</v>
      </c>
      <c r="AG4" s="23">
        <v>100</v>
      </c>
    </row>
    <row r="5" spans="2:33" ht="15.6" x14ac:dyDescent="0.25">
      <c r="B5" s="24" t="s">
        <v>33</v>
      </c>
      <c r="C5" s="26">
        <f>24%+72.2%+(E11-1)*3%</f>
        <v>0.96199999999999997</v>
      </c>
      <c r="D5" s="24" t="s">
        <v>34</v>
      </c>
      <c r="E5" s="26">
        <v>0.2</v>
      </c>
      <c r="F5" s="24" t="s">
        <v>35</v>
      </c>
      <c r="G5" s="27">
        <v>0</v>
      </c>
      <c r="H5" s="24" t="s">
        <v>35</v>
      </c>
      <c r="I5" s="27">
        <v>0</v>
      </c>
      <c r="J5" s="38" t="s">
        <v>36</v>
      </c>
      <c r="K5" s="26"/>
      <c r="L5" s="24" t="s">
        <v>120</v>
      </c>
      <c r="M5" s="25">
        <v>430</v>
      </c>
      <c r="O5" s="30">
        <v>1</v>
      </c>
      <c r="P5" s="15" t="s">
        <v>78</v>
      </c>
      <c r="Q5" s="34">
        <v>0.12479999999999999</v>
      </c>
      <c r="R5" s="32" t="s">
        <v>59</v>
      </c>
      <c r="S5" s="33">
        <f t="shared" ref="S5:S11" si="1">$C$4*(1+C$5+C$6+C$7+C$8)+C$9+C$10</f>
        <v>48976.4</v>
      </c>
      <c r="T5" s="34">
        <f t="shared" ref="T5:T16" si="2">($C$5+$C$6+$C$7+$C$8)+($C$9+$C$10)/$C$4</f>
        <v>2.3092162162162202</v>
      </c>
      <c r="U5" s="34">
        <f t="shared" ref="U5:U16" si="3">IF(R5=$C$1,SUM($E$4:$E$9),SUM($E$4:$E$8))</f>
        <v>0.9</v>
      </c>
      <c r="V5" s="35">
        <f t="shared" ref="V5:V16" si="4">1+$G$10*($I$10-1)</f>
        <v>2.4962499999999999</v>
      </c>
      <c r="W5" s="32">
        <f t="shared" ref="W5:W11" si="5">IF(R5=$C$1,$K$4+$K$5,$K$4)</f>
        <v>0.2</v>
      </c>
      <c r="X5" s="35">
        <f t="shared" ref="X5:X11" si="6">$AF$4</f>
        <v>0.50927415031628598</v>
      </c>
      <c r="Y5" s="32">
        <f t="shared" ref="Y5:Y16" si="7">$AF$11</f>
        <v>0.8</v>
      </c>
      <c r="Z5" s="36">
        <v>0</v>
      </c>
      <c r="AA5" s="36">
        <v>0</v>
      </c>
      <c r="AB5" s="36">
        <v>0</v>
      </c>
      <c r="AC5" s="15">
        <f>Q5*S5*(1+U5)*V5*(1+W5)*X5*Y5*(1+Z5)*(1+AA5)*(1+AB5)*O5</f>
        <v>14173.137137273199</v>
      </c>
      <c r="AD5" s="11">
        <v>0</v>
      </c>
      <c r="AE5" s="11"/>
      <c r="AF5" s="12">
        <f t="shared" si="0"/>
        <v>0.48843187660668402</v>
      </c>
      <c r="AG5" s="23">
        <v>100</v>
      </c>
    </row>
    <row r="6" spans="2:33" ht="15.6" x14ac:dyDescent="0.25">
      <c r="B6" s="24" t="s">
        <v>39</v>
      </c>
      <c r="C6" s="26">
        <f>22.8%*3+M4</f>
        <v>0.85599999999999998</v>
      </c>
      <c r="D6" s="24" t="s">
        <v>40</v>
      </c>
      <c r="E6" s="26">
        <v>0.4</v>
      </c>
      <c r="F6" s="24" t="s">
        <v>41</v>
      </c>
      <c r="G6" s="27">
        <v>0.1</v>
      </c>
      <c r="H6" s="24" t="s">
        <v>41</v>
      </c>
      <c r="I6" s="27"/>
      <c r="J6" s="38"/>
      <c r="K6" s="27"/>
      <c r="L6" s="24" t="s">
        <v>23</v>
      </c>
      <c r="M6" s="27">
        <f>8.1*5%</f>
        <v>0.40500000000000003</v>
      </c>
      <c r="O6" s="30">
        <v>1</v>
      </c>
      <c r="P6" s="15" t="s">
        <v>121</v>
      </c>
      <c r="Q6" s="34">
        <v>0.3387</v>
      </c>
      <c r="R6" s="32" t="s">
        <v>59</v>
      </c>
      <c r="S6" s="33">
        <f t="shared" si="1"/>
        <v>48976.4</v>
      </c>
      <c r="T6" s="34">
        <f t="shared" si="2"/>
        <v>2.3092162162162202</v>
      </c>
      <c r="U6" s="34">
        <f t="shared" si="3"/>
        <v>0.9</v>
      </c>
      <c r="V6" s="35">
        <f t="shared" si="4"/>
        <v>2.4962499999999999</v>
      </c>
      <c r="W6" s="32">
        <f t="shared" si="5"/>
        <v>0.2</v>
      </c>
      <c r="X6" s="35">
        <f t="shared" si="6"/>
        <v>0.50927415031628598</v>
      </c>
      <c r="Y6" s="32">
        <f t="shared" si="7"/>
        <v>0.8</v>
      </c>
      <c r="Z6" s="36">
        <v>0</v>
      </c>
      <c r="AA6" s="36">
        <v>0</v>
      </c>
      <c r="AB6" s="36">
        <v>0</v>
      </c>
      <c r="AC6" s="15">
        <f>Q6*S6*(1+U6)*V6*(1+W6)*X6*Y6*(1+Z6)*(1+AA6)*(1+AB6)*O6</f>
        <v>38465.076509570797</v>
      </c>
      <c r="AD6" s="11">
        <v>0</v>
      </c>
      <c r="AE6" s="11"/>
      <c r="AF6" s="12">
        <f t="shared" si="0"/>
        <v>0.48843187660668402</v>
      </c>
      <c r="AG6" s="23">
        <v>100</v>
      </c>
    </row>
    <row r="7" spans="2:33" ht="15.6" x14ac:dyDescent="0.25">
      <c r="B7" s="24" t="s">
        <v>43</v>
      </c>
      <c r="C7" s="40"/>
      <c r="D7" s="24" t="s">
        <v>44</v>
      </c>
      <c r="E7" s="26">
        <v>0.3</v>
      </c>
      <c r="F7" s="24" t="s">
        <v>39</v>
      </c>
      <c r="G7" s="27">
        <f>M6+22%</f>
        <v>0.625</v>
      </c>
      <c r="H7" s="24" t="s">
        <v>39</v>
      </c>
      <c r="I7" s="27">
        <f>M7+44%</f>
        <v>1.25</v>
      </c>
      <c r="J7" s="38"/>
      <c r="K7" s="27"/>
      <c r="L7" s="24" t="s">
        <v>45</v>
      </c>
      <c r="M7" s="26">
        <f>16.2%*5</f>
        <v>0.81</v>
      </c>
      <c r="O7" s="30">
        <v>1</v>
      </c>
      <c r="P7" s="15" t="s">
        <v>50</v>
      </c>
      <c r="Q7" s="34"/>
      <c r="R7" s="32"/>
      <c r="S7" s="33"/>
      <c r="T7" s="34"/>
      <c r="U7" s="34"/>
      <c r="V7" s="35"/>
      <c r="W7" s="32"/>
      <c r="X7" s="35"/>
      <c r="Y7" s="32"/>
      <c r="Z7" s="36"/>
      <c r="AA7" s="36"/>
      <c r="AB7" s="36"/>
      <c r="AC7" s="15">
        <v>3000</v>
      </c>
      <c r="AD7" s="11">
        <v>0</v>
      </c>
      <c r="AE7" s="11"/>
      <c r="AF7" s="12">
        <f t="shared" si="0"/>
        <v>0.48843187660668402</v>
      </c>
      <c r="AG7" s="23">
        <v>100</v>
      </c>
    </row>
    <row r="8" spans="2:33" ht="15.6" x14ac:dyDescent="0.25">
      <c r="B8" s="24" t="s">
        <v>47</v>
      </c>
      <c r="C8" s="40"/>
      <c r="D8" s="24" t="s">
        <v>48</v>
      </c>
      <c r="E8" s="25"/>
      <c r="F8" s="24" t="s">
        <v>49</v>
      </c>
      <c r="G8" s="27">
        <v>0</v>
      </c>
      <c r="H8" s="24" t="s">
        <v>49</v>
      </c>
      <c r="I8" s="27">
        <v>0</v>
      </c>
      <c r="J8" s="38"/>
      <c r="K8" s="27"/>
      <c r="L8" s="24"/>
      <c r="M8" s="25"/>
      <c r="O8" s="30">
        <v>1</v>
      </c>
      <c r="P8" s="101" t="s">
        <v>122</v>
      </c>
      <c r="Q8" s="34">
        <v>0.49609999999999999</v>
      </c>
      <c r="R8" s="32" t="s">
        <v>62</v>
      </c>
      <c r="S8" s="33">
        <f t="shared" si="1"/>
        <v>48976.4</v>
      </c>
      <c r="T8" s="34">
        <f t="shared" si="2"/>
        <v>2.3092162162162202</v>
      </c>
      <c r="U8" s="34">
        <f t="shared" si="3"/>
        <v>0.9</v>
      </c>
      <c r="V8" s="35">
        <f t="shared" si="4"/>
        <v>2.4962499999999999</v>
      </c>
      <c r="W8" s="32">
        <f t="shared" si="5"/>
        <v>0.2</v>
      </c>
      <c r="X8" s="35">
        <f t="shared" si="6"/>
        <v>0.50927415031628598</v>
      </c>
      <c r="Y8" s="32">
        <f t="shared" si="7"/>
        <v>0.8</v>
      </c>
      <c r="Z8" s="36">
        <v>0</v>
      </c>
      <c r="AA8" s="36">
        <v>0</v>
      </c>
      <c r="AB8" s="36">
        <v>0</v>
      </c>
      <c r="AC8" s="15">
        <f>Q8*S8*(1+U8)*V8*(1+W8)*X8*Y8*(1+Z8)*(1+AA8)*(1+AB8)*O8</f>
        <v>56340.491456740703</v>
      </c>
      <c r="AD8" s="11">
        <v>0</v>
      </c>
      <c r="AE8" s="11"/>
      <c r="AF8" s="12">
        <f t="shared" si="0"/>
        <v>0.48843187660668402</v>
      </c>
      <c r="AG8" s="23">
        <v>100</v>
      </c>
    </row>
    <row r="9" spans="2:33" ht="15.6" x14ac:dyDescent="0.25">
      <c r="B9" s="24" t="s">
        <v>123</v>
      </c>
      <c r="C9" s="25">
        <f>2280*3</f>
        <v>6840</v>
      </c>
      <c r="D9" s="24"/>
      <c r="E9" s="26"/>
      <c r="F9" s="24" t="s">
        <v>53</v>
      </c>
      <c r="G9" s="27">
        <v>0</v>
      </c>
      <c r="H9" s="24" t="s">
        <v>53</v>
      </c>
      <c r="I9" s="27">
        <v>0</v>
      </c>
      <c r="J9" s="38"/>
      <c r="K9" s="27"/>
      <c r="L9" s="24"/>
      <c r="M9" s="25"/>
      <c r="O9" s="30">
        <v>1</v>
      </c>
      <c r="P9" s="101" t="s">
        <v>124</v>
      </c>
      <c r="Q9" s="34">
        <f>2.13%+2.13%+2.13%+4.26%+2.74%*5+7.2%+28.8%</f>
        <v>0.60350000000000004</v>
      </c>
      <c r="R9" s="32" t="s">
        <v>59</v>
      </c>
      <c r="S9" s="33">
        <f t="shared" si="1"/>
        <v>48976.4</v>
      </c>
      <c r="T9" s="34">
        <f t="shared" si="2"/>
        <v>2.3092162162162202</v>
      </c>
      <c r="U9" s="34">
        <f t="shared" si="3"/>
        <v>0.9</v>
      </c>
      <c r="V9" s="35">
        <f t="shared" si="4"/>
        <v>2.4962499999999999</v>
      </c>
      <c r="W9" s="32">
        <f t="shared" si="5"/>
        <v>0.2</v>
      </c>
      <c r="X9" s="35">
        <f t="shared" si="6"/>
        <v>0.50927415031628598</v>
      </c>
      <c r="Y9" s="32">
        <f t="shared" si="7"/>
        <v>0.8</v>
      </c>
      <c r="Z9" s="36">
        <v>0</v>
      </c>
      <c r="AA9" s="36">
        <v>0</v>
      </c>
      <c r="AB9" s="36">
        <v>0</v>
      </c>
      <c r="AC9" s="15">
        <f>Q9*S9*(1+U9)*V9*(1+W9)*X9*Y9*(1+Z9)*(1+AA9)*(1+AB9)*O9</f>
        <v>68537.566204682502</v>
      </c>
    </row>
    <row r="10" spans="2:33" ht="15.6" x14ac:dyDescent="0.25">
      <c r="B10" s="42" t="s">
        <v>125</v>
      </c>
      <c r="C10" s="43">
        <f>M5</f>
        <v>430</v>
      </c>
      <c r="D10" s="42"/>
      <c r="E10" s="44"/>
      <c r="F10" s="45" t="s">
        <v>55</v>
      </c>
      <c r="G10" s="46">
        <f>MIN(100%,SUM(G4:G9))</f>
        <v>0.85499999999999998</v>
      </c>
      <c r="H10" s="45" t="s">
        <v>56</v>
      </c>
      <c r="I10" s="46">
        <f>SUM(I4:I9)</f>
        <v>2.75</v>
      </c>
      <c r="J10" s="47"/>
      <c r="K10" s="102"/>
      <c r="L10" s="42"/>
      <c r="M10" s="43"/>
      <c r="O10" s="30">
        <v>1</v>
      </c>
      <c r="P10" s="99" t="s">
        <v>118</v>
      </c>
      <c r="Q10" s="34">
        <v>0.50129999999999997</v>
      </c>
      <c r="R10" s="32" t="s">
        <v>59</v>
      </c>
      <c r="S10" s="33">
        <f t="shared" si="1"/>
        <v>48976.4</v>
      </c>
      <c r="T10" s="34">
        <f t="shared" si="2"/>
        <v>2.3092162162162202</v>
      </c>
      <c r="U10" s="34">
        <f t="shared" si="3"/>
        <v>0.9</v>
      </c>
      <c r="V10" s="35">
        <f t="shared" si="4"/>
        <v>2.4962499999999999</v>
      </c>
      <c r="W10" s="32">
        <f t="shared" si="5"/>
        <v>0.2</v>
      </c>
      <c r="X10" s="35">
        <f t="shared" si="6"/>
        <v>0.50927415031628598</v>
      </c>
      <c r="Y10" s="32">
        <f t="shared" si="7"/>
        <v>0.8</v>
      </c>
      <c r="Z10" s="36">
        <v>0</v>
      </c>
      <c r="AA10" s="36">
        <v>0</v>
      </c>
      <c r="AB10" s="36">
        <v>0</v>
      </c>
      <c r="AC10" s="15">
        <f>Q10*S10*(1+U10)*V10*(1+W10)*X10*Y10*(1+Z10)*(1+AA10)*(1+AB10)*O10</f>
        <v>56931.038837460401</v>
      </c>
    </row>
    <row r="11" spans="2:33" ht="15.6" x14ac:dyDescent="0.25">
      <c r="D11" s="1" t="s">
        <v>126</v>
      </c>
      <c r="E11" s="1">
        <v>1</v>
      </c>
      <c r="F11" s="13" t="s">
        <v>57</v>
      </c>
      <c r="G11" s="59">
        <f>MAX(0,SUM(G4:G9)-1)</f>
        <v>0</v>
      </c>
      <c r="J11" s="2"/>
      <c r="K11" s="2"/>
      <c r="O11" s="30">
        <v>1</v>
      </c>
      <c r="P11" s="101" t="s">
        <v>127</v>
      </c>
      <c r="Q11" s="34">
        <f>6.49%+3.63%+1.82%+1.82%+1.82%+2.13%+2.13%+2.13%+4.26%+2.74%*5+7.2%+28.8%</f>
        <v>0.75929999999999997</v>
      </c>
      <c r="R11" s="32" t="s">
        <v>59</v>
      </c>
      <c r="S11" s="33">
        <f t="shared" si="1"/>
        <v>48976.4</v>
      </c>
      <c r="T11" s="34">
        <f t="shared" si="2"/>
        <v>2.3092162162162202</v>
      </c>
      <c r="U11" s="34">
        <f t="shared" si="3"/>
        <v>0.9</v>
      </c>
      <c r="V11" s="35">
        <f t="shared" si="4"/>
        <v>2.4962499999999999</v>
      </c>
      <c r="W11" s="32">
        <f t="shared" si="5"/>
        <v>0.2</v>
      </c>
      <c r="X11" s="35">
        <f t="shared" si="6"/>
        <v>0.50927415031628598</v>
      </c>
      <c r="Y11" s="32">
        <f t="shared" si="7"/>
        <v>0.8</v>
      </c>
      <c r="Z11" s="36">
        <v>0</v>
      </c>
      <c r="AA11" s="36">
        <v>0</v>
      </c>
      <c r="AB11" s="36">
        <v>0</v>
      </c>
      <c r="AC11" s="15">
        <f>Q11*S11*(1+U11)*V11*(1+W11)*X11*Y11*(1+Z11)*(1+AA11)*(1+AB11)*O11</f>
        <v>86231.274265477099</v>
      </c>
      <c r="AE11" s="76" t="s">
        <v>60</v>
      </c>
      <c r="AF11" s="76">
        <v>0.8</v>
      </c>
    </row>
    <row r="12" spans="2:33" ht="15.6" x14ac:dyDescent="0.25">
      <c r="E12" s="58"/>
      <c r="J12" s="2"/>
      <c r="K12" s="2"/>
      <c r="O12" s="30">
        <v>1</v>
      </c>
      <c r="P12" s="104" t="s">
        <v>128</v>
      </c>
      <c r="Q12" s="105">
        <v>0.91839999999999999</v>
      </c>
      <c r="R12" s="106" t="s">
        <v>1</v>
      </c>
      <c r="S12" s="107">
        <f t="shared" ref="S12:S16" si="8">$C$4*(1+C$5+C$6+C$7+C$8)+C$9+C$10</f>
        <v>48976.4</v>
      </c>
      <c r="T12" s="105">
        <f t="shared" si="2"/>
        <v>2.3092162162162202</v>
      </c>
      <c r="U12" s="105">
        <f t="shared" si="3"/>
        <v>0.9</v>
      </c>
      <c r="V12" s="108">
        <f t="shared" si="4"/>
        <v>2.4962499999999999</v>
      </c>
      <c r="W12" s="106">
        <f>IF(R12=$C$1,$K$4+$K$5,$K$4)+60%</f>
        <v>0.8</v>
      </c>
      <c r="X12" s="108">
        <f t="shared" ref="X12:X16" si="9">$AF$4</f>
        <v>0.50927415031628598</v>
      </c>
      <c r="Y12" s="106">
        <f t="shared" si="7"/>
        <v>0.8</v>
      </c>
      <c r="Z12" s="109">
        <v>0</v>
      </c>
      <c r="AA12" s="109">
        <v>0</v>
      </c>
      <c r="AB12" s="109">
        <v>0</v>
      </c>
      <c r="AC12" s="15">
        <f t="shared" ref="AC12:AC16" si="10">Q12*S12*(1+U12)*V12*(1+W12)*X12*Y12*(1+Z12)*(1+AA12)*(1+AB12)*O12</f>
        <v>156449.62916913099</v>
      </c>
      <c r="AE12" s="71" t="s">
        <v>63</v>
      </c>
      <c r="AF12" s="71">
        <v>0.8</v>
      </c>
    </row>
    <row r="13" spans="2:33" ht="15.6" x14ac:dyDescent="0.25">
      <c r="O13" s="30">
        <v>1</v>
      </c>
      <c r="P13" s="111" t="s">
        <v>118</v>
      </c>
      <c r="Q13" s="34">
        <v>0.50129999999999997</v>
      </c>
      <c r="R13" s="32" t="s">
        <v>59</v>
      </c>
      <c r="S13" s="33">
        <f t="shared" si="8"/>
        <v>48976.4</v>
      </c>
      <c r="T13" s="34">
        <f t="shared" si="2"/>
        <v>2.3092162162162202</v>
      </c>
      <c r="U13" s="34">
        <f t="shared" si="3"/>
        <v>0.9</v>
      </c>
      <c r="V13" s="35">
        <f t="shared" si="4"/>
        <v>2.4962499999999999</v>
      </c>
      <c r="W13" s="32">
        <f>IF(R13=$C$1,$K$4+$K$5,$K$4)</f>
        <v>0.2</v>
      </c>
      <c r="X13" s="35">
        <f t="shared" si="9"/>
        <v>0.50927415031628598</v>
      </c>
      <c r="Y13" s="32">
        <f t="shared" si="7"/>
        <v>0.8</v>
      </c>
      <c r="Z13" s="36">
        <v>0</v>
      </c>
      <c r="AA13" s="36">
        <v>0</v>
      </c>
      <c r="AB13" s="36">
        <v>0</v>
      </c>
      <c r="AC13" s="15">
        <f t="shared" si="10"/>
        <v>56931.038837460401</v>
      </c>
      <c r="AE13" s="103" t="s">
        <v>65</v>
      </c>
      <c r="AF13" s="103">
        <v>0.8</v>
      </c>
    </row>
    <row r="14" spans="2:33" ht="15.6" x14ac:dyDescent="0.25">
      <c r="B14" s="75" t="s">
        <v>66</v>
      </c>
      <c r="D14" s="75"/>
      <c r="O14" s="30">
        <v>1</v>
      </c>
      <c r="P14" s="111" t="s">
        <v>62</v>
      </c>
      <c r="Q14" s="34">
        <v>0.29530000000000001</v>
      </c>
      <c r="R14" s="32" t="s">
        <v>59</v>
      </c>
      <c r="S14" s="33">
        <f t="shared" si="8"/>
        <v>48976.4</v>
      </c>
      <c r="T14" s="34">
        <f t="shared" si="2"/>
        <v>2.3092162162162202</v>
      </c>
      <c r="U14" s="34">
        <f t="shared" si="3"/>
        <v>0.9</v>
      </c>
      <c r="V14" s="35">
        <f t="shared" si="4"/>
        <v>2.4962499999999999</v>
      </c>
      <c r="W14" s="32">
        <f>IF(R14=$C$1,$K$4+$K$5,$K$4)</f>
        <v>0.2</v>
      </c>
      <c r="X14" s="35">
        <f t="shared" si="9"/>
        <v>0.50927415031628598</v>
      </c>
      <c r="Y14" s="32">
        <f t="shared" si="7"/>
        <v>0.8</v>
      </c>
      <c r="Z14" s="36">
        <v>0</v>
      </c>
      <c r="AA14" s="36">
        <v>0</v>
      </c>
      <c r="AB14" s="36">
        <v>0</v>
      </c>
      <c r="AC14" s="15">
        <f t="shared" si="10"/>
        <v>33536.277216640803</v>
      </c>
      <c r="AE14" s="74" t="s">
        <v>67</v>
      </c>
      <c r="AF14" s="74">
        <v>0.8</v>
      </c>
    </row>
    <row r="15" spans="2:33" ht="15.6" x14ac:dyDescent="0.25">
      <c r="B15" s="77"/>
      <c r="C15" s="78" t="s">
        <v>68</v>
      </c>
      <c r="D15" s="78" t="s">
        <v>69</v>
      </c>
      <c r="E15" s="78" t="s">
        <v>70</v>
      </c>
      <c r="F15" s="78" t="s">
        <v>71</v>
      </c>
      <c r="O15" s="30">
        <v>1</v>
      </c>
      <c r="P15" s="111" t="s">
        <v>78</v>
      </c>
      <c r="Q15" s="34">
        <v>0.12479999999999999</v>
      </c>
      <c r="R15" s="32" t="s">
        <v>59</v>
      </c>
      <c r="S15" s="33">
        <f t="shared" si="8"/>
        <v>48976.4</v>
      </c>
      <c r="T15" s="34">
        <f t="shared" si="2"/>
        <v>2.3092162162162202</v>
      </c>
      <c r="U15" s="34">
        <f t="shared" si="3"/>
        <v>0.9</v>
      </c>
      <c r="V15" s="35">
        <f t="shared" si="4"/>
        <v>2.4962499999999999</v>
      </c>
      <c r="W15" s="32">
        <f>IF(R15=$C$1,$K$4+$K$5,$K$4)</f>
        <v>0.2</v>
      </c>
      <c r="X15" s="35">
        <f t="shared" si="9"/>
        <v>0.50927415031628598</v>
      </c>
      <c r="Y15" s="32">
        <f t="shared" si="7"/>
        <v>0.8</v>
      </c>
      <c r="Z15" s="36">
        <v>0</v>
      </c>
      <c r="AA15" s="36">
        <v>0</v>
      </c>
      <c r="AB15" s="36">
        <v>0</v>
      </c>
      <c r="AC15" s="15">
        <f t="shared" si="10"/>
        <v>14173.137137273199</v>
      </c>
      <c r="AE15" s="110" t="s">
        <v>73</v>
      </c>
      <c r="AF15" s="110">
        <v>0.8</v>
      </c>
    </row>
    <row r="16" spans="2:33" ht="15.6" x14ac:dyDescent="0.25">
      <c r="B16" s="4" t="s">
        <v>74</v>
      </c>
      <c r="C16" s="84">
        <f>SUM(AC3:AC16)</f>
        <v>713701.059335383</v>
      </c>
      <c r="D16" s="84">
        <f>C16/$E$16</f>
        <v>25489.323547692198</v>
      </c>
      <c r="E16" s="85">
        <v>28</v>
      </c>
      <c r="F16" s="86">
        <f>C16/$C$19</f>
        <v>0.86886234263004503</v>
      </c>
      <c r="O16" s="30">
        <v>1</v>
      </c>
      <c r="P16" s="111" t="s">
        <v>121</v>
      </c>
      <c r="Q16" s="34">
        <v>0.3387</v>
      </c>
      <c r="R16" s="32" t="s">
        <v>59</v>
      </c>
      <c r="S16" s="33">
        <f t="shared" si="8"/>
        <v>48976.4</v>
      </c>
      <c r="T16" s="34">
        <f t="shared" si="2"/>
        <v>2.3092162162162202</v>
      </c>
      <c r="U16" s="34">
        <f t="shared" si="3"/>
        <v>0.9</v>
      </c>
      <c r="V16" s="35">
        <f t="shared" si="4"/>
        <v>2.4962499999999999</v>
      </c>
      <c r="W16" s="32">
        <f>IF(R16=$C$1,$K$4+$K$5,$K$4)</f>
        <v>0.2</v>
      </c>
      <c r="X16" s="35">
        <f t="shared" si="9"/>
        <v>0.50927415031628598</v>
      </c>
      <c r="Y16" s="32">
        <f t="shared" si="7"/>
        <v>0.8</v>
      </c>
      <c r="Z16" s="36">
        <v>0</v>
      </c>
      <c r="AA16" s="36">
        <v>0</v>
      </c>
      <c r="AB16" s="36">
        <v>0</v>
      </c>
      <c r="AC16" s="15">
        <f t="shared" si="10"/>
        <v>38465.076509570797</v>
      </c>
      <c r="AE16" s="78" t="s">
        <v>76</v>
      </c>
      <c r="AF16" s="78">
        <v>0.8</v>
      </c>
    </row>
    <row r="17" spans="2:32" ht="15.6" x14ac:dyDescent="0.25">
      <c r="B17" s="4" t="s">
        <v>77</v>
      </c>
      <c r="C17" s="84">
        <f>AC21</f>
        <v>68956.890488431905</v>
      </c>
      <c r="D17" s="84">
        <f>C17/$E$16</f>
        <v>2462.74608887257</v>
      </c>
      <c r="E17" s="85"/>
      <c r="F17" s="86">
        <f>C17/$C$19</f>
        <v>8.3948376742015704E-2</v>
      </c>
      <c r="J17" s="34"/>
      <c r="Q17" s="1"/>
      <c r="U17" s="1"/>
      <c r="V17" s="1"/>
      <c r="AB17" s="1"/>
      <c r="AC17" s="1"/>
    </row>
    <row r="18" spans="2:32" ht="15.6" x14ac:dyDescent="0.25">
      <c r="B18" s="4" t="s">
        <v>129</v>
      </c>
      <c r="C18" s="84">
        <f>AC24</f>
        <v>38762.227249357296</v>
      </c>
      <c r="D18" s="84">
        <f>C18/$E$16</f>
        <v>1384.3652589056201</v>
      </c>
      <c r="E18" s="85"/>
      <c r="F18" s="86"/>
      <c r="O18" s="60">
        <f t="shared" ref="O18:O20" si="11">$O$21</f>
        <v>1</v>
      </c>
      <c r="P18" s="62" t="s">
        <v>81</v>
      </c>
      <c r="Q18" s="61">
        <v>18.807500000000001</v>
      </c>
      <c r="R18" s="62" t="s">
        <v>82</v>
      </c>
      <c r="S18" s="62">
        <v>10027</v>
      </c>
      <c r="T18" s="61">
        <v>0</v>
      </c>
      <c r="U18" s="61">
        <v>0</v>
      </c>
      <c r="V18" s="63">
        <v>1</v>
      </c>
      <c r="W18" s="62">
        <v>0</v>
      </c>
      <c r="X18" s="63">
        <f t="shared" ref="X18:X21" si="12">$AF$3</f>
        <v>0.48843187660668402</v>
      </c>
      <c r="Y18" s="62">
        <f t="shared" ref="Y18:Y21" si="13">$AF$18</f>
        <v>0.8</v>
      </c>
      <c r="Z18" s="64">
        <v>0</v>
      </c>
      <c r="AA18" s="64">
        <v>0</v>
      </c>
      <c r="AB18" s="29">
        <v>0.5</v>
      </c>
      <c r="AC18" s="112">
        <f t="shared" ref="AC18:AC21" si="14">Q18*S18*(1+T18)*(1+U18)*V18*(1+W18)*X18*Y18*(1+Z18)*(1+AA18)*(1+AB18)*O18</f>
        <v>110531.82254498699</v>
      </c>
      <c r="AE18" s="1" t="s">
        <v>80</v>
      </c>
      <c r="AF18" s="1">
        <v>0.8</v>
      </c>
    </row>
    <row r="19" spans="2:32" ht="15.6" x14ac:dyDescent="0.25">
      <c r="B19" s="4" t="s">
        <v>79</v>
      </c>
      <c r="C19" s="87">
        <f>SUM(C16:C18)</f>
        <v>821420.17707317194</v>
      </c>
      <c r="D19" s="87">
        <f>C19/E16</f>
        <v>29336.4348954704</v>
      </c>
      <c r="E19" s="88"/>
      <c r="F19" s="89"/>
      <c r="O19" s="24">
        <f t="shared" si="11"/>
        <v>1</v>
      </c>
      <c r="P19" s="1" t="s">
        <v>83</v>
      </c>
      <c r="Q19" s="2">
        <v>2.9822000000000002</v>
      </c>
      <c r="R19" s="1" t="s">
        <v>82</v>
      </c>
      <c r="S19" s="1">
        <v>10027</v>
      </c>
      <c r="T19" s="2">
        <v>0</v>
      </c>
      <c r="U19" s="2">
        <v>0</v>
      </c>
      <c r="V19" s="69">
        <v>1</v>
      </c>
      <c r="W19" s="1">
        <v>0</v>
      </c>
      <c r="X19" s="69">
        <f t="shared" si="12"/>
        <v>0.48843187660668402</v>
      </c>
      <c r="Y19" s="1">
        <f t="shared" si="13"/>
        <v>0.8</v>
      </c>
      <c r="Z19" s="58">
        <v>0</v>
      </c>
      <c r="AA19" s="58">
        <v>0</v>
      </c>
      <c r="AB19" s="26">
        <v>0.5</v>
      </c>
      <c r="AC19" s="112">
        <f t="shared" si="14"/>
        <v>17526.412398971701</v>
      </c>
    </row>
    <row r="20" spans="2:32" ht="15.6" x14ac:dyDescent="0.25">
      <c r="B20" s="4"/>
      <c r="C20" s="4"/>
      <c r="D20" s="4"/>
      <c r="O20" s="24">
        <f t="shared" si="11"/>
        <v>1</v>
      </c>
      <c r="P20" s="1" t="s">
        <v>85</v>
      </c>
      <c r="Q20" s="2">
        <v>5.9642999999999997</v>
      </c>
      <c r="R20" s="1" t="s">
        <v>82</v>
      </c>
      <c r="S20" s="1">
        <v>10027</v>
      </c>
      <c r="T20" s="2">
        <v>0</v>
      </c>
      <c r="U20" s="2">
        <v>0</v>
      </c>
      <c r="V20" s="69">
        <v>1</v>
      </c>
      <c r="W20" s="1">
        <v>0</v>
      </c>
      <c r="X20" s="69">
        <f t="shared" si="12"/>
        <v>0.48843187660668402</v>
      </c>
      <c r="Y20" s="1">
        <f t="shared" si="13"/>
        <v>0.8</v>
      </c>
      <c r="Z20" s="58">
        <v>0</v>
      </c>
      <c r="AA20" s="58">
        <v>0</v>
      </c>
      <c r="AB20" s="26">
        <v>0.5</v>
      </c>
      <c r="AC20" s="113">
        <f t="shared" si="14"/>
        <v>35052.237097172198</v>
      </c>
    </row>
    <row r="21" spans="2:32" ht="15.6" x14ac:dyDescent="0.25">
      <c r="B21" s="4"/>
      <c r="C21" s="4"/>
      <c r="D21" s="4"/>
      <c r="F21" s="4"/>
      <c r="O21" s="13">
        <v>1</v>
      </c>
      <c r="P21" s="114" t="s">
        <v>77</v>
      </c>
      <c r="Q21" s="115">
        <v>16</v>
      </c>
      <c r="R21" s="114" t="s">
        <v>86</v>
      </c>
      <c r="S21" s="114">
        <v>10027</v>
      </c>
      <c r="T21" s="115">
        <v>0</v>
      </c>
      <c r="U21" s="115">
        <v>0</v>
      </c>
      <c r="V21" s="116">
        <v>1</v>
      </c>
      <c r="W21" s="114">
        <v>0</v>
      </c>
      <c r="X21" s="116">
        <f t="shared" si="12"/>
        <v>0.48843187660668402</v>
      </c>
      <c r="Y21" s="114">
        <f t="shared" si="13"/>
        <v>0.8</v>
      </c>
      <c r="Z21" s="117">
        <v>0</v>
      </c>
      <c r="AA21" s="117">
        <v>0</v>
      </c>
      <c r="AB21" s="118">
        <v>0.1</v>
      </c>
      <c r="AC21" s="119">
        <f t="shared" si="14"/>
        <v>68956.890488431905</v>
      </c>
    </row>
    <row r="22" spans="2:32" x14ac:dyDescent="0.25">
      <c r="B22" s="1" t="s">
        <v>130</v>
      </c>
      <c r="F22" s="4"/>
    </row>
    <row r="23" spans="2:32" x14ac:dyDescent="0.25">
      <c r="N23" s="60" t="s">
        <v>91</v>
      </c>
      <c r="O23" s="62" t="s">
        <v>4</v>
      </c>
      <c r="P23" s="62"/>
      <c r="Q23" s="61"/>
      <c r="R23" s="62"/>
      <c r="S23" s="62"/>
      <c r="T23" s="62"/>
      <c r="U23" s="61"/>
      <c r="V23" s="120"/>
      <c r="W23" s="62"/>
      <c r="X23" s="62"/>
      <c r="Y23" s="62"/>
      <c r="Z23" s="62"/>
      <c r="AA23" s="62"/>
      <c r="AB23" s="121"/>
      <c r="AC23" s="122"/>
    </row>
    <row r="24" spans="2:32" ht="15.6" x14ac:dyDescent="0.25">
      <c r="B24" s="4"/>
      <c r="C24" s="4"/>
      <c r="D24" s="4"/>
      <c r="F24" s="4"/>
      <c r="N24" s="24">
        <v>3</v>
      </c>
      <c r="O24" s="1">
        <v>12</v>
      </c>
      <c r="P24" s="103" t="s">
        <v>87</v>
      </c>
      <c r="Q24" s="123">
        <f>IF(N24&gt;0,(MAX(45%,112.5%+112.5%*(N24-2))),(IF(N24&lt;=0,0)))</f>
        <v>2.25</v>
      </c>
      <c r="R24" s="103" t="s">
        <v>87</v>
      </c>
      <c r="S24" s="124">
        <v>3674.1</v>
      </c>
      <c r="T24" s="125">
        <v>0</v>
      </c>
      <c r="U24" s="125">
        <v>0</v>
      </c>
      <c r="V24" s="126">
        <v>1</v>
      </c>
      <c r="W24" s="103">
        <v>0</v>
      </c>
      <c r="X24" s="126">
        <f t="shared" ref="X24:X27" si="15">$AF$3</f>
        <v>0.48843187660668402</v>
      </c>
      <c r="Y24" s="103">
        <f>$AF$13</f>
        <v>0.8</v>
      </c>
      <c r="Z24" s="127">
        <v>0</v>
      </c>
      <c r="AA24" s="127">
        <v>0</v>
      </c>
      <c r="AB24" s="127">
        <v>0</v>
      </c>
      <c r="AC24" s="128">
        <f>Q24*S24*(1+T24)*(1+U24)*V24*(1+W24)*X24*Y24*(1+Z24)*(1+AA24)*(1+AB24)*O24</f>
        <v>38762.227249357296</v>
      </c>
    </row>
    <row r="25" spans="2:32" ht="15.6" x14ac:dyDescent="0.25">
      <c r="B25" s="4"/>
      <c r="C25" s="4"/>
      <c r="D25" s="4"/>
      <c r="F25" s="4"/>
      <c r="G25" s="1"/>
      <c r="N25" s="24">
        <v>10</v>
      </c>
      <c r="O25" s="1">
        <v>1</v>
      </c>
      <c r="P25" s="76" t="s">
        <v>88</v>
      </c>
      <c r="Q25" s="129">
        <f>IF(N25=1,0.3,IF(AND(N25&gt;=2,N25&lt;=10),0.3+0.2439*(N25-1),IF(AND(N25&gt;=11),2.4951+0.8317*(N25-10),IF(AND(N25&lt;=0),0,""))))</f>
        <v>2.4950999999999999</v>
      </c>
      <c r="R25" s="76" t="s">
        <v>88</v>
      </c>
      <c r="S25" s="130">
        <v>3674.1</v>
      </c>
      <c r="T25" s="131">
        <v>0</v>
      </c>
      <c r="U25" s="131">
        <v>0</v>
      </c>
      <c r="V25" s="132">
        <v>1</v>
      </c>
      <c r="W25" s="76">
        <v>0</v>
      </c>
      <c r="X25" s="132">
        <f t="shared" si="15"/>
        <v>0.48843187660668402</v>
      </c>
      <c r="Y25" s="76">
        <f>$AF$11</f>
        <v>0.8</v>
      </c>
      <c r="Z25" s="133">
        <v>0</v>
      </c>
      <c r="AA25" s="133">
        <v>0</v>
      </c>
      <c r="AB25" s="133">
        <v>0</v>
      </c>
      <c r="AC25" s="134">
        <f t="shared" ref="AC25:AC27" si="16">Q25*S25*(1+T25)*(1+U25)*V25*(1+W25)*X25*Y25*(1+Z25)*(1+AA25)*(1+AB25)*O25</f>
        <v>3582.0604892545002</v>
      </c>
    </row>
    <row r="26" spans="2:32" ht="15.6" x14ac:dyDescent="0.25">
      <c r="N26" s="24">
        <v>13</v>
      </c>
      <c r="O26" s="1">
        <v>1</v>
      </c>
      <c r="P26" s="110" t="s">
        <v>89</v>
      </c>
      <c r="Q26" s="135">
        <f>IF(N26=1,24.5%,IF(AND(10&gt;=N26,N26&gt;=2),24.5%+(N26-1)*19.9185%,IF(AND(13&gt;=N26,N26&gt;=11),203.77%+(N26-10)*(271.69%-203.77%),"")))</f>
        <v>4.0753000000000004</v>
      </c>
      <c r="R26" s="110" t="s">
        <v>89</v>
      </c>
      <c r="S26" s="136">
        <v>3674.1</v>
      </c>
      <c r="T26" s="137">
        <v>0</v>
      </c>
      <c r="U26" s="137">
        <v>0</v>
      </c>
      <c r="V26" s="138">
        <v>1</v>
      </c>
      <c r="W26" s="110">
        <v>0</v>
      </c>
      <c r="X26" s="138">
        <f t="shared" si="15"/>
        <v>0.48843187660668402</v>
      </c>
      <c r="Y26" s="110">
        <f>$AF$15</f>
        <v>0.8</v>
      </c>
      <c r="Z26" s="139">
        <v>0</v>
      </c>
      <c r="AA26" s="139">
        <v>0</v>
      </c>
      <c r="AB26" s="139">
        <v>0</v>
      </c>
      <c r="AC26" s="140">
        <f t="shared" si="16"/>
        <v>5850.6557299742899</v>
      </c>
    </row>
    <row r="27" spans="2:32" ht="15.6" x14ac:dyDescent="0.25">
      <c r="B27" s="4"/>
      <c r="C27" s="4"/>
      <c r="D27" s="4"/>
      <c r="F27" s="4"/>
      <c r="N27" s="42">
        <v>13</v>
      </c>
      <c r="O27" s="79">
        <v>1</v>
      </c>
      <c r="P27" s="141" t="s">
        <v>90</v>
      </c>
      <c r="Q27" s="142">
        <f>IF(N27=1,0.84,IF(N27=2,1.5229,IF(N27=3,2.2058,IF(N27=4,2.8888,IF(N27=5,3.5717,IF(N27=6,4.2546,IF(N27=7,4.9375,IF(N27=8,5.6204,IF(N27=9,6.3034,IF(N27=10,6.9863,IF(N27=11,9.315,IF(N27=12,11.6438,IF(N27=13,13.9726,"")))))))))))))</f>
        <v>13.9726</v>
      </c>
      <c r="R27" s="141" t="s">
        <v>90</v>
      </c>
      <c r="S27" s="143">
        <v>3674.1</v>
      </c>
      <c r="T27" s="144">
        <v>0</v>
      </c>
      <c r="U27" s="144">
        <v>0</v>
      </c>
      <c r="V27" s="145">
        <v>1</v>
      </c>
      <c r="W27" s="141">
        <v>0</v>
      </c>
      <c r="X27" s="145">
        <f t="shared" si="15"/>
        <v>0.48843187660668402</v>
      </c>
      <c r="Y27" s="141">
        <f>$AF$16</f>
        <v>0.8</v>
      </c>
      <c r="Z27" s="146">
        <v>0</v>
      </c>
      <c r="AA27" s="146">
        <v>0</v>
      </c>
      <c r="AB27" s="146">
        <v>0</v>
      </c>
      <c r="AC27" s="147">
        <f t="shared" si="16"/>
        <v>20059.596165347</v>
      </c>
    </row>
    <row r="28" spans="2:32" x14ac:dyDescent="0.25">
      <c r="B28" s="4"/>
      <c r="C28" s="4"/>
      <c r="D28" s="4"/>
      <c r="F28" s="4"/>
    </row>
    <row r="30" spans="2:32" x14ac:dyDescent="0.25">
      <c r="B30" s="4"/>
      <c r="C30" s="4"/>
      <c r="D30" s="4"/>
      <c r="F30" s="4"/>
    </row>
    <row r="31" spans="2:32" x14ac:dyDescent="0.25">
      <c r="B31" s="4"/>
      <c r="C31" s="4"/>
      <c r="D31" s="4"/>
    </row>
    <row r="33" spans="2:4" x14ac:dyDescent="0.25">
      <c r="B33" s="4"/>
      <c r="C33" s="4"/>
      <c r="D33" s="4"/>
    </row>
  </sheetData>
  <mergeCells count="7">
    <mergeCell ref="B2:M2"/>
    <mergeCell ref="B3:C3"/>
    <mergeCell ref="D3:E3"/>
    <mergeCell ref="F3:G3"/>
    <mergeCell ref="H3:I3"/>
    <mergeCell ref="J3:K3"/>
    <mergeCell ref="L3:M3"/>
  </mergeCells>
  <phoneticPr fontId="10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G33"/>
  <sheetViews>
    <sheetView topLeftCell="L1" workbookViewId="0">
      <selection activeCell="S24" sqref="S24"/>
    </sheetView>
  </sheetViews>
  <sheetFormatPr defaultColWidth="9.6640625" defaultRowHeight="14.4" x14ac:dyDescent="0.25"/>
  <cols>
    <col min="1" max="1" width="9.6640625" style="1"/>
    <col min="2" max="2" width="15.44140625" style="1" customWidth="1"/>
    <col min="3" max="3" width="10" style="1" customWidth="1"/>
    <col min="4" max="4" width="11.77734375" style="1" customWidth="1"/>
    <col min="5" max="5" width="5.5546875" style="1" customWidth="1"/>
    <col min="6" max="6" width="11.77734375" style="1" customWidth="1"/>
    <col min="7" max="7" width="7.5546875" style="2" customWidth="1"/>
    <col min="8" max="8" width="14" style="1" customWidth="1"/>
    <col min="9" max="9" width="8.5546875" style="1" customWidth="1"/>
    <col min="10" max="10" width="11.77734375" style="1" customWidth="1"/>
    <col min="11" max="11" width="4.5546875" style="1" customWidth="1"/>
    <col min="12" max="12" width="9.5546875" style="1" customWidth="1"/>
    <col min="13" max="13" width="7.5546875" style="1" customWidth="1"/>
    <col min="14" max="14" width="5.5546875" style="1" customWidth="1"/>
    <col min="15" max="15" width="6.21875" style="1" customWidth="1"/>
    <col min="16" max="16" width="21.21875" style="1" customWidth="1"/>
    <col min="17" max="17" width="9.5546875" style="2" customWidth="1"/>
    <col min="18" max="18" width="6.21875" style="1" customWidth="1"/>
    <col min="19" max="19" width="11" style="1" customWidth="1"/>
    <col min="20" max="20" width="8.5546875" style="1" customWidth="1"/>
    <col min="21" max="21" width="8.5546875" style="2" customWidth="1"/>
    <col min="22" max="22" width="8.5546875" style="3" customWidth="1"/>
    <col min="23" max="25" width="8.5546875" style="1" customWidth="1"/>
    <col min="26" max="26" width="11" style="1" customWidth="1"/>
    <col min="27" max="27" width="8.5546875" style="1" customWidth="1"/>
    <col min="28" max="28" width="11" style="4" customWidth="1"/>
    <col min="29" max="29" width="10" style="4" customWidth="1"/>
    <col min="30" max="30" width="9.5546875" style="1" customWidth="1"/>
    <col min="31" max="31" width="5.5546875" style="1" customWidth="1"/>
    <col min="32" max="32" width="8.5546875" style="1" customWidth="1"/>
    <col min="33" max="33" width="9.5546875" style="1" customWidth="1"/>
    <col min="34" max="16384" width="9.6640625" style="1"/>
  </cols>
  <sheetData>
    <row r="1" spans="2:33" x14ac:dyDescent="0.25">
      <c r="B1" s="5" t="s">
        <v>0</v>
      </c>
      <c r="C1" s="5" t="s">
        <v>59</v>
      </c>
      <c r="D1" s="6" t="s">
        <v>2</v>
      </c>
      <c r="E1" s="6">
        <v>2</v>
      </c>
      <c r="G1" s="1"/>
    </row>
    <row r="2" spans="2:33" ht="15.6" x14ac:dyDescent="0.25">
      <c r="B2" s="199" t="s">
        <v>3</v>
      </c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1"/>
      <c r="O2" s="93" t="s">
        <v>4</v>
      </c>
      <c r="P2" s="94" t="s">
        <v>5</v>
      </c>
      <c r="Q2" s="95" t="s">
        <v>6</v>
      </c>
      <c r="R2" s="94" t="s">
        <v>7</v>
      </c>
      <c r="S2" s="94" t="s">
        <v>116</v>
      </c>
      <c r="T2" s="94" t="s">
        <v>117</v>
      </c>
      <c r="U2" s="95" t="s">
        <v>10</v>
      </c>
      <c r="V2" s="96" t="s">
        <v>11</v>
      </c>
      <c r="W2" s="94" t="s">
        <v>12</v>
      </c>
      <c r="X2" s="94" t="s">
        <v>13</v>
      </c>
      <c r="Y2" s="94" t="s">
        <v>14</v>
      </c>
      <c r="Z2" s="94" t="s">
        <v>15</v>
      </c>
      <c r="AA2" s="94" t="s">
        <v>16</v>
      </c>
      <c r="AB2" s="97" t="s">
        <v>17</v>
      </c>
      <c r="AC2" s="98" t="s">
        <v>18</v>
      </c>
      <c r="AD2" s="11" t="s">
        <v>19</v>
      </c>
      <c r="AE2" s="11" t="s">
        <v>20</v>
      </c>
      <c r="AF2" s="12" t="s">
        <v>13</v>
      </c>
      <c r="AG2" s="12" t="s">
        <v>21</v>
      </c>
    </row>
    <row r="3" spans="2:33" ht="15.6" x14ac:dyDescent="0.25">
      <c r="B3" s="202" t="s">
        <v>22</v>
      </c>
      <c r="C3" s="203"/>
      <c r="D3" s="202" t="s">
        <v>10</v>
      </c>
      <c r="E3" s="203"/>
      <c r="F3" s="202" t="s">
        <v>23</v>
      </c>
      <c r="G3" s="203"/>
      <c r="H3" s="202" t="s">
        <v>24</v>
      </c>
      <c r="I3" s="203"/>
      <c r="J3" s="202" t="s">
        <v>12</v>
      </c>
      <c r="K3" s="203"/>
      <c r="L3" s="202" t="s">
        <v>25</v>
      </c>
      <c r="M3" s="203"/>
      <c r="O3" s="30">
        <v>1</v>
      </c>
      <c r="P3" s="99" t="s">
        <v>118</v>
      </c>
      <c r="Q3" s="34">
        <v>0.50129999999999997</v>
      </c>
      <c r="R3" s="32" t="s">
        <v>59</v>
      </c>
      <c r="S3" s="33">
        <f t="shared" ref="S3:S6" si="0">$C$4*(1+C$5+C$6+C$7+C$8)+C$9+C$10</f>
        <v>48976.4</v>
      </c>
      <c r="T3" s="34">
        <f t="shared" ref="T3:T6" si="1">($C$5+$C$6+$C$7+$C$8)+($C$9+$C$10)/$C$4</f>
        <v>2.3092162162162202</v>
      </c>
      <c r="U3" s="34">
        <f t="shared" ref="U3:U6" si="2">IF(R3=$C$1,SUM($E$4:$E$9),SUM($E$4:$E$8))</f>
        <v>1.2</v>
      </c>
      <c r="V3" s="35">
        <f t="shared" ref="V3:V6" si="3">1+$G$10*($I$10-1)</f>
        <v>2.4962499999999999</v>
      </c>
      <c r="W3" s="32">
        <f t="shared" ref="W3:W6" si="4">IF(R3=$C$1,$K$4+$K$5,$K$4)</f>
        <v>0.2</v>
      </c>
      <c r="X3" s="35">
        <f t="shared" ref="X3:X6" si="5">$AF$4</f>
        <v>0.50927415031628598</v>
      </c>
      <c r="Y3" s="32">
        <f t="shared" ref="Y3:Y6" si="6">$AF$11</f>
        <v>0.8</v>
      </c>
      <c r="Z3" s="36">
        <v>0.5</v>
      </c>
      <c r="AA3" s="36">
        <v>0</v>
      </c>
      <c r="AB3" s="36">
        <v>0</v>
      </c>
      <c r="AC3" s="15">
        <f>Q3*S3*(1+U3)*V3*(1+W3)*X3*Y3*(1+Z3)*(1+AA3)*(1+AB3)*O3</f>
        <v>98880.2253492733</v>
      </c>
      <c r="AD3" s="11">
        <v>0</v>
      </c>
      <c r="AE3" s="11">
        <v>0</v>
      </c>
      <c r="AF3" s="12">
        <f t="shared" ref="AF3:AF8" si="7">1520/(1520+(792+8*AG3)*(1-AE3/100))</f>
        <v>0.48843187660668402</v>
      </c>
      <c r="AG3" s="23">
        <v>100</v>
      </c>
    </row>
    <row r="4" spans="2:33" ht="15.6" x14ac:dyDescent="0.25">
      <c r="B4" s="24" t="s">
        <v>27</v>
      </c>
      <c r="C4" s="25">
        <v>14800</v>
      </c>
      <c r="D4" s="24" t="s">
        <v>28</v>
      </c>
      <c r="E4" s="26">
        <v>0</v>
      </c>
      <c r="F4" s="24" t="s">
        <v>29</v>
      </c>
      <c r="G4" s="27">
        <v>0.13</v>
      </c>
      <c r="H4" s="24" t="s">
        <v>29</v>
      </c>
      <c r="I4" s="27">
        <v>1.5</v>
      </c>
      <c r="J4" s="100" t="s">
        <v>30</v>
      </c>
      <c r="K4" s="26">
        <f>20%+(E11-1)*5%</f>
        <v>0.2</v>
      </c>
      <c r="L4" s="24" t="s">
        <v>119</v>
      </c>
      <c r="M4" s="27">
        <f>8.6%*2</f>
        <v>0.17199999999999999</v>
      </c>
      <c r="O4" s="30">
        <v>1</v>
      </c>
      <c r="P4" s="15" t="s">
        <v>62</v>
      </c>
      <c r="Q4" s="34">
        <v>0.29530000000000001</v>
      </c>
      <c r="R4" s="32" t="s">
        <v>59</v>
      </c>
      <c r="S4" s="33">
        <f t="shared" si="0"/>
        <v>48976.4</v>
      </c>
      <c r="T4" s="34">
        <f t="shared" si="1"/>
        <v>2.3092162162162202</v>
      </c>
      <c r="U4" s="34">
        <f t="shared" si="2"/>
        <v>1.2</v>
      </c>
      <c r="V4" s="35">
        <f t="shared" si="3"/>
        <v>2.4962499999999999</v>
      </c>
      <c r="W4" s="32">
        <f t="shared" si="4"/>
        <v>0.2</v>
      </c>
      <c r="X4" s="35">
        <f t="shared" si="5"/>
        <v>0.50927415031628598</v>
      </c>
      <c r="Y4" s="32">
        <f t="shared" si="6"/>
        <v>0.8</v>
      </c>
      <c r="Z4" s="36">
        <v>0</v>
      </c>
      <c r="AA4" s="36">
        <v>0</v>
      </c>
      <c r="AB4" s="36">
        <v>0</v>
      </c>
      <c r="AC4" s="15">
        <f>Q4*S4*(1+U4)*V4*(1+W4)*X4*Y4*(1+Z4)*(1+AA4)*(1+AB4)*O4</f>
        <v>38831.4788824262</v>
      </c>
      <c r="AD4" s="11">
        <f>8+(E11-1)*2</f>
        <v>8</v>
      </c>
      <c r="AE4" s="11"/>
      <c r="AF4" s="12">
        <f>1520/(1520+(792+8*AG4)*(1-AE4/100)*(1-AD4/100))</f>
        <v>0.50927415031628598</v>
      </c>
      <c r="AG4" s="23">
        <v>100</v>
      </c>
    </row>
    <row r="5" spans="2:33" ht="15.6" x14ac:dyDescent="0.25">
      <c r="B5" s="24" t="s">
        <v>33</v>
      </c>
      <c r="C5" s="26">
        <f>24%+72.2%+(E11-1)*3%</f>
        <v>0.96199999999999997</v>
      </c>
      <c r="D5" s="24" t="s">
        <v>34</v>
      </c>
      <c r="E5" s="26">
        <v>0.2</v>
      </c>
      <c r="F5" s="24" t="s">
        <v>35</v>
      </c>
      <c r="G5" s="27">
        <v>0</v>
      </c>
      <c r="H5" s="24" t="s">
        <v>35</v>
      </c>
      <c r="I5" s="27">
        <v>0</v>
      </c>
      <c r="J5" s="38" t="s">
        <v>36</v>
      </c>
      <c r="K5" s="26"/>
      <c r="L5" s="24" t="s">
        <v>120</v>
      </c>
      <c r="M5" s="25">
        <v>430</v>
      </c>
      <c r="O5" s="30">
        <v>1</v>
      </c>
      <c r="P5" s="15" t="s">
        <v>78</v>
      </c>
      <c r="Q5" s="34">
        <v>0.12479999999999999</v>
      </c>
      <c r="R5" s="32" t="s">
        <v>59</v>
      </c>
      <c r="S5" s="33">
        <f t="shared" si="0"/>
        <v>48976.4</v>
      </c>
      <c r="T5" s="34">
        <f t="shared" si="1"/>
        <v>2.3092162162162202</v>
      </c>
      <c r="U5" s="34">
        <f t="shared" si="2"/>
        <v>1.2</v>
      </c>
      <c r="V5" s="35">
        <f t="shared" si="3"/>
        <v>2.4962499999999999</v>
      </c>
      <c r="W5" s="32">
        <f t="shared" si="4"/>
        <v>0.2</v>
      </c>
      <c r="X5" s="35">
        <f t="shared" si="5"/>
        <v>0.50927415031628598</v>
      </c>
      <c r="Y5" s="32">
        <f t="shared" si="6"/>
        <v>0.8</v>
      </c>
      <c r="Z5" s="36">
        <v>0.5</v>
      </c>
      <c r="AA5" s="36">
        <v>0</v>
      </c>
      <c r="AB5" s="36">
        <v>0</v>
      </c>
      <c r="AC5" s="15">
        <f t="shared" ref="AC5:AC16" si="8">Q5*S5*(1+U5)*V5*(1+W5)*X5*Y5*(1+Z5)*(1+AA5)*(1+AB5)*O5</f>
        <v>24616.501343684999</v>
      </c>
      <c r="AD5" s="11">
        <v>0</v>
      </c>
      <c r="AE5" s="11"/>
      <c r="AF5" s="12">
        <f t="shared" si="7"/>
        <v>0.48843187660668402</v>
      </c>
      <c r="AG5" s="23">
        <v>100</v>
      </c>
    </row>
    <row r="6" spans="2:33" ht="15.6" x14ac:dyDescent="0.25">
      <c r="B6" s="24" t="s">
        <v>39</v>
      </c>
      <c r="C6" s="26">
        <f>22.8%*3+M4</f>
        <v>0.85599999999999998</v>
      </c>
      <c r="D6" s="24" t="s">
        <v>40</v>
      </c>
      <c r="E6" s="26">
        <v>0.4</v>
      </c>
      <c r="F6" s="24" t="s">
        <v>41</v>
      </c>
      <c r="G6" s="27">
        <v>0.1</v>
      </c>
      <c r="H6" s="24" t="s">
        <v>41</v>
      </c>
      <c r="I6" s="27"/>
      <c r="J6" s="38"/>
      <c r="K6" s="27"/>
      <c r="L6" s="24" t="s">
        <v>23</v>
      </c>
      <c r="M6" s="27">
        <f>8.1*5%</f>
        <v>0.40500000000000003</v>
      </c>
      <c r="O6" s="30">
        <v>1</v>
      </c>
      <c r="P6" s="15" t="s">
        <v>121</v>
      </c>
      <c r="Q6" s="34">
        <v>0.3387</v>
      </c>
      <c r="R6" s="32" t="s">
        <v>59</v>
      </c>
      <c r="S6" s="33">
        <f t="shared" si="0"/>
        <v>48976.4</v>
      </c>
      <c r="T6" s="34">
        <f t="shared" si="1"/>
        <v>2.3092162162162202</v>
      </c>
      <c r="U6" s="34">
        <f t="shared" si="2"/>
        <v>1.2</v>
      </c>
      <c r="V6" s="35">
        <f t="shared" si="3"/>
        <v>2.4962499999999999</v>
      </c>
      <c r="W6" s="32">
        <f t="shared" si="4"/>
        <v>0.2</v>
      </c>
      <c r="X6" s="35">
        <f t="shared" si="5"/>
        <v>0.50927415031628598</v>
      </c>
      <c r="Y6" s="32">
        <f t="shared" si="6"/>
        <v>0.8</v>
      </c>
      <c r="Z6" s="36">
        <v>2</v>
      </c>
      <c r="AA6" s="36">
        <v>0</v>
      </c>
      <c r="AB6" s="36">
        <v>0</v>
      </c>
      <c r="AC6" s="15">
        <f t="shared" si="8"/>
        <v>133615.52892798299</v>
      </c>
      <c r="AD6" s="11">
        <v>0</v>
      </c>
      <c r="AE6" s="11"/>
      <c r="AF6" s="12">
        <f t="shared" si="7"/>
        <v>0.48843187660668402</v>
      </c>
      <c r="AG6" s="23">
        <v>100</v>
      </c>
    </row>
    <row r="7" spans="2:33" ht="15.6" x14ac:dyDescent="0.25">
      <c r="B7" s="24" t="s">
        <v>43</v>
      </c>
      <c r="C7" s="40"/>
      <c r="D7" s="24" t="s">
        <v>44</v>
      </c>
      <c r="E7" s="26">
        <v>0.6</v>
      </c>
      <c r="F7" s="24" t="s">
        <v>39</v>
      </c>
      <c r="G7" s="27">
        <f>M6+22%</f>
        <v>0.625</v>
      </c>
      <c r="H7" s="24" t="s">
        <v>39</v>
      </c>
      <c r="I7" s="27">
        <f>M7+44%</f>
        <v>1.25</v>
      </c>
      <c r="J7" s="38"/>
      <c r="K7" s="27"/>
      <c r="L7" s="24" t="s">
        <v>45</v>
      </c>
      <c r="M7" s="26">
        <f>16.2%*5</f>
        <v>0.81</v>
      </c>
      <c r="O7" s="30">
        <v>1</v>
      </c>
      <c r="P7" s="15" t="s">
        <v>50</v>
      </c>
      <c r="Q7" s="34"/>
      <c r="R7" s="32"/>
      <c r="S7" s="33"/>
      <c r="T7" s="34"/>
      <c r="U7" s="34"/>
      <c r="V7" s="35"/>
      <c r="W7" s="32"/>
      <c r="X7" s="35"/>
      <c r="Y7" s="32"/>
      <c r="Z7" s="36"/>
      <c r="AA7" s="36"/>
      <c r="AB7" s="36"/>
      <c r="AC7" s="15">
        <f t="shared" si="8"/>
        <v>0</v>
      </c>
      <c r="AD7" s="11">
        <v>0</v>
      </c>
      <c r="AE7" s="11"/>
      <c r="AF7" s="12">
        <f t="shared" si="7"/>
        <v>0.48843187660668402</v>
      </c>
      <c r="AG7" s="23">
        <v>100</v>
      </c>
    </row>
    <row r="8" spans="2:33" ht="15.6" x14ac:dyDescent="0.25">
      <c r="B8" s="24" t="s">
        <v>47</v>
      </c>
      <c r="C8" s="40"/>
      <c r="D8" s="24" t="s">
        <v>48</v>
      </c>
      <c r="E8" s="25"/>
      <c r="F8" s="24" t="s">
        <v>49</v>
      </c>
      <c r="G8" s="27">
        <v>0</v>
      </c>
      <c r="H8" s="24" t="s">
        <v>49</v>
      </c>
      <c r="I8" s="27">
        <v>0</v>
      </c>
      <c r="J8" s="38"/>
      <c r="K8" s="27"/>
      <c r="L8" s="24"/>
      <c r="M8" s="25"/>
      <c r="O8" s="30">
        <v>1</v>
      </c>
      <c r="P8" s="101" t="s">
        <v>122</v>
      </c>
      <c r="Q8" s="34">
        <v>0.49609999999999999</v>
      </c>
      <c r="R8" s="32" t="s">
        <v>62</v>
      </c>
      <c r="S8" s="33">
        <f t="shared" ref="S8:S16" si="9">$C$4*(1+C$5+C$6+C$7+C$8)+C$9+C$10</f>
        <v>48976.4</v>
      </c>
      <c r="T8" s="34">
        <f t="shared" ref="T8:T16" si="10">($C$5+$C$6+$C$7+$C$8)+($C$9+$C$10)/$C$4</f>
        <v>2.3092162162162202</v>
      </c>
      <c r="U8" s="34">
        <f t="shared" ref="U8:U10" si="11">IF(R8=$C$1,SUM($E$4:$E$9),SUM($E$4:$E$8))</f>
        <v>1.2</v>
      </c>
      <c r="V8" s="35">
        <f>1+$G$10*($I$10-1+0.25)</f>
        <v>2.71</v>
      </c>
      <c r="W8" s="32">
        <f t="shared" ref="W8:W14" si="12">IF(R8=$C$1,$K$4+$K$5,$K$4)</f>
        <v>0.2</v>
      </c>
      <c r="X8" s="35">
        <f t="shared" ref="X8:X16" si="13">$AF$4</f>
        <v>0.50927415031628598</v>
      </c>
      <c r="Y8" s="32">
        <f t="shared" ref="Y8:Y16" si="14">$AF$11</f>
        <v>0.8</v>
      </c>
      <c r="Z8" s="36">
        <v>0</v>
      </c>
      <c r="AA8" s="36">
        <v>0</v>
      </c>
      <c r="AB8" s="36">
        <v>0</v>
      </c>
      <c r="AC8" s="15">
        <f t="shared" si="8"/>
        <v>70822.446314753804</v>
      </c>
      <c r="AD8" s="11">
        <v>0</v>
      </c>
      <c r="AE8" s="11"/>
      <c r="AF8" s="12">
        <f t="shared" si="7"/>
        <v>0.48843187660668402</v>
      </c>
      <c r="AG8" s="23">
        <v>100</v>
      </c>
    </row>
    <row r="9" spans="2:33" ht="15.6" x14ac:dyDescent="0.25">
      <c r="B9" s="24" t="s">
        <v>123</v>
      </c>
      <c r="C9" s="25">
        <f>2280*3</f>
        <v>6840</v>
      </c>
      <c r="D9" s="24"/>
      <c r="E9" s="26"/>
      <c r="F9" s="24" t="s">
        <v>53</v>
      </c>
      <c r="G9" s="27">
        <v>0</v>
      </c>
      <c r="H9" s="24" t="s">
        <v>53</v>
      </c>
      <c r="I9" s="27">
        <v>0</v>
      </c>
      <c r="J9" s="38"/>
      <c r="K9" s="27"/>
      <c r="L9" s="24"/>
      <c r="M9" s="25"/>
      <c r="O9" s="30">
        <v>1</v>
      </c>
      <c r="P9" s="101" t="s">
        <v>124</v>
      </c>
      <c r="Q9" s="34">
        <f>2.13%+2.13%+2.13%+4.26%+2.74%*5+7.2%+28.8%</f>
        <v>0.60350000000000004</v>
      </c>
      <c r="R9" s="32" t="s">
        <v>59</v>
      </c>
      <c r="S9" s="33">
        <f t="shared" si="9"/>
        <v>48976.4</v>
      </c>
      <c r="T9" s="34">
        <f t="shared" si="10"/>
        <v>2.3092162162162202</v>
      </c>
      <c r="U9" s="34">
        <f t="shared" si="11"/>
        <v>1.2</v>
      </c>
      <c r="V9" s="35">
        <f>1+$G$10*($I$10-1+0.5)</f>
        <v>2.9237500000000001</v>
      </c>
      <c r="W9" s="32">
        <f t="shared" si="12"/>
        <v>0.2</v>
      </c>
      <c r="X9" s="35">
        <f t="shared" si="13"/>
        <v>0.50927415031628598</v>
      </c>
      <c r="Y9" s="32">
        <f t="shared" si="14"/>
        <v>0.8</v>
      </c>
      <c r="Z9" s="36">
        <v>0</v>
      </c>
      <c r="AA9" s="36">
        <v>0</v>
      </c>
      <c r="AB9" s="36">
        <v>0</v>
      </c>
      <c r="AC9" s="15">
        <f t="shared" si="8"/>
        <v>92950.111529414004</v>
      </c>
    </row>
    <row r="10" spans="2:33" ht="15.6" x14ac:dyDescent="0.25">
      <c r="B10" s="42" t="s">
        <v>125</v>
      </c>
      <c r="C10" s="43">
        <f>M5</f>
        <v>430</v>
      </c>
      <c r="D10" s="42"/>
      <c r="E10" s="44"/>
      <c r="F10" s="45" t="s">
        <v>55</v>
      </c>
      <c r="G10" s="46">
        <f>MIN(100%,SUM(G4:G9))</f>
        <v>0.85499999999999998</v>
      </c>
      <c r="H10" s="45" t="s">
        <v>56</v>
      </c>
      <c r="I10" s="46">
        <f>SUM(I4:I9)</f>
        <v>2.75</v>
      </c>
      <c r="J10" s="47"/>
      <c r="K10" s="102"/>
      <c r="L10" s="42"/>
      <c r="M10" s="43"/>
      <c r="O10" s="30">
        <v>1</v>
      </c>
      <c r="P10" s="99" t="s">
        <v>118</v>
      </c>
      <c r="Q10" s="34">
        <v>0.50129999999999997</v>
      </c>
      <c r="R10" s="32" t="s">
        <v>59</v>
      </c>
      <c r="S10" s="33">
        <f t="shared" si="9"/>
        <v>48976.4</v>
      </c>
      <c r="T10" s="34">
        <f t="shared" si="10"/>
        <v>2.3092162162162202</v>
      </c>
      <c r="U10" s="34">
        <f t="shared" si="11"/>
        <v>1.2</v>
      </c>
      <c r="V10" s="35">
        <f>1+$G$10*($I$10-1)</f>
        <v>2.4962499999999999</v>
      </c>
      <c r="W10" s="32">
        <f t="shared" si="12"/>
        <v>0.2</v>
      </c>
      <c r="X10" s="35">
        <f t="shared" si="13"/>
        <v>0.50927415031628598</v>
      </c>
      <c r="Y10" s="32">
        <f t="shared" si="14"/>
        <v>0.8</v>
      </c>
      <c r="Z10" s="36">
        <v>0.5</v>
      </c>
      <c r="AA10" s="36">
        <v>0</v>
      </c>
      <c r="AB10" s="36">
        <v>0</v>
      </c>
      <c r="AC10" s="15">
        <f t="shared" si="8"/>
        <v>98880.2253492733</v>
      </c>
    </row>
    <row r="11" spans="2:33" ht="15.6" x14ac:dyDescent="0.25">
      <c r="D11" s="1" t="s">
        <v>126</v>
      </c>
      <c r="E11" s="1">
        <v>1</v>
      </c>
      <c r="F11" s="13" t="s">
        <v>57</v>
      </c>
      <c r="G11" s="59">
        <f>MAX(0,SUM(G4:G9)-1)</f>
        <v>0</v>
      </c>
      <c r="J11" s="2"/>
      <c r="K11" s="2"/>
      <c r="O11" s="30">
        <v>1</v>
      </c>
      <c r="P11" s="15" t="s">
        <v>78</v>
      </c>
      <c r="Q11" s="34">
        <v>0.12479999999999999</v>
      </c>
      <c r="R11" s="32" t="s">
        <v>59</v>
      </c>
      <c r="S11" s="33">
        <f t="shared" si="9"/>
        <v>48976.4</v>
      </c>
      <c r="T11" s="34">
        <f t="shared" si="10"/>
        <v>2.3092162162162202</v>
      </c>
      <c r="U11" s="34">
        <f t="shared" ref="U11:U16" si="15">IF(R11=$C$1,SUM($E$4:$E$9),SUM($E$4:$E$8))</f>
        <v>1.2</v>
      </c>
      <c r="V11" s="35">
        <f>1+$G$10*($I$10-1)</f>
        <v>2.4962499999999999</v>
      </c>
      <c r="W11" s="32">
        <f t="shared" si="12"/>
        <v>0.2</v>
      </c>
      <c r="X11" s="35">
        <f t="shared" si="13"/>
        <v>0.50927415031628598</v>
      </c>
      <c r="Y11" s="32">
        <f t="shared" si="14"/>
        <v>0.8</v>
      </c>
      <c r="Z11" s="36">
        <v>0.5</v>
      </c>
      <c r="AA11" s="36">
        <v>0</v>
      </c>
      <c r="AB11" s="36">
        <v>0</v>
      </c>
      <c r="AC11" s="15">
        <f t="shared" si="8"/>
        <v>24616.501343684999</v>
      </c>
      <c r="AE11" s="76" t="s">
        <v>60</v>
      </c>
      <c r="AF11" s="76">
        <v>0.8</v>
      </c>
    </row>
    <row r="12" spans="2:33" ht="15.6" x14ac:dyDescent="0.25">
      <c r="E12" s="58"/>
      <c r="J12" s="2"/>
      <c r="K12" s="2"/>
      <c r="O12" s="30">
        <v>1</v>
      </c>
      <c r="P12" s="15" t="s">
        <v>62</v>
      </c>
      <c r="Q12" s="34">
        <v>0.29530000000000001</v>
      </c>
      <c r="R12" s="32" t="s">
        <v>59</v>
      </c>
      <c r="S12" s="33">
        <f t="shared" si="9"/>
        <v>48976.4</v>
      </c>
      <c r="T12" s="34">
        <f t="shared" si="10"/>
        <v>2.3092162162162202</v>
      </c>
      <c r="U12" s="34">
        <f t="shared" si="15"/>
        <v>1.2</v>
      </c>
      <c r="V12" s="35">
        <f>1+$G$10*($I$10-1)</f>
        <v>2.4962499999999999</v>
      </c>
      <c r="W12" s="32">
        <f t="shared" si="12"/>
        <v>0.2</v>
      </c>
      <c r="X12" s="35">
        <f t="shared" si="13"/>
        <v>0.50927415031628598</v>
      </c>
      <c r="Y12" s="32">
        <f t="shared" si="14"/>
        <v>0.8</v>
      </c>
      <c r="Z12" s="36">
        <v>0</v>
      </c>
      <c r="AA12" s="36">
        <v>0</v>
      </c>
      <c r="AB12" s="36">
        <v>0</v>
      </c>
      <c r="AC12" s="15">
        <f t="shared" si="8"/>
        <v>38831.4788824262</v>
      </c>
      <c r="AE12" s="71" t="s">
        <v>63</v>
      </c>
      <c r="AF12" s="71">
        <v>0.8</v>
      </c>
    </row>
    <row r="13" spans="2:33" ht="15.6" x14ac:dyDescent="0.25">
      <c r="O13" s="30">
        <v>1</v>
      </c>
      <c r="P13" s="15" t="s">
        <v>121</v>
      </c>
      <c r="Q13" s="34">
        <v>0.3387</v>
      </c>
      <c r="R13" s="32" t="s">
        <v>59</v>
      </c>
      <c r="S13" s="33">
        <f t="shared" si="9"/>
        <v>48976.4</v>
      </c>
      <c r="T13" s="34">
        <f t="shared" si="10"/>
        <v>2.3092162162162202</v>
      </c>
      <c r="U13" s="34">
        <f t="shared" si="15"/>
        <v>1.2</v>
      </c>
      <c r="V13" s="35">
        <f>1+$G$10*($I$10-1)</f>
        <v>2.4962499999999999</v>
      </c>
      <c r="W13" s="32">
        <f t="shared" si="12"/>
        <v>0.2</v>
      </c>
      <c r="X13" s="35">
        <f t="shared" si="13"/>
        <v>0.50927415031628598</v>
      </c>
      <c r="Y13" s="32">
        <f t="shared" si="14"/>
        <v>0.8</v>
      </c>
      <c r="Z13" s="36">
        <v>2</v>
      </c>
      <c r="AA13" s="36">
        <v>0</v>
      </c>
      <c r="AB13" s="36">
        <v>0</v>
      </c>
      <c r="AC13" s="15">
        <f t="shared" si="8"/>
        <v>133615.52892798299</v>
      </c>
      <c r="AE13" s="103" t="s">
        <v>65</v>
      </c>
      <c r="AF13" s="103">
        <v>0.8</v>
      </c>
    </row>
    <row r="14" spans="2:33" ht="15.6" x14ac:dyDescent="0.25">
      <c r="B14" s="75" t="s">
        <v>66</v>
      </c>
      <c r="D14" s="75"/>
      <c r="O14" s="30">
        <v>1</v>
      </c>
      <c r="P14" s="101" t="s">
        <v>127</v>
      </c>
      <c r="Q14" s="34">
        <f>6.49%+3.63%+1.82%+1.82%+1.82%+2.13%+2.13%+2.13%+4.26%+2.74%*5+7.2%+28.8%</f>
        <v>0.75929999999999997</v>
      </c>
      <c r="R14" s="32" t="s">
        <v>59</v>
      </c>
      <c r="S14" s="33">
        <f t="shared" si="9"/>
        <v>48976.4</v>
      </c>
      <c r="T14" s="34">
        <f t="shared" si="10"/>
        <v>2.3092162162162202</v>
      </c>
      <c r="U14" s="34">
        <f t="shared" si="15"/>
        <v>1.2</v>
      </c>
      <c r="V14" s="35">
        <f>1+$G$10*($I$10-1+0.75)</f>
        <v>3.1375000000000002</v>
      </c>
      <c r="W14" s="32">
        <f t="shared" si="12"/>
        <v>0.2</v>
      </c>
      <c r="X14" s="35">
        <f t="shared" si="13"/>
        <v>0.50927415031628598</v>
      </c>
      <c r="Y14" s="32">
        <f t="shared" si="14"/>
        <v>0.8</v>
      </c>
      <c r="Z14" s="36">
        <v>0</v>
      </c>
      <c r="AA14" s="36">
        <v>0</v>
      </c>
      <c r="AB14" s="36">
        <v>0</v>
      </c>
      <c r="AC14" s="15">
        <f t="shared" si="8"/>
        <v>125495.900823331</v>
      </c>
      <c r="AE14" s="74" t="s">
        <v>67</v>
      </c>
      <c r="AF14" s="74">
        <v>0.8</v>
      </c>
    </row>
    <row r="15" spans="2:33" ht="15.6" x14ac:dyDescent="0.25">
      <c r="B15" s="77"/>
      <c r="C15" s="78" t="s">
        <v>68</v>
      </c>
      <c r="D15" s="78" t="s">
        <v>69</v>
      </c>
      <c r="E15" s="78" t="s">
        <v>70</v>
      </c>
      <c r="F15" s="78" t="s">
        <v>71</v>
      </c>
      <c r="O15" s="30">
        <v>1</v>
      </c>
      <c r="P15" s="104" t="s">
        <v>128</v>
      </c>
      <c r="Q15" s="105">
        <v>0.91839999999999999</v>
      </c>
      <c r="R15" s="106" t="s">
        <v>1</v>
      </c>
      <c r="S15" s="107">
        <f t="shared" si="9"/>
        <v>48976.4</v>
      </c>
      <c r="T15" s="105">
        <f t="shared" si="10"/>
        <v>2.3092162162162202</v>
      </c>
      <c r="U15" s="105">
        <f t="shared" si="15"/>
        <v>1.2</v>
      </c>
      <c r="V15" s="108">
        <f>1+$G$10*($I$10-1+1)</f>
        <v>3.3512499999999998</v>
      </c>
      <c r="W15" s="106">
        <f>IF(R15=$C$1,$K$4+$K$5,$K$4)+60%</f>
        <v>0.8</v>
      </c>
      <c r="X15" s="108">
        <f t="shared" si="13"/>
        <v>0.50927415031628598</v>
      </c>
      <c r="Y15" s="106">
        <f t="shared" si="14"/>
        <v>0.8</v>
      </c>
      <c r="Z15" s="109">
        <v>0</v>
      </c>
      <c r="AA15" s="109">
        <v>0</v>
      </c>
      <c r="AB15" s="109">
        <v>0</v>
      </c>
      <c r="AC15" s="15">
        <f t="shared" si="8"/>
        <v>243199.32603256701</v>
      </c>
      <c r="AE15" s="110" t="s">
        <v>73</v>
      </c>
      <c r="AF15" s="110">
        <v>0.8</v>
      </c>
    </row>
    <row r="16" spans="2:33" ht="15.6" x14ac:dyDescent="0.25">
      <c r="B16" s="4" t="s">
        <v>74</v>
      </c>
      <c r="C16" s="84">
        <f>SUM(AC3:AC22)</f>
        <v>1582850.7410734</v>
      </c>
      <c r="D16" s="84">
        <f>C16/$E$16</f>
        <v>51059.701324948299</v>
      </c>
      <c r="E16" s="85">
        <v>31</v>
      </c>
      <c r="F16" s="86">
        <f>C16/$C$19</f>
        <v>0.896868328969326</v>
      </c>
      <c r="O16" s="30">
        <v>1</v>
      </c>
      <c r="P16" s="111" t="s">
        <v>118</v>
      </c>
      <c r="Q16" s="34">
        <v>0.50129999999999997</v>
      </c>
      <c r="R16" s="32" t="s">
        <v>59</v>
      </c>
      <c r="S16" s="33">
        <f t="shared" si="9"/>
        <v>48976.4</v>
      </c>
      <c r="T16" s="34">
        <f t="shared" si="10"/>
        <v>2.3092162162162202</v>
      </c>
      <c r="U16" s="34">
        <f t="shared" si="15"/>
        <v>1.2</v>
      </c>
      <c r="V16" s="35">
        <f>1+$G$10*($I$10-1)</f>
        <v>2.4962499999999999</v>
      </c>
      <c r="W16" s="32">
        <f>IF(R16=$C$1,$K$4+$K$5,$K$4)</f>
        <v>0.2</v>
      </c>
      <c r="X16" s="35">
        <f t="shared" si="13"/>
        <v>0.50927415031628598</v>
      </c>
      <c r="Y16" s="32">
        <f t="shared" si="14"/>
        <v>0.8</v>
      </c>
      <c r="Z16" s="36">
        <v>0.5</v>
      </c>
      <c r="AA16" s="36">
        <v>0</v>
      </c>
      <c r="AB16" s="36">
        <v>0</v>
      </c>
      <c r="AC16" s="15">
        <f t="shared" si="8"/>
        <v>98880.2253492733</v>
      </c>
      <c r="AE16" s="78" t="s">
        <v>76</v>
      </c>
      <c r="AF16" s="78">
        <v>0.8</v>
      </c>
    </row>
    <row r="17" spans="2:32" ht="15.6" x14ac:dyDescent="0.25">
      <c r="B17" s="4" t="s">
        <v>77</v>
      </c>
      <c r="C17" s="84">
        <f>AC27</f>
        <v>68956.890488431905</v>
      </c>
      <c r="D17" s="84">
        <f>C17/$E$16</f>
        <v>2224.4158222074798</v>
      </c>
      <c r="E17" s="85"/>
      <c r="F17" s="86">
        <f>C17/$C$19</f>
        <v>3.9072067592008701E-2</v>
      </c>
      <c r="J17" s="34"/>
      <c r="O17" s="30">
        <v>1</v>
      </c>
      <c r="P17" s="111" t="s">
        <v>78</v>
      </c>
      <c r="Q17" s="34">
        <v>0.12479999999999999</v>
      </c>
      <c r="R17" s="32" t="s">
        <v>59</v>
      </c>
      <c r="S17" s="33">
        <f t="shared" ref="S17:S22" si="16">$C$4*(1+C$5+C$6+C$7+C$8)+C$9+C$10</f>
        <v>48976.4</v>
      </c>
      <c r="T17" s="34">
        <f t="shared" ref="T17:T22" si="17">($C$5+$C$6+$C$7+$C$8)+($C$9+$C$10)/$C$4</f>
        <v>2.3092162162162202</v>
      </c>
      <c r="U17" s="34">
        <f t="shared" ref="U17:U22" si="18">IF(R17=$C$1,SUM($E$4:$E$9),SUM($E$4:$E$8))</f>
        <v>1.2</v>
      </c>
      <c r="V17" s="35">
        <f t="shared" ref="V17:V22" si="19">1+$G$10*($I$10-1)</f>
        <v>2.4962499999999999</v>
      </c>
      <c r="W17" s="32">
        <f t="shared" ref="W17:W22" si="20">IF(R17=$C$1,$K$4+$K$5,$K$4)</f>
        <v>0.2</v>
      </c>
      <c r="X17" s="35">
        <f t="shared" ref="X17:X22" si="21">$AF$4</f>
        <v>0.50927415031628598</v>
      </c>
      <c r="Y17" s="32">
        <f t="shared" ref="Y17:Y22" si="22">$AF$11</f>
        <v>0.8</v>
      </c>
      <c r="Z17" s="36">
        <v>0.5</v>
      </c>
      <c r="AA17" s="36">
        <v>0</v>
      </c>
      <c r="AB17" s="36">
        <v>0</v>
      </c>
      <c r="AC17" s="15">
        <f t="shared" ref="AC17:AC22" si="23">Q17*S17*(1+U17)*V17*(1+W17)*X17*Y17*(1+Z17)*(1+AA17)*(1+AB17)*O17</f>
        <v>24616.501343684999</v>
      </c>
    </row>
    <row r="18" spans="2:32" ht="15.6" x14ac:dyDescent="0.25">
      <c r="B18" s="4" t="s">
        <v>129</v>
      </c>
      <c r="C18" s="84">
        <f>AC30</f>
        <v>113056.496143959</v>
      </c>
      <c r="D18" s="84">
        <f>C18/$E$16</f>
        <v>3646.9837465793198</v>
      </c>
      <c r="E18" s="85"/>
      <c r="F18" s="86"/>
      <c r="O18" s="30">
        <v>1</v>
      </c>
      <c r="P18" s="111" t="s">
        <v>131</v>
      </c>
      <c r="Q18" s="34">
        <v>9.9000000000000005E-2</v>
      </c>
      <c r="R18" s="32" t="s">
        <v>59</v>
      </c>
      <c r="S18" s="33">
        <f t="shared" si="16"/>
        <v>48976.4</v>
      </c>
      <c r="T18" s="34">
        <f t="shared" si="17"/>
        <v>2.3092162162162202</v>
      </c>
      <c r="U18" s="34">
        <f t="shared" si="18"/>
        <v>1.2</v>
      </c>
      <c r="V18" s="35">
        <f t="shared" si="19"/>
        <v>2.4962499999999999</v>
      </c>
      <c r="W18" s="32">
        <f t="shared" si="20"/>
        <v>0.2</v>
      </c>
      <c r="X18" s="35">
        <f t="shared" si="21"/>
        <v>0.50927415031628598</v>
      </c>
      <c r="Y18" s="32">
        <f t="shared" si="22"/>
        <v>0.8</v>
      </c>
      <c r="Z18" s="36">
        <v>2</v>
      </c>
      <c r="AA18" s="36">
        <v>0</v>
      </c>
      <c r="AB18" s="36">
        <v>0</v>
      </c>
      <c r="AC18" s="15">
        <f t="shared" si="23"/>
        <v>39055.026170269499</v>
      </c>
      <c r="AE18" s="1" t="s">
        <v>80</v>
      </c>
      <c r="AF18" s="1">
        <v>0.8</v>
      </c>
    </row>
    <row r="19" spans="2:32" ht="15.6" x14ac:dyDescent="0.25">
      <c r="B19" s="4" t="s">
        <v>79</v>
      </c>
      <c r="C19" s="87">
        <f>SUM(C16:C18)</f>
        <v>1764864.1277057901</v>
      </c>
      <c r="D19" s="87">
        <f>C19/E16</f>
        <v>56931.100893734998</v>
      </c>
      <c r="E19" s="88"/>
      <c r="F19" s="89"/>
      <c r="O19" s="30">
        <v>1</v>
      </c>
      <c r="P19" s="111" t="s">
        <v>118</v>
      </c>
      <c r="Q19" s="34">
        <v>0.50129999999999997</v>
      </c>
      <c r="R19" s="32" t="s">
        <v>59</v>
      </c>
      <c r="S19" s="33">
        <f t="shared" si="16"/>
        <v>48976.4</v>
      </c>
      <c r="T19" s="34">
        <f t="shared" si="17"/>
        <v>2.3092162162162202</v>
      </c>
      <c r="U19" s="34">
        <f t="shared" si="18"/>
        <v>1.2</v>
      </c>
      <c r="V19" s="35">
        <f t="shared" si="19"/>
        <v>2.4962499999999999</v>
      </c>
      <c r="W19" s="32">
        <f t="shared" si="20"/>
        <v>0.2</v>
      </c>
      <c r="X19" s="35">
        <f t="shared" si="21"/>
        <v>0.50927415031628598</v>
      </c>
      <c r="Y19" s="32">
        <f t="shared" si="22"/>
        <v>0.8</v>
      </c>
      <c r="Z19" s="36">
        <v>0.5</v>
      </c>
      <c r="AA19" s="36">
        <v>0</v>
      </c>
      <c r="AB19" s="36">
        <v>0</v>
      </c>
      <c r="AC19" s="15">
        <f t="shared" si="23"/>
        <v>98880.2253492733</v>
      </c>
    </row>
    <row r="20" spans="2:32" ht="15.6" x14ac:dyDescent="0.25">
      <c r="B20" s="4"/>
      <c r="C20" s="4"/>
      <c r="D20" s="4"/>
      <c r="O20" s="30">
        <v>1</v>
      </c>
      <c r="P20" s="111" t="s">
        <v>78</v>
      </c>
      <c r="Q20" s="34">
        <v>0.12479999999999999</v>
      </c>
      <c r="R20" s="32" t="s">
        <v>59</v>
      </c>
      <c r="S20" s="33">
        <f t="shared" si="16"/>
        <v>48976.4</v>
      </c>
      <c r="T20" s="34">
        <f t="shared" si="17"/>
        <v>2.3092162162162202</v>
      </c>
      <c r="U20" s="34">
        <f t="shared" si="18"/>
        <v>1.2</v>
      </c>
      <c r="V20" s="35">
        <f t="shared" si="19"/>
        <v>2.4962499999999999</v>
      </c>
      <c r="W20" s="32">
        <f t="shared" si="20"/>
        <v>0.2</v>
      </c>
      <c r="X20" s="35">
        <f t="shared" si="21"/>
        <v>0.50927415031628598</v>
      </c>
      <c r="Y20" s="32">
        <f t="shared" si="22"/>
        <v>0.8</v>
      </c>
      <c r="Z20" s="36">
        <v>0.5</v>
      </c>
      <c r="AA20" s="36">
        <v>0</v>
      </c>
      <c r="AB20" s="36">
        <v>0</v>
      </c>
      <c r="AC20" s="15">
        <f t="shared" si="23"/>
        <v>24616.501343684999</v>
      </c>
    </row>
    <row r="21" spans="2:32" ht="15.6" x14ac:dyDescent="0.25">
      <c r="B21" s="4"/>
      <c r="C21" s="4"/>
      <c r="D21" s="4"/>
      <c r="F21" s="4"/>
      <c r="O21" s="30">
        <v>1</v>
      </c>
      <c r="P21" s="111" t="s">
        <v>62</v>
      </c>
      <c r="Q21" s="34">
        <v>0.29530000000000001</v>
      </c>
      <c r="R21" s="32" t="s">
        <v>59</v>
      </c>
      <c r="S21" s="33">
        <f t="shared" si="16"/>
        <v>48976.4</v>
      </c>
      <c r="T21" s="34">
        <f t="shared" si="17"/>
        <v>2.3092162162162202</v>
      </c>
      <c r="U21" s="34">
        <f t="shared" si="18"/>
        <v>1.2</v>
      </c>
      <c r="V21" s="35">
        <f t="shared" si="19"/>
        <v>2.4962499999999999</v>
      </c>
      <c r="W21" s="32">
        <f t="shared" si="20"/>
        <v>0.2</v>
      </c>
      <c r="X21" s="35">
        <f t="shared" si="21"/>
        <v>0.50927415031628598</v>
      </c>
      <c r="Y21" s="32">
        <f t="shared" si="22"/>
        <v>0.8</v>
      </c>
      <c r="Z21" s="36">
        <v>0</v>
      </c>
      <c r="AA21" s="36">
        <v>0</v>
      </c>
      <c r="AB21" s="36">
        <v>0</v>
      </c>
      <c r="AC21" s="15">
        <f t="shared" si="23"/>
        <v>38831.4788824262</v>
      </c>
    </row>
    <row r="22" spans="2:32" ht="15.6" x14ac:dyDescent="0.25">
      <c r="F22" s="4"/>
      <c r="O22" s="30">
        <v>1</v>
      </c>
      <c r="P22" s="111" t="s">
        <v>121</v>
      </c>
      <c r="Q22" s="34">
        <v>0.3387</v>
      </c>
      <c r="R22" s="32" t="s">
        <v>59</v>
      </c>
      <c r="S22" s="33">
        <f t="shared" si="16"/>
        <v>48976.4</v>
      </c>
      <c r="T22" s="34">
        <f t="shared" si="17"/>
        <v>2.3092162162162202</v>
      </c>
      <c r="U22" s="34">
        <f t="shared" si="18"/>
        <v>1.2</v>
      </c>
      <c r="V22" s="35">
        <f t="shared" si="19"/>
        <v>2.4962499999999999</v>
      </c>
      <c r="W22" s="32">
        <f t="shared" si="20"/>
        <v>0.2</v>
      </c>
      <c r="X22" s="35">
        <f t="shared" si="21"/>
        <v>0.50927415031628598</v>
      </c>
      <c r="Y22" s="32">
        <f t="shared" si="22"/>
        <v>0.8</v>
      </c>
      <c r="Z22" s="36">
        <v>2</v>
      </c>
      <c r="AA22" s="36">
        <v>0</v>
      </c>
      <c r="AB22" s="36">
        <v>0</v>
      </c>
      <c r="AC22" s="15">
        <f t="shared" si="23"/>
        <v>133615.52892798299</v>
      </c>
    </row>
    <row r="23" spans="2:32" x14ac:dyDescent="0.25">
      <c r="J23" s="1">
        <v>29336</v>
      </c>
      <c r="Q23" s="34"/>
      <c r="U23" s="1"/>
      <c r="V23" s="1"/>
      <c r="AB23" s="1"/>
      <c r="AC23" s="1"/>
    </row>
    <row r="24" spans="2:32" ht="15.6" x14ac:dyDescent="0.25">
      <c r="B24" s="4"/>
      <c r="C24" s="4"/>
      <c r="D24" s="4"/>
      <c r="F24" s="4"/>
      <c r="J24" s="1">
        <v>56931</v>
      </c>
      <c r="O24" s="60">
        <f t="shared" ref="O24:O26" si="24">$O$27</f>
        <v>1</v>
      </c>
      <c r="P24" s="62" t="s">
        <v>81</v>
      </c>
      <c r="Q24" s="61">
        <v>18.807500000000001</v>
      </c>
      <c r="R24" s="62" t="s">
        <v>82</v>
      </c>
      <c r="S24" s="62">
        <v>10027</v>
      </c>
      <c r="T24" s="61">
        <v>0</v>
      </c>
      <c r="U24" s="61">
        <v>0</v>
      </c>
      <c r="V24" s="63">
        <v>1</v>
      </c>
      <c r="W24" s="62">
        <v>0</v>
      </c>
      <c r="X24" s="63">
        <f t="shared" ref="X24:X27" si="25">$AF$3</f>
        <v>0.48843187660668402</v>
      </c>
      <c r="Y24" s="62">
        <f t="shared" ref="Y24:Y27" si="26">$AF$18</f>
        <v>0.8</v>
      </c>
      <c r="Z24" s="64">
        <v>0</v>
      </c>
      <c r="AA24" s="64">
        <v>0</v>
      </c>
      <c r="AB24" s="29">
        <v>0.5</v>
      </c>
      <c r="AC24" s="112">
        <f t="shared" ref="AC24:AC27" si="27">Q24*S24*(1+T24)*(1+U24)*V24*(1+W24)*X24*Y24*(1+Z24)*(1+AA24)*(1+AB24)*O24</f>
        <v>110531.82254498699</v>
      </c>
    </row>
    <row r="25" spans="2:32" ht="15.6" x14ac:dyDescent="0.25">
      <c r="B25" s="4"/>
      <c r="C25" s="4"/>
      <c r="D25" s="4"/>
      <c r="F25" s="4"/>
      <c r="G25" s="1"/>
      <c r="O25" s="24">
        <f t="shared" si="24"/>
        <v>1</v>
      </c>
      <c r="P25" s="1" t="s">
        <v>83</v>
      </c>
      <c r="Q25" s="2">
        <v>2.9822000000000002</v>
      </c>
      <c r="R25" s="1" t="s">
        <v>82</v>
      </c>
      <c r="S25" s="1">
        <v>10027</v>
      </c>
      <c r="T25" s="2">
        <v>0</v>
      </c>
      <c r="U25" s="2">
        <v>0</v>
      </c>
      <c r="V25" s="69">
        <v>1</v>
      </c>
      <c r="W25" s="1">
        <v>0</v>
      </c>
      <c r="X25" s="69">
        <f t="shared" si="25"/>
        <v>0.48843187660668402</v>
      </c>
      <c r="Y25" s="1">
        <f t="shared" si="26"/>
        <v>0.8</v>
      </c>
      <c r="Z25" s="58">
        <v>0</v>
      </c>
      <c r="AA25" s="58">
        <v>0</v>
      </c>
      <c r="AB25" s="26">
        <v>0.5</v>
      </c>
      <c r="AC25" s="112">
        <f t="shared" si="27"/>
        <v>17526.412398971701</v>
      </c>
    </row>
    <row r="26" spans="2:32" ht="15.6" x14ac:dyDescent="0.25">
      <c r="O26" s="24">
        <f t="shared" si="24"/>
        <v>1</v>
      </c>
      <c r="P26" s="1" t="s">
        <v>85</v>
      </c>
      <c r="Q26" s="2">
        <v>5.9642999999999997</v>
      </c>
      <c r="R26" s="1" t="s">
        <v>82</v>
      </c>
      <c r="S26" s="1">
        <v>10027</v>
      </c>
      <c r="T26" s="2">
        <v>0</v>
      </c>
      <c r="U26" s="2">
        <v>0</v>
      </c>
      <c r="V26" s="69">
        <v>1</v>
      </c>
      <c r="W26" s="1">
        <v>0</v>
      </c>
      <c r="X26" s="69">
        <f t="shared" si="25"/>
        <v>0.48843187660668402</v>
      </c>
      <c r="Y26" s="1">
        <f t="shared" si="26"/>
        <v>0.8</v>
      </c>
      <c r="Z26" s="58">
        <v>0</v>
      </c>
      <c r="AA26" s="58">
        <v>0</v>
      </c>
      <c r="AB26" s="26">
        <v>0.5</v>
      </c>
      <c r="AC26" s="113">
        <f t="shared" si="27"/>
        <v>35052.237097172198</v>
      </c>
    </row>
    <row r="27" spans="2:32" ht="15.6" x14ac:dyDescent="0.25">
      <c r="B27" s="4"/>
      <c r="C27" s="4"/>
      <c r="D27" s="4"/>
      <c r="F27" s="4"/>
      <c r="O27" s="13">
        <v>1</v>
      </c>
      <c r="P27" s="114" t="s">
        <v>77</v>
      </c>
      <c r="Q27" s="115">
        <v>16</v>
      </c>
      <c r="R27" s="114" t="s">
        <v>86</v>
      </c>
      <c r="S27" s="114">
        <v>10027</v>
      </c>
      <c r="T27" s="115">
        <v>0</v>
      </c>
      <c r="U27" s="115">
        <v>0</v>
      </c>
      <c r="V27" s="116">
        <v>1</v>
      </c>
      <c r="W27" s="114">
        <v>0</v>
      </c>
      <c r="X27" s="116">
        <f t="shared" si="25"/>
        <v>0.48843187660668402</v>
      </c>
      <c r="Y27" s="114">
        <f t="shared" si="26"/>
        <v>0.8</v>
      </c>
      <c r="Z27" s="117">
        <v>0</v>
      </c>
      <c r="AA27" s="117">
        <v>0</v>
      </c>
      <c r="AB27" s="118">
        <v>0.1</v>
      </c>
      <c r="AC27" s="119">
        <f t="shared" si="27"/>
        <v>68956.890488431905</v>
      </c>
    </row>
    <row r="28" spans="2:32" x14ac:dyDescent="0.25">
      <c r="B28" s="4"/>
      <c r="C28" s="4"/>
      <c r="D28" s="4"/>
      <c r="F28" s="4"/>
    </row>
    <row r="29" spans="2:32" x14ac:dyDescent="0.25">
      <c r="N29" s="60" t="s">
        <v>91</v>
      </c>
      <c r="O29" s="62" t="s">
        <v>4</v>
      </c>
      <c r="P29" s="62"/>
      <c r="Q29" s="61"/>
      <c r="R29" s="62"/>
      <c r="S29" s="62"/>
      <c r="T29" s="62"/>
      <c r="U29" s="61"/>
      <c r="V29" s="120"/>
      <c r="W29" s="62"/>
      <c r="X29" s="62"/>
      <c r="Y29" s="62"/>
      <c r="Z29" s="62"/>
      <c r="AA29" s="62"/>
      <c r="AB29" s="121"/>
      <c r="AC29" s="122"/>
    </row>
    <row r="30" spans="2:32" ht="15.6" x14ac:dyDescent="0.25">
      <c r="B30" s="4"/>
      <c r="C30" s="4"/>
      <c r="D30" s="4"/>
      <c r="F30" s="4"/>
      <c r="N30" s="24">
        <v>6</v>
      </c>
      <c r="O30" s="1">
        <v>14</v>
      </c>
      <c r="P30" s="103" t="s">
        <v>87</v>
      </c>
      <c r="Q30" s="123">
        <f>IF(N30&gt;0,(MAX(45%,112.5%+112.5%*(N30-2))),(IF(N30&lt;=0,0)))</f>
        <v>5.625</v>
      </c>
      <c r="R30" s="103" t="s">
        <v>87</v>
      </c>
      <c r="S30" s="124">
        <v>3674.1</v>
      </c>
      <c r="T30" s="125">
        <v>0</v>
      </c>
      <c r="U30" s="125">
        <v>0</v>
      </c>
      <c r="V30" s="126">
        <v>1</v>
      </c>
      <c r="W30" s="103">
        <v>0</v>
      </c>
      <c r="X30" s="126">
        <f t="shared" ref="X30:X33" si="28">$AF$3</f>
        <v>0.48843187660668402</v>
      </c>
      <c r="Y30" s="103">
        <f>$AF$13</f>
        <v>0.8</v>
      </c>
      <c r="Z30" s="127">
        <v>0</v>
      </c>
      <c r="AA30" s="127">
        <v>0</v>
      </c>
      <c r="AB30" s="127">
        <v>0</v>
      </c>
      <c r="AC30" s="128">
        <f>Q30*S30*(1+T30)*(1+U30)*V30*(1+W30)*X30*Y30*(1+Z30)*(1+AA30)*(1+AB30)*O30</f>
        <v>113056.496143959</v>
      </c>
    </row>
    <row r="31" spans="2:32" ht="15.6" x14ac:dyDescent="0.25">
      <c r="B31" s="4"/>
      <c r="C31" s="4"/>
      <c r="D31" s="4"/>
      <c r="N31" s="24">
        <v>10</v>
      </c>
      <c r="O31" s="1">
        <v>1</v>
      </c>
      <c r="P31" s="76" t="s">
        <v>88</v>
      </c>
      <c r="Q31" s="129">
        <f>IF(N31=1,0.3,IF(AND(N31&gt;=2,N31&lt;=10),0.3+0.2439*(N31-1),IF(AND(N31&gt;=11),2.4951+0.8317*(N31-10),IF(AND(N31&lt;=0),0,""))))</f>
        <v>2.4950999999999999</v>
      </c>
      <c r="R31" s="76" t="s">
        <v>88</v>
      </c>
      <c r="S31" s="130">
        <v>3674.1</v>
      </c>
      <c r="T31" s="131">
        <v>0</v>
      </c>
      <c r="U31" s="131">
        <v>0</v>
      </c>
      <c r="V31" s="132">
        <v>1</v>
      </c>
      <c r="W31" s="76">
        <v>0</v>
      </c>
      <c r="X31" s="132">
        <f t="shared" si="28"/>
        <v>0.48843187660668402</v>
      </c>
      <c r="Y31" s="76">
        <f>$AF$11</f>
        <v>0.8</v>
      </c>
      <c r="Z31" s="133">
        <v>0</v>
      </c>
      <c r="AA31" s="133">
        <v>0</v>
      </c>
      <c r="AB31" s="133">
        <v>0</v>
      </c>
      <c r="AC31" s="134">
        <f t="shared" ref="AC31:AC33" si="29">Q31*S31*(1+T31)*(1+U31)*V31*(1+W31)*X31*Y31*(1+Z31)*(1+AA31)*(1+AB31)*O31</f>
        <v>3582.0604892545002</v>
      </c>
    </row>
    <row r="32" spans="2:32" ht="15.6" x14ac:dyDescent="0.25">
      <c r="N32" s="24">
        <v>13</v>
      </c>
      <c r="O32" s="1">
        <v>1</v>
      </c>
      <c r="P32" s="110" t="s">
        <v>89</v>
      </c>
      <c r="Q32" s="135">
        <f>IF(N32=1,24.5%,IF(AND(10&gt;=N32,N32&gt;=2),24.5%+(N32-1)*19.9185%,IF(AND(13&gt;=N32,N32&gt;=11),203.77%+(N32-10)*(271.69%-203.77%),"")))</f>
        <v>4.0753000000000004</v>
      </c>
      <c r="R32" s="110" t="s">
        <v>89</v>
      </c>
      <c r="S32" s="136">
        <v>3674.1</v>
      </c>
      <c r="T32" s="137">
        <v>0</v>
      </c>
      <c r="U32" s="137">
        <v>0</v>
      </c>
      <c r="V32" s="138">
        <v>1</v>
      </c>
      <c r="W32" s="110">
        <v>0</v>
      </c>
      <c r="X32" s="138">
        <f t="shared" si="28"/>
        <v>0.48843187660668402</v>
      </c>
      <c r="Y32" s="110">
        <f>$AF$15</f>
        <v>0.8</v>
      </c>
      <c r="Z32" s="139">
        <v>0</v>
      </c>
      <c r="AA32" s="139">
        <v>0</v>
      </c>
      <c r="AB32" s="139">
        <v>0</v>
      </c>
      <c r="AC32" s="140">
        <f t="shared" si="29"/>
        <v>5850.6557299742899</v>
      </c>
    </row>
    <row r="33" spans="2:29" ht="15.6" x14ac:dyDescent="0.25">
      <c r="B33" s="4"/>
      <c r="C33" s="4"/>
      <c r="D33" s="4"/>
      <c r="N33" s="42">
        <v>13</v>
      </c>
      <c r="O33" s="79">
        <v>1</v>
      </c>
      <c r="P33" s="141" t="s">
        <v>90</v>
      </c>
      <c r="Q33" s="142">
        <f>IF(N33=1,0.84,IF(N33=2,1.5229,IF(N33=3,2.2058,IF(N33=4,2.8888,IF(N33=5,3.5717,IF(N33=6,4.2546,IF(N33=7,4.9375,IF(N33=8,5.6204,IF(N33=9,6.3034,IF(N33=10,6.9863,IF(N33=11,9.315,IF(N33=12,11.6438,IF(N33=13,13.9726,"")))))))))))))</f>
        <v>13.9726</v>
      </c>
      <c r="R33" s="141" t="s">
        <v>90</v>
      </c>
      <c r="S33" s="143">
        <v>3674.1</v>
      </c>
      <c r="T33" s="144">
        <v>0</v>
      </c>
      <c r="U33" s="144">
        <v>0</v>
      </c>
      <c r="V33" s="145">
        <v>1</v>
      </c>
      <c r="W33" s="141">
        <v>0</v>
      </c>
      <c r="X33" s="145">
        <f t="shared" si="28"/>
        <v>0.48843187660668402</v>
      </c>
      <c r="Y33" s="141">
        <f>$AF$16</f>
        <v>0.8</v>
      </c>
      <c r="Z33" s="146">
        <v>0</v>
      </c>
      <c r="AA33" s="146">
        <v>0</v>
      </c>
      <c r="AB33" s="146">
        <v>0</v>
      </c>
      <c r="AC33" s="147">
        <f t="shared" si="29"/>
        <v>20059.596165347</v>
      </c>
    </row>
  </sheetData>
  <mergeCells count="7">
    <mergeCell ref="B2:M2"/>
    <mergeCell ref="B3:C3"/>
    <mergeCell ref="D3:E3"/>
    <mergeCell ref="F3:G3"/>
    <mergeCell ref="H3:I3"/>
    <mergeCell ref="J3:K3"/>
    <mergeCell ref="L3:M3"/>
  </mergeCells>
  <phoneticPr fontId="10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G33"/>
  <sheetViews>
    <sheetView workbookViewId="0">
      <selection activeCell="F22" sqref="F22:K29"/>
    </sheetView>
  </sheetViews>
  <sheetFormatPr defaultColWidth="9.6640625" defaultRowHeight="14.4" x14ac:dyDescent="0.25"/>
  <cols>
    <col min="1" max="1" width="9.6640625" style="1"/>
    <col min="2" max="2" width="15.44140625" style="1" customWidth="1"/>
    <col min="3" max="3" width="10" style="1" customWidth="1"/>
    <col min="4" max="4" width="11.77734375" style="1" customWidth="1"/>
    <col min="5" max="5" width="5.5546875" style="1" customWidth="1"/>
    <col min="6" max="6" width="11.77734375" style="1" customWidth="1"/>
    <col min="7" max="7" width="7.5546875" style="2" customWidth="1"/>
    <col min="8" max="8" width="14" style="1" customWidth="1"/>
    <col min="9" max="9" width="8.5546875" style="1" customWidth="1"/>
    <col min="10" max="10" width="11.77734375" style="1" customWidth="1"/>
    <col min="11" max="11" width="7.5546875" style="1" customWidth="1"/>
    <col min="12" max="12" width="9.5546875" style="1" customWidth="1"/>
    <col min="13" max="13" width="7.5546875" style="1" customWidth="1"/>
    <col min="14" max="14" width="5.5546875" style="1" customWidth="1"/>
    <col min="15" max="15" width="6.21875" style="1" customWidth="1"/>
    <col min="16" max="16" width="21.21875" style="1" customWidth="1"/>
    <col min="17" max="17" width="9.5546875" style="2" customWidth="1"/>
    <col min="18" max="18" width="6.21875" style="1" customWidth="1"/>
    <col min="19" max="19" width="11" style="1" customWidth="1"/>
    <col min="20" max="20" width="8.5546875" style="1" customWidth="1"/>
    <col min="21" max="21" width="8.5546875" style="2" customWidth="1"/>
    <col min="22" max="22" width="8.5546875" style="3" customWidth="1"/>
    <col min="23" max="25" width="8.5546875" style="1" customWidth="1"/>
    <col min="26" max="26" width="11" style="1" customWidth="1"/>
    <col min="27" max="27" width="8.5546875" style="1" customWidth="1"/>
    <col min="28" max="28" width="11" style="4" customWidth="1"/>
    <col min="29" max="29" width="10" style="4" customWidth="1"/>
    <col min="30" max="30" width="9.5546875" style="1" customWidth="1"/>
    <col min="31" max="31" width="5.5546875" style="1" customWidth="1"/>
    <col min="32" max="32" width="8.5546875" style="1" customWidth="1"/>
    <col min="33" max="33" width="9.5546875" style="1" customWidth="1"/>
    <col min="34" max="16384" width="9.6640625" style="1"/>
  </cols>
  <sheetData>
    <row r="1" spans="2:33" x14ac:dyDescent="0.25">
      <c r="B1" s="5" t="s">
        <v>0</v>
      </c>
      <c r="C1" s="5" t="s">
        <v>59</v>
      </c>
      <c r="D1" s="6" t="s">
        <v>2</v>
      </c>
      <c r="E1" s="6">
        <v>2</v>
      </c>
      <c r="G1" s="1"/>
    </row>
    <row r="2" spans="2:33" ht="15.6" x14ac:dyDescent="0.25">
      <c r="B2" s="199" t="s">
        <v>3</v>
      </c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1"/>
      <c r="O2" s="93" t="s">
        <v>4</v>
      </c>
      <c r="P2" s="94" t="s">
        <v>5</v>
      </c>
      <c r="Q2" s="95" t="s">
        <v>6</v>
      </c>
      <c r="R2" s="94" t="s">
        <v>7</v>
      </c>
      <c r="S2" s="94" t="s">
        <v>116</v>
      </c>
      <c r="T2" s="94" t="s">
        <v>117</v>
      </c>
      <c r="U2" s="95" t="s">
        <v>10</v>
      </c>
      <c r="V2" s="96" t="s">
        <v>11</v>
      </c>
      <c r="W2" s="94" t="s">
        <v>12</v>
      </c>
      <c r="X2" s="94" t="s">
        <v>13</v>
      </c>
      <c r="Y2" s="94" t="s">
        <v>14</v>
      </c>
      <c r="Z2" s="94" t="s">
        <v>15</v>
      </c>
      <c r="AA2" s="94" t="s">
        <v>16</v>
      </c>
      <c r="AB2" s="97" t="s">
        <v>17</v>
      </c>
      <c r="AC2" s="98" t="s">
        <v>18</v>
      </c>
      <c r="AD2" s="11" t="s">
        <v>19</v>
      </c>
      <c r="AE2" s="11" t="s">
        <v>20</v>
      </c>
      <c r="AF2" s="12" t="s">
        <v>13</v>
      </c>
      <c r="AG2" s="12" t="s">
        <v>21</v>
      </c>
    </row>
    <row r="3" spans="2:33" ht="15.6" x14ac:dyDescent="0.25">
      <c r="B3" s="202" t="s">
        <v>22</v>
      </c>
      <c r="C3" s="203"/>
      <c r="D3" s="202" t="s">
        <v>10</v>
      </c>
      <c r="E3" s="203"/>
      <c r="F3" s="202" t="s">
        <v>23</v>
      </c>
      <c r="G3" s="203"/>
      <c r="H3" s="202" t="s">
        <v>24</v>
      </c>
      <c r="I3" s="203"/>
      <c r="J3" s="202" t="s">
        <v>12</v>
      </c>
      <c r="K3" s="203"/>
      <c r="L3" s="202" t="s">
        <v>25</v>
      </c>
      <c r="M3" s="203"/>
      <c r="O3" s="30">
        <v>1</v>
      </c>
      <c r="P3" s="99" t="s">
        <v>118</v>
      </c>
      <c r="Q3" s="34">
        <v>0.50129999999999997</v>
      </c>
      <c r="R3" s="32" t="s">
        <v>59</v>
      </c>
      <c r="S3" s="33">
        <f t="shared" ref="S3:S6" si="0">$C$4*(1+C$5+C$6+C$7+C$8)+C$9+C$10</f>
        <v>50752.4</v>
      </c>
      <c r="T3" s="34">
        <f t="shared" ref="T3:T6" si="1">($C$5+$C$6+$C$7+$C$8)+($C$9+$C$10)/$C$4</f>
        <v>2.4292162162162199</v>
      </c>
      <c r="U3" s="34">
        <f t="shared" ref="U3:U6" si="2">IF(R3=$C$1,SUM($E$4:$E$9),SUM($E$4:$E$8))</f>
        <v>1.4</v>
      </c>
      <c r="V3" s="35">
        <f t="shared" ref="V3:V6" si="3">1+$G$10*($I$10-1)</f>
        <v>2.4962499999999999</v>
      </c>
      <c r="W3" s="32">
        <f t="shared" ref="W3:W6" si="4">IF(R3=$C$1,$K$4+$K$5,$K$4)</f>
        <v>0.4</v>
      </c>
      <c r="X3" s="35">
        <f t="shared" ref="X3:X6" si="5">$AF$4</f>
        <v>0.53197446522566905</v>
      </c>
      <c r="Y3" s="32">
        <f t="shared" ref="Y3:Y6" si="6">$AF$11</f>
        <v>0.8</v>
      </c>
      <c r="Z3" s="36">
        <v>0.5</v>
      </c>
      <c r="AA3" s="36">
        <v>0</v>
      </c>
      <c r="AB3" s="36">
        <v>0</v>
      </c>
      <c r="AC3" s="15">
        <f t="shared" ref="AC3:AC22" si="7">Q3*S3*(1+U3)*V3*(1+W3)*X3*Y3*(1+Z3)*(1+AA3)*(1+AB3)*O3</f>
        <v>136224.015136412</v>
      </c>
      <c r="AD3" s="11">
        <v>0</v>
      </c>
      <c r="AE3" s="11">
        <v>0</v>
      </c>
      <c r="AF3" s="12">
        <f t="shared" ref="AF3:AF8" si="8">1520/(1520+(792+8*AG3)*(1-AE3/100))</f>
        <v>0.48843187660668402</v>
      </c>
      <c r="AG3" s="23">
        <v>100</v>
      </c>
    </row>
    <row r="4" spans="2:33" ht="15.6" x14ac:dyDescent="0.25">
      <c r="B4" s="24" t="s">
        <v>27</v>
      </c>
      <c r="C4" s="25">
        <v>14800</v>
      </c>
      <c r="D4" s="24" t="s">
        <v>28</v>
      </c>
      <c r="E4" s="26">
        <v>0</v>
      </c>
      <c r="F4" s="24" t="s">
        <v>29</v>
      </c>
      <c r="G4" s="27">
        <v>0.13</v>
      </c>
      <c r="H4" s="24" t="s">
        <v>29</v>
      </c>
      <c r="I4" s="27">
        <v>1.5</v>
      </c>
      <c r="J4" s="100" t="s">
        <v>30</v>
      </c>
      <c r="K4" s="26">
        <f>20%+(E11-1)*5%</f>
        <v>0.4</v>
      </c>
      <c r="L4" s="24" t="s">
        <v>119</v>
      </c>
      <c r="M4" s="27">
        <f>8.6%*2</f>
        <v>0.17199999999999999</v>
      </c>
      <c r="O4" s="30">
        <v>1</v>
      </c>
      <c r="P4" s="15" t="s">
        <v>62</v>
      </c>
      <c r="Q4" s="34">
        <v>0.29530000000000001</v>
      </c>
      <c r="R4" s="32" t="s">
        <v>59</v>
      </c>
      <c r="S4" s="33">
        <f t="shared" si="0"/>
        <v>50752.4</v>
      </c>
      <c r="T4" s="34">
        <f t="shared" si="1"/>
        <v>2.4292162162162199</v>
      </c>
      <c r="U4" s="34">
        <f t="shared" si="2"/>
        <v>1.4</v>
      </c>
      <c r="V4" s="35">
        <f t="shared" si="3"/>
        <v>2.4962499999999999</v>
      </c>
      <c r="W4" s="32">
        <f t="shared" si="4"/>
        <v>0.4</v>
      </c>
      <c r="X4" s="35">
        <f t="shared" si="5"/>
        <v>0.53197446522566905</v>
      </c>
      <c r="Y4" s="32">
        <f t="shared" si="6"/>
        <v>0.8</v>
      </c>
      <c r="Z4" s="36">
        <v>0</v>
      </c>
      <c r="AA4" s="36">
        <v>0</v>
      </c>
      <c r="AB4" s="36">
        <v>0</v>
      </c>
      <c r="AC4" s="15">
        <f t="shared" si="7"/>
        <v>53496.8437659185</v>
      </c>
      <c r="AD4" s="11">
        <f>8+(E11-1)*2</f>
        <v>16</v>
      </c>
      <c r="AE4" s="11"/>
      <c r="AF4" s="12">
        <f>1520/(1520+(792+8*AG4)*(1-AE4/100)*(1-AD4/100))</f>
        <v>0.53197446522566905</v>
      </c>
      <c r="AG4" s="23">
        <v>100</v>
      </c>
    </row>
    <row r="5" spans="2:33" ht="15.6" x14ac:dyDescent="0.25">
      <c r="B5" s="24" t="s">
        <v>33</v>
      </c>
      <c r="C5" s="26">
        <f>24%+72.2%+(E11-1)*3%</f>
        <v>1.0820000000000001</v>
      </c>
      <c r="D5" s="24" t="s">
        <v>34</v>
      </c>
      <c r="E5" s="26">
        <v>0.2</v>
      </c>
      <c r="F5" s="24" t="s">
        <v>35</v>
      </c>
      <c r="G5" s="27">
        <v>0</v>
      </c>
      <c r="H5" s="24" t="s">
        <v>35</v>
      </c>
      <c r="I5" s="27">
        <v>0</v>
      </c>
      <c r="J5" s="38" t="s">
        <v>36</v>
      </c>
      <c r="K5" s="26"/>
      <c r="L5" s="24" t="s">
        <v>120</v>
      </c>
      <c r="M5" s="25">
        <v>430</v>
      </c>
      <c r="O5" s="30">
        <v>1</v>
      </c>
      <c r="P5" s="15" t="s">
        <v>78</v>
      </c>
      <c r="Q5" s="34">
        <v>0.12479999999999999</v>
      </c>
      <c r="R5" s="32" t="s">
        <v>59</v>
      </c>
      <c r="S5" s="33">
        <f t="shared" si="0"/>
        <v>50752.4</v>
      </c>
      <c r="T5" s="34">
        <f t="shared" si="1"/>
        <v>2.4292162162162199</v>
      </c>
      <c r="U5" s="34">
        <f t="shared" si="2"/>
        <v>1.4</v>
      </c>
      <c r="V5" s="35">
        <f t="shared" si="3"/>
        <v>2.4962499999999999</v>
      </c>
      <c r="W5" s="32">
        <f t="shared" si="4"/>
        <v>0.4</v>
      </c>
      <c r="X5" s="35">
        <f t="shared" si="5"/>
        <v>0.53197446522566905</v>
      </c>
      <c r="Y5" s="32">
        <f t="shared" si="6"/>
        <v>0.8</v>
      </c>
      <c r="Z5" s="36">
        <v>0.5</v>
      </c>
      <c r="AA5" s="36">
        <v>0</v>
      </c>
      <c r="AB5" s="36">
        <v>0</v>
      </c>
      <c r="AC5" s="15">
        <f t="shared" si="7"/>
        <v>33913.339495360502</v>
      </c>
      <c r="AD5" s="11">
        <v>0</v>
      </c>
      <c r="AE5" s="11"/>
      <c r="AF5" s="12">
        <f t="shared" si="8"/>
        <v>0.48843187660668402</v>
      </c>
      <c r="AG5" s="23">
        <v>100</v>
      </c>
    </row>
    <row r="6" spans="2:33" ht="15.6" x14ac:dyDescent="0.25">
      <c r="B6" s="24" t="s">
        <v>39</v>
      </c>
      <c r="C6" s="26">
        <f>22.8%*3+M4</f>
        <v>0.85599999999999998</v>
      </c>
      <c r="D6" s="24" t="s">
        <v>40</v>
      </c>
      <c r="E6" s="26">
        <v>0.4</v>
      </c>
      <c r="F6" s="24" t="s">
        <v>41</v>
      </c>
      <c r="G6" s="27">
        <v>0.1</v>
      </c>
      <c r="H6" s="24" t="s">
        <v>41</v>
      </c>
      <c r="I6" s="27"/>
      <c r="J6" s="38"/>
      <c r="K6" s="27"/>
      <c r="L6" s="24" t="s">
        <v>23</v>
      </c>
      <c r="M6" s="27">
        <f>8.1*5%</f>
        <v>0.40500000000000003</v>
      </c>
      <c r="O6" s="30">
        <v>1</v>
      </c>
      <c r="P6" s="15" t="s">
        <v>121</v>
      </c>
      <c r="Q6" s="34">
        <v>0.3387</v>
      </c>
      <c r="R6" s="32" t="s">
        <v>59</v>
      </c>
      <c r="S6" s="33">
        <f t="shared" si="0"/>
        <v>50752.4</v>
      </c>
      <c r="T6" s="34">
        <f t="shared" si="1"/>
        <v>2.4292162162162199</v>
      </c>
      <c r="U6" s="34">
        <f t="shared" si="2"/>
        <v>1.4</v>
      </c>
      <c r="V6" s="35">
        <f t="shared" si="3"/>
        <v>2.4962499999999999</v>
      </c>
      <c r="W6" s="32">
        <f t="shared" si="4"/>
        <v>0.4</v>
      </c>
      <c r="X6" s="35">
        <f t="shared" si="5"/>
        <v>0.53197446522566905</v>
      </c>
      <c r="Y6" s="32">
        <f t="shared" si="6"/>
        <v>0.8</v>
      </c>
      <c r="Z6" s="36">
        <v>2</v>
      </c>
      <c r="AA6" s="36">
        <v>0</v>
      </c>
      <c r="AB6" s="36">
        <v>0</v>
      </c>
      <c r="AC6" s="15">
        <f t="shared" si="7"/>
        <v>184077.693703183</v>
      </c>
      <c r="AD6" s="11">
        <v>0</v>
      </c>
      <c r="AE6" s="11"/>
      <c r="AF6" s="12">
        <f t="shared" si="8"/>
        <v>0.48843187660668402</v>
      </c>
      <c r="AG6" s="23">
        <v>100</v>
      </c>
    </row>
    <row r="7" spans="2:33" ht="15.6" x14ac:dyDescent="0.25">
      <c r="B7" s="24" t="s">
        <v>43</v>
      </c>
      <c r="C7" s="40"/>
      <c r="D7" s="24" t="s">
        <v>44</v>
      </c>
      <c r="E7" s="26">
        <v>0.6</v>
      </c>
      <c r="F7" s="24" t="s">
        <v>39</v>
      </c>
      <c r="G7" s="27">
        <f>M6+22%</f>
        <v>0.625</v>
      </c>
      <c r="H7" s="24" t="s">
        <v>39</v>
      </c>
      <c r="I7" s="27">
        <f>M7+44%</f>
        <v>1.25</v>
      </c>
      <c r="J7" s="38"/>
      <c r="K7" s="27"/>
      <c r="L7" s="24" t="s">
        <v>45</v>
      </c>
      <c r="M7" s="26">
        <f>16.2%*5</f>
        <v>0.81</v>
      </c>
      <c r="O7" s="30">
        <v>1</v>
      </c>
      <c r="P7" s="15" t="s">
        <v>50</v>
      </c>
      <c r="Q7" s="34"/>
      <c r="R7" s="32"/>
      <c r="S7" s="33"/>
      <c r="T7" s="34"/>
      <c r="U7" s="34"/>
      <c r="V7" s="35"/>
      <c r="W7" s="32"/>
      <c r="X7" s="35"/>
      <c r="Y7" s="32"/>
      <c r="Z7" s="36"/>
      <c r="AA7" s="36"/>
      <c r="AB7" s="36"/>
      <c r="AC7" s="15">
        <f t="shared" si="7"/>
        <v>0</v>
      </c>
      <c r="AD7" s="11">
        <v>0</v>
      </c>
      <c r="AE7" s="11"/>
      <c r="AF7" s="12">
        <f t="shared" si="8"/>
        <v>0.48843187660668402</v>
      </c>
      <c r="AG7" s="23">
        <v>100</v>
      </c>
    </row>
    <row r="8" spans="2:33" ht="15.6" x14ac:dyDescent="0.25">
      <c r="B8" s="24" t="s">
        <v>47</v>
      </c>
      <c r="C8" s="40"/>
      <c r="D8" s="24" t="s">
        <v>48</v>
      </c>
      <c r="E8" s="26">
        <v>0.2</v>
      </c>
      <c r="F8" s="24" t="s">
        <v>49</v>
      </c>
      <c r="G8" s="27">
        <v>0</v>
      </c>
      <c r="H8" s="24" t="s">
        <v>49</v>
      </c>
      <c r="I8" s="27">
        <v>0</v>
      </c>
      <c r="J8" s="38"/>
      <c r="K8" s="27"/>
      <c r="L8" s="24"/>
      <c r="M8" s="25"/>
      <c r="O8" s="30">
        <v>1</v>
      </c>
      <c r="P8" s="101" t="s">
        <v>122</v>
      </c>
      <c r="Q8" s="34">
        <v>0.49609999999999999</v>
      </c>
      <c r="R8" s="32" t="s">
        <v>62</v>
      </c>
      <c r="S8" s="33">
        <f t="shared" ref="S8:S22" si="9">$C$4*(1+C$5+C$6+C$7+C$8)+C$9+C$10</f>
        <v>50752.4</v>
      </c>
      <c r="T8" s="34">
        <f t="shared" ref="T8:T22" si="10">($C$5+$C$6+$C$7+$C$8)+($C$9+$C$10)/$C$4</f>
        <v>2.4292162162162199</v>
      </c>
      <c r="U8" s="34">
        <f t="shared" ref="U8:U22" si="11">IF(R8=$C$1,SUM($E$4:$E$9),SUM($E$4:$E$8))</f>
        <v>1.4</v>
      </c>
      <c r="V8" s="35">
        <f>1+$G$10*($I$10-1+0.25)</f>
        <v>2.71</v>
      </c>
      <c r="W8" s="32">
        <f t="shared" ref="W8:W14" si="12">IF(R8=$C$1,$K$4+$K$5,$K$4)</f>
        <v>0.4</v>
      </c>
      <c r="X8" s="35">
        <f t="shared" ref="X8:X22" si="13">$AF$4</f>
        <v>0.53197446522566905</v>
      </c>
      <c r="Y8" s="32">
        <f t="shared" ref="Y8:Y22" si="14">$AF$11</f>
        <v>0.8</v>
      </c>
      <c r="Z8" s="36">
        <v>0</v>
      </c>
      <c r="AA8" s="36">
        <v>0</v>
      </c>
      <c r="AB8" s="36">
        <v>0.4</v>
      </c>
      <c r="AC8" s="15">
        <f t="shared" si="7"/>
        <v>136597.637703396</v>
      </c>
      <c r="AD8" s="11">
        <v>0</v>
      </c>
      <c r="AE8" s="11"/>
      <c r="AF8" s="12">
        <f t="shared" si="8"/>
        <v>0.48843187660668402</v>
      </c>
      <c r="AG8" s="23">
        <v>100</v>
      </c>
    </row>
    <row r="9" spans="2:33" ht="15.6" x14ac:dyDescent="0.25">
      <c r="B9" s="24" t="s">
        <v>123</v>
      </c>
      <c r="C9" s="25">
        <f>2280*3</f>
        <v>6840</v>
      </c>
      <c r="D9" s="24"/>
      <c r="E9" s="26"/>
      <c r="F9" s="24" t="s">
        <v>53</v>
      </c>
      <c r="G9" s="27">
        <v>0</v>
      </c>
      <c r="H9" s="24" t="s">
        <v>53</v>
      </c>
      <c r="I9" s="27">
        <v>0</v>
      </c>
      <c r="J9" s="38"/>
      <c r="K9" s="27"/>
      <c r="L9" s="24"/>
      <c r="M9" s="25"/>
      <c r="O9" s="30">
        <v>1</v>
      </c>
      <c r="P9" s="101" t="s">
        <v>124</v>
      </c>
      <c r="Q9" s="34">
        <f>2.13%+2.13%+2.13%+4.26%+2.74%*5+7.2%+28.8%</f>
        <v>0.60350000000000004</v>
      </c>
      <c r="R9" s="32" t="s">
        <v>59</v>
      </c>
      <c r="S9" s="33">
        <f t="shared" si="9"/>
        <v>50752.4</v>
      </c>
      <c r="T9" s="34">
        <f t="shared" si="10"/>
        <v>2.4292162162162199</v>
      </c>
      <c r="U9" s="34">
        <f t="shared" si="11"/>
        <v>1.4</v>
      </c>
      <c r="V9" s="35">
        <f>1+$G$10*($I$10-1+0.5)</f>
        <v>2.9237500000000001</v>
      </c>
      <c r="W9" s="32">
        <f t="shared" si="12"/>
        <v>0.4</v>
      </c>
      <c r="X9" s="35">
        <f t="shared" si="13"/>
        <v>0.53197446522566905</v>
      </c>
      <c r="Y9" s="32">
        <f t="shared" si="14"/>
        <v>0.8</v>
      </c>
      <c r="Z9" s="36">
        <v>0</v>
      </c>
      <c r="AA9" s="36">
        <v>0</v>
      </c>
      <c r="AB9" s="36">
        <v>0.4</v>
      </c>
      <c r="AC9" s="15">
        <f t="shared" si="7"/>
        <v>179276.01092395699</v>
      </c>
    </row>
    <row r="10" spans="2:33" ht="15.6" x14ac:dyDescent="0.25">
      <c r="B10" s="42" t="s">
        <v>125</v>
      </c>
      <c r="C10" s="43">
        <f>M5</f>
        <v>430</v>
      </c>
      <c r="D10" s="42"/>
      <c r="E10" s="44"/>
      <c r="F10" s="45" t="s">
        <v>55</v>
      </c>
      <c r="G10" s="46">
        <f>MIN(100%,SUM(G4:G9))</f>
        <v>0.85499999999999998</v>
      </c>
      <c r="H10" s="45" t="s">
        <v>56</v>
      </c>
      <c r="I10" s="46">
        <f>SUM(I4:I9)</f>
        <v>2.75</v>
      </c>
      <c r="J10" s="47"/>
      <c r="K10" s="102"/>
      <c r="L10" s="42"/>
      <c r="M10" s="43"/>
      <c r="O10" s="30">
        <v>1</v>
      </c>
      <c r="P10" s="99" t="s">
        <v>118</v>
      </c>
      <c r="Q10" s="34">
        <v>0.50129999999999997</v>
      </c>
      <c r="R10" s="32" t="s">
        <v>59</v>
      </c>
      <c r="S10" s="33">
        <f t="shared" si="9"/>
        <v>50752.4</v>
      </c>
      <c r="T10" s="34">
        <f t="shared" si="10"/>
        <v>2.4292162162162199</v>
      </c>
      <c r="U10" s="34">
        <f t="shared" si="11"/>
        <v>1.4</v>
      </c>
      <c r="V10" s="35">
        <f t="shared" ref="V10:V13" si="15">1+$G$10*($I$10-1)</f>
        <v>2.4962499999999999</v>
      </c>
      <c r="W10" s="32">
        <f t="shared" si="12"/>
        <v>0.4</v>
      </c>
      <c r="X10" s="35">
        <f t="shared" si="13"/>
        <v>0.53197446522566905</v>
      </c>
      <c r="Y10" s="32">
        <f t="shared" si="14"/>
        <v>0.8</v>
      </c>
      <c r="Z10" s="36">
        <v>0.5</v>
      </c>
      <c r="AA10" s="36">
        <v>0</v>
      </c>
      <c r="AB10" s="36">
        <v>0</v>
      </c>
      <c r="AC10" s="15">
        <f t="shared" si="7"/>
        <v>136224.015136412</v>
      </c>
    </row>
    <row r="11" spans="2:33" ht="15.6" x14ac:dyDescent="0.25">
      <c r="D11" s="1" t="s">
        <v>126</v>
      </c>
      <c r="E11" s="1">
        <v>5</v>
      </c>
      <c r="F11" s="13" t="s">
        <v>57</v>
      </c>
      <c r="G11" s="59">
        <f>MAX(0,SUM(G4:G9)-1)</f>
        <v>0</v>
      </c>
      <c r="J11" s="2"/>
      <c r="K11" s="2"/>
      <c r="O11" s="30">
        <v>1</v>
      </c>
      <c r="P11" s="15" t="s">
        <v>78</v>
      </c>
      <c r="Q11" s="34">
        <v>0.12479999999999999</v>
      </c>
      <c r="R11" s="32" t="s">
        <v>59</v>
      </c>
      <c r="S11" s="33">
        <f t="shared" si="9"/>
        <v>50752.4</v>
      </c>
      <c r="T11" s="34">
        <f t="shared" si="10"/>
        <v>2.4292162162162199</v>
      </c>
      <c r="U11" s="34">
        <f t="shared" si="11"/>
        <v>1.4</v>
      </c>
      <c r="V11" s="35">
        <f t="shared" si="15"/>
        <v>2.4962499999999999</v>
      </c>
      <c r="W11" s="32">
        <f t="shared" si="12"/>
        <v>0.4</v>
      </c>
      <c r="X11" s="35">
        <f t="shared" si="13"/>
        <v>0.53197446522566905</v>
      </c>
      <c r="Y11" s="32">
        <f t="shared" si="14"/>
        <v>0.8</v>
      </c>
      <c r="Z11" s="36">
        <v>0.5</v>
      </c>
      <c r="AA11" s="36">
        <v>0</v>
      </c>
      <c r="AB11" s="36">
        <v>0</v>
      </c>
      <c r="AC11" s="15">
        <f t="shared" si="7"/>
        <v>33913.339495360502</v>
      </c>
      <c r="AE11" s="76" t="s">
        <v>60</v>
      </c>
      <c r="AF11" s="76">
        <v>0.8</v>
      </c>
    </row>
    <row r="12" spans="2:33" ht="15.6" x14ac:dyDescent="0.25">
      <c r="E12" s="58"/>
      <c r="J12" s="2"/>
      <c r="K12" s="2"/>
      <c r="O12" s="30">
        <v>1</v>
      </c>
      <c r="P12" s="15" t="s">
        <v>62</v>
      </c>
      <c r="Q12" s="34">
        <v>0.29530000000000001</v>
      </c>
      <c r="R12" s="32" t="s">
        <v>59</v>
      </c>
      <c r="S12" s="33">
        <f t="shared" si="9"/>
        <v>50752.4</v>
      </c>
      <c r="T12" s="34">
        <f t="shared" si="10"/>
        <v>2.4292162162162199</v>
      </c>
      <c r="U12" s="34">
        <f t="shared" si="11"/>
        <v>1.4</v>
      </c>
      <c r="V12" s="35">
        <f t="shared" si="15"/>
        <v>2.4962499999999999</v>
      </c>
      <c r="W12" s="32">
        <f t="shared" si="12"/>
        <v>0.4</v>
      </c>
      <c r="X12" s="35">
        <f t="shared" si="13"/>
        <v>0.53197446522566905</v>
      </c>
      <c r="Y12" s="32">
        <f t="shared" si="14"/>
        <v>0.8</v>
      </c>
      <c r="Z12" s="36">
        <v>0</v>
      </c>
      <c r="AA12" s="36">
        <v>0</v>
      </c>
      <c r="AB12" s="36">
        <v>0</v>
      </c>
      <c r="AC12" s="15">
        <f t="shared" si="7"/>
        <v>53496.8437659185</v>
      </c>
      <c r="AE12" s="71" t="s">
        <v>63</v>
      </c>
      <c r="AF12" s="71">
        <v>0.8</v>
      </c>
    </row>
    <row r="13" spans="2:33" ht="15.6" x14ac:dyDescent="0.25">
      <c r="O13" s="30">
        <v>1</v>
      </c>
      <c r="P13" s="15" t="s">
        <v>121</v>
      </c>
      <c r="Q13" s="34">
        <v>0.3387</v>
      </c>
      <c r="R13" s="32" t="s">
        <v>59</v>
      </c>
      <c r="S13" s="33">
        <f t="shared" si="9"/>
        <v>50752.4</v>
      </c>
      <c r="T13" s="34">
        <f t="shared" si="10"/>
        <v>2.4292162162162199</v>
      </c>
      <c r="U13" s="34">
        <f t="shared" si="11"/>
        <v>1.4</v>
      </c>
      <c r="V13" s="35">
        <f t="shared" si="15"/>
        <v>2.4962499999999999</v>
      </c>
      <c r="W13" s="32">
        <f t="shared" si="12"/>
        <v>0.4</v>
      </c>
      <c r="X13" s="35">
        <f t="shared" si="13"/>
        <v>0.53197446522566905</v>
      </c>
      <c r="Y13" s="32">
        <f t="shared" si="14"/>
        <v>0.8</v>
      </c>
      <c r="Z13" s="36">
        <v>2</v>
      </c>
      <c r="AA13" s="36">
        <v>0</v>
      </c>
      <c r="AB13" s="36">
        <v>0</v>
      </c>
      <c r="AC13" s="15">
        <f t="shared" si="7"/>
        <v>184077.693703183</v>
      </c>
      <c r="AE13" s="103" t="s">
        <v>65</v>
      </c>
      <c r="AF13" s="103">
        <v>0.8</v>
      </c>
    </row>
    <row r="14" spans="2:33" ht="15.6" x14ac:dyDescent="0.25">
      <c r="B14" s="75" t="s">
        <v>66</v>
      </c>
      <c r="D14" s="75"/>
      <c r="O14" s="30">
        <v>1</v>
      </c>
      <c r="P14" s="101" t="s">
        <v>127</v>
      </c>
      <c r="Q14" s="34">
        <f>6.49%+3.63%+1.82%+1.82%+1.82%+2.13%+2.13%+2.13%+4.26%+2.74%*5+7.2%+28.8%</f>
        <v>0.75929999999999997</v>
      </c>
      <c r="R14" s="32" t="s">
        <v>59</v>
      </c>
      <c r="S14" s="33">
        <f t="shared" si="9"/>
        <v>50752.4</v>
      </c>
      <c r="T14" s="34">
        <f t="shared" si="10"/>
        <v>2.4292162162162199</v>
      </c>
      <c r="U14" s="34">
        <f t="shared" si="11"/>
        <v>1.4</v>
      </c>
      <c r="V14" s="35">
        <f>1+$G$10*($I$10-1+0.75)</f>
        <v>3.1375000000000002</v>
      </c>
      <c r="W14" s="32">
        <f t="shared" si="12"/>
        <v>0.4</v>
      </c>
      <c r="X14" s="35">
        <f t="shared" si="13"/>
        <v>0.53197446522566905</v>
      </c>
      <c r="Y14" s="32">
        <f t="shared" si="14"/>
        <v>0.8</v>
      </c>
      <c r="Z14" s="36">
        <v>0</v>
      </c>
      <c r="AA14" s="36">
        <v>0</v>
      </c>
      <c r="AB14" s="36">
        <v>0.4</v>
      </c>
      <c r="AC14" s="15">
        <f t="shared" si="7"/>
        <v>242048.170967452</v>
      </c>
      <c r="AE14" s="74" t="s">
        <v>67</v>
      </c>
      <c r="AF14" s="74">
        <v>0.8</v>
      </c>
    </row>
    <row r="15" spans="2:33" ht="15.6" x14ac:dyDescent="0.25">
      <c r="B15" s="77"/>
      <c r="C15" s="78" t="s">
        <v>68</v>
      </c>
      <c r="D15" s="78" t="s">
        <v>69</v>
      </c>
      <c r="E15" s="78" t="s">
        <v>70</v>
      </c>
      <c r="F15" s="78" t="s">
        <v>71</v>
      </c>
      <c r="O15" s="30">
        <v>1</v>
      </c>
      <c r="P15" s="104" t="s">
        <v>128</v>
      </c>
      <c r="Q15" s="105">
        <v>0.91839999999999999</v>
      </c>
      <c r="R15" s="106" t="s">
        <v>1</v>
      </c>
      <c r="S15" s="107">
        <f t="shared" si="9"/>
        <v>50752.4</v>
      </c>
      <c r="T15" s="105">
        <f t="shared" si="10"/>
        <v>2.4292162162162199</v>
      </c>
      <c r="U15" s="105">
        <f t="shared" si="11"/>
        <v>1.4</v>
      </c>
      <c r="V15" s="108">
        <f>1+$G$10*($I$10-1+1)</f>
        <v>3.3512499999999998</v>
      </c>
      <c r="W15" s="106">
        <f>IF(R15=$C$1,$K$4+$K$5,$K$4)+60%</f>
        <v>1</v>
      </c>
      <c r="X15" s="108">
        <f t="shared" si="13"/>
        <v>0.53197446522566905</v>
      </c>
      <c r="Y15" s="106">
        <f t="shared" si="14"/>
        <v>0.8</v>
      </c>
      <c r="Z15" s="109">
        <v>1</v>
      </c>
      <c r="AA15" s="109">
        <v>0</v>
      </c>
      <c r="AB15" s="109">
        <v>0.4</v>
      </c>
      <c r="AC15" s="15">
        <f t="shared" si="7"/>
        <v>893460.44142064801</v>
      </c>
      <c r="AE15" s="110" t="s">
        <v>73</v>
      </c>
      <c r="AF15" s="110">
        <v>0.8</v>
      </c>
    </row>
    <row r="16" spans="2:33" ht="15.6" x14ac:dyDescent="0.25">
      <c r="B16" s="4" t="s">
        <v>74</v>
      </c>
      <c r="C16" s="84">
        <f>SUM(AC3:AC22)</f>
        <v>2898460.1094184499</v>
      </c>
      <c r="D16" s="84">
        <f t="shared" ref="D16:D18" si="16">C16/$E$16</f>
        <v>93498.713207046705</v>
      </c>
      <c r="E16" s="85">
        <v>31</v>
      </c>
      <c r="F16" s="86">
        <f>C16/$C$19</f>
        <v>0.91221728691402704</v>
      </c>
      <c r="O16" s="30">
        <v>1</v>
      </c>
      <c r="P16" s="111" t="s">
        <v>118</v>
      </c>
      <c r="Q16" s="34">
        <v>0.50129999999999997</v>
      </c>
      <c r="R16" s="32" t="s">
        <v>59</v>
      </c>
      <c r="S16" s="33">
        <f t="shared" si="9"/>
        <v>50752.4</v>
      </c>
      <c r="T16" s="34">
        <f t="shared" si="10"/>
        <v>2.4292162162162199</v>
      </c>
      <c r="U16" s="34">
        <f t="shared" si="11"/>
        <v>1.4</v>
      </c>
      <c r="V16" s="35">
        <f t="shared" ref="V16:V22" si="17">1+$G$10*($I$10-1)</f>
        <v>2.4962499999999999</v>
      </c>
      <c r="W16" s="32">
        <f t="shared" ref="W16:W22" si="18">IF(R16=$C$1,$K$4+$K$5,$K$4)</f>
        <v>0.4</v>
      </c>
      <c r="X16" s="35">
        <f t="shared" si="13"/>
        <v>0.53197446522566905</v>
      </c>
      <c r="Y16" s="32">
        <f t="shared" si="14"/>
        <v>0.8</v>
      </c>
      <c r="Z16" s="36">
        <v>0.5</v>
      </c>
      <c r="AA16" s="36">
        <v>0</v>
      </c>
      <c r="AB16" s="36">
        <v>0</v>
      </c>
      <c r="AC16" s="15">
        <f t="shared" si="7"/>
        <v>136224.015136412</v>
      </c>
      <c r="AE16" s="78" t="s">
        <v>76</v>
      </c>
      <c r="AF16" s="78">
        <v>0.8</v>
      </c>
    </row>
    <row r="17" spans="2:32" ht="15.6" x14ac:dyDescent="0.25">
      <c r="B17" s="4" t="s">
        <v>77</v>
      </c>
      <c r="C17" s="84">
        <f>AC27</f>
        <v>68956.890488431905</v>
      </c>
      <c r="D17" s="84">
        <f t="shared" si="16"/>
        <v>2224.4158222074798</v>
      </c>
      <c r="E17" s="85"/>
      <c r="F17" s="86">
        <f>C17/$C$19</f>
        <v>2.1702443773844501E-2</v>
      </c>
      <c r="J17" s="34"/>
      <c r="O17" s="30">
        <v>1</v>
      </c>
      <c r="P17" s="111" t="s">
        <v>78</v>
      </c>
      <c r="Q17" s="34">
        <v>0.12479999999999999</v>
      </c>
      <c r="R17" s="32" t="s">
        <v>59</v>
      </c>
      <c r="S17" s="33">
        <f t="shared" si="9"/>
        <v>50752.4</v>
      </c>
      <c r="T17" s="34">
        <f t="shared" si="10"/>
        <v>2.4292162162162199</v>
      </c>
      <c r="U17" s="34">
        <f t="shared" si="11"/>
        <v>1.4</v>
      </c>
      <c r="V17" s="35">
        <f t="shared" si="17"/>
        <v>2.4962499999999999</v>
      </c>
      <c r="W17" s="32">
        <f t="shared" si="18"/>
        <v>0.4</v>
      </c>
      <c r="X17" s="35">
        <f t="shared" si="13"/>
        <v>0.53197446522566905</v>
      </c>
      <c r="Y17" s="32">
        <f t="shared" si="14"/>
        <v>0.8</v>
      </c>
      <c r="Z17" s="36">
        <v>0.5</v>
      </c>
      <c r="AA17" s="36">
        <v>0</v>
      </c>
      <c r="AB17" s="36">
        <v>0</v>
      </c>
      <c r="AC17" s="15">
        <f t="shared" si="7"/>
        <v>33913.339495360502</v>
      </c>
    </row>
    <row r="18" spans="2:32" ht="15.6" x14ac:dyDescent="0.25">
      <c r="B18" s="4" t="s">
        <v>129</v>
      </c>
      <c r="C18" s="84">
        <f>AC30</f>
        <v>209962.06426735199</v>
      </c>
      <c r="D18" s="84">
        <f t="shared" si="16"/>
        <v>6772.9698150758804</v>
      </c>
      <c r="E18" s="85"/>
      <c r="F18" s="86"/>
      <c r="O18" s="30">
        <v>1</v>
      </c>
      <c r="P18" s="111" t="s">
        <v>131</v>
      </c>
      <c r="Q18" s="34">
        <v>9.9000000000000005E-2</v>
      </c>
      <c r="R18" s="32" t="s">
        <v>59</v>
      </c>
      <c r="S18" s="33">
        <f t="shared" si="9"/>
        <v>50752.4</v>
      </c>
      <c r="T18" s="34">
        <f t="shared" si="10"/>
        <v>2.4292162162162199</v>
      </c>
      <c r="U18" s="34">
        <f t="shared" si="11"/>
        <v>1.4</v>
      </c>
      <c r="V18" s="35">
        <f t="shared" si="17"/>
        <v>2.4962499999999999</v>
      </c>
      <c r="W18" s="32">
        <f t="shared" si="18"/>
        <v>0.4</v>
      </c>
      <c r="X18" s="35">
        <f t="shared" si="13"/>
        <v>0.53197446522566905</v>
      </c>
      <c r="Y18" s="32">
        <f t="shared" si="14"/>
        <v>0.8</v>
      </c>
      <c r="Z18" s="36">
        <v>2</v>
      </c>
      <c r="AA18" s="36">
        <v>0</v>
      </c>
      <c r="AB18" s="36">
        <v>0</v>
      </c>
      <c r="AC18" s="15">
        <f t="shared" si="7"/>
        <v>53804.817468600697</v>
      </c>
      <c r="AE18" s="1" t="s">
        <v>80</v>
      </c>
      <c r="AF18" s="1">
        <v>0.8</v>
      </c>
    </row>
    <row r="19" spans="2:32" ht="15.6" x14ac:dyDescent="0.25">
      <c r="B19" s="4" t="s">
        <v>79</v>
      </c>
      <c r="C19" s="87">
        <f>SUM(C16:C18)</f>
        <v>3177379.0641742302</v>
      </c>
      <c r="D19" s="87">
        <f>C19/E16</f>
        <v>102496.09884433</v>
      </c>
      <c r="E19" s="88"/>
      <c r="F19" s="89"/>
      <c r="O19" s="30">
        <v>1</v>
      </c>
      <c r="P19" s="111" t="s">
        <v>118</v>
      </c>
      <c r="Q19" s="34">
        <v>0.50129999999999997</v>
      </c>
      <c r="R19" s="32" t="s">
        <v>59</v>
      </c>
      <c r="S19" s="33">
        <f t="shared" si="9"/>
        <v>50752.4</v>
      </c>
      <c r="T19" s="34">
        <f t="shared" si="10"/>
        <v>2.4292162162162199</v>
      </c>
      <c r="U19" s="34">
        <f t="shared" si="11"/>
        <v>1.4</v>
      </c>
      <c r="V19" s="35">
        <f t="shared" si="17"/>
        <v>2.4962499999999999</v>
      </c>
      <c r="W19" s="32">
        <f t="shared" si="18"/>
        <v>0.4</v>
      </c>
      <c r="X19" s="35">
        <f t="shared" si="13"/>
        <v>0.53197446522566905</v>
      </c>
      <c r="Y19" s="32">
        <f t="shared" si="14"/>
        <v>0.8</v>
      </c>
      <c r="Z19" s="36">
        <v>0.5</v>
      </c>
      <c r="AA19" s="36">
        <v>0</v>
      </c>
      <c r="AB19" s="36">
        <v>0</v>
      </c>
      <c r="AC19" s="15">
        <f t="shared" si="7"/>
        <v>136224.015136412</v>
      </c>
    </row>
    <row r="20" spans="2:32" ht="15.6" x14ac:dyDescent="0.25">
      <c r="B20" s="4"/>
      <c r="C20" s="4"/>
      <c r="D20" s="4"/>
      <c r="O20" s="30">
        <v>1</v>
      </c>
      <c r="P20" s="111" t="s">
        <v>78</v>
      </c>
      <c r="Q20" s="34">
        <v>0.12479999999999999</v>
      </c>
      <c r="R20" s="32" t="s">
        <v>59</v>
      </c>
      <c r="S20" s="33">
        <f t="shared" si="9"/>
        <v>50752.4</v>
      </c>
      <c r="T20" s="34">
        <f t="shared" si="10"/>
        <v>2.4292162162162199</v>
      </c>
      <c r="U20" s="34">
        <f t="shared" si="11"/>
        <v>1.4</v>
      </c>
      <c r="V20" s="35">
        <f t="shared" si="17"/>
        <v>2.4962499999999999</v>
      </c>
      <c r="W20" s="32">
        <f t="shared" si="18"/>
        <v>0.4</v>
      </c>
      <c r="X20" s="35">
        <f t="shared" si="13"/>
        <v>0.53197446522566905</v>
      </c>
      <c r="Y20" s="32">
        <f t="shared" si="14"/>
        <v>0.8</v>
      </c>
      <c r="Z20" s="36">
        <v>0.5</v>
      </c>
      <c r="AA20" s="36">
        <v>0</v>
      </c>
      <c r="AB20" s="36">
        <v>0</v>
      </c>
      <c r="AC20" s="15">
        <f t="shared" si="7"/>
        <v>33913.339495360502</v>
      </c>
    </row>
    <row r="21" spans="2:32" ht="15.6" x14ac:dyDescent="0.25">
      <c r="B21" s="4"/>
      <c r="C21" s="4"/>
      <c r="D21" s="4"/>
      <c r="F21" s="4"/>
      <c r="O21" s="30">
        <v>1</v>
      </c>
      <c r="P21" s="111" t="s">
        <v>62</v>
      </c>
      <c r="Q21" s="34">
        <v>0.29530000000000001</v>
      </c>
      <c r="R21" s="32" t="s">
        <v>59</v>
      </c>
      <c r="S21" s="33">
        <f t="shared" si="9"/>
        <v>50752.4</v>
      </c>
      <c r="T21" s="34">
        <f t="shared" si="10"/>
        <v>2.4292162162162199</v>
      </c>
      <c r="U21" s="34">
        <f t="shared" si="11"/>
        <v>1.4</v>
      </c>
      <c r="V21" s="35">
        <f t="shared" si="17"/>
        <v>2.4962499999999999</v>
      </c>
      <c r="W21" s="32">
        <f t="shared" si="18"/>
        <v>0.4</v>
      </c>
      <c r="X21" s="35">
        <f t="shared" si="13"/>
        <v>0.53197446522566905</v>
      </c>
      <c r="Y21" s="32">
        <f t="shared" si="14"/>
        <v>0.8</v>
      </c>
      <c r="Z21" s="36">
        <v>0</v>
      </c>
      <c r="AA21" s="36">
        <v>0</v>
      </c>
      <c r="AB21" s="36">
        <v>0</v>
      </c>
      <c r="AC21" s="15">
        <f t="shared" si="7"/>
        <v>53496.8437659185</v>
      </c>
    </row>
    <row r="22" spans="2:32" ht="15.6" x14ac:dyDescent="0.25">
      <c r="F22" s="90" t="s">
        <v>101</v>
      </c>
      <c r="G22" s="91" t="s">
        <v>115</v>
      </c>
      <c r="H22" s="91" t="s">
        <v>94</v>
      </c>
      <c r="I22" s="91" t="s">
        <v>92</v>
      </c>
      <c r="J22" s="91" t="s">
        <v>132</v>
      </c>
      <c r="K22" s="91" t="s">
        <v>94</v>
      </c>
      <c r="O22" s="30">
        <v>1</v>
      </c>
      <c r="P22" s="111" t="s">
        <v>121</v>
      </c>
      <c r="Q22" s="34">
        <v>0.3387</v>
      </c>
      <c r="R22" s="32" t="s">
        <v>59</v>
      </c>
      <c r="S22" s="33">
        <f t="shared" si="9"/>
        <v>50752.4</v>
      </c>
      <c r="T22" s="34">
        <f t="shared" si="10"/>
        <v>2.4292162162162199</v>
      </c>
      <c r="U22" s="34">
        <f t="shared" si="11"/>
        <v>1.4</v>
      </c>
      <c r="V22" s="35">
        <f t="shared" si="17"/>
        <v>2.4962499999999999</v>
      </c>
      <c r="W22" s="32">
        <f t="shared" si="18"/>
        <v>0.4</v>
      </c>
      <c r="X22" s="35">
        <f t="shared" si="13"/>
        <v>0.53197446522566905</v>
      </c>
      <c r="Y22" s="32">
        <f t="shared" si="14"/>
        <v>0.8</v>
      </c>
      <c r="Z22" s="36">
        <v>2</v>
      </c>
      <c r="AA22" s="36">
        <v>0</v>
      </c>
      <c r="AB22" s="36">
        <v>0</v>
      </c>
      <c r="AC22" s="15">
        <f t="shared" si="7"/>
        <v>184077.693703183</v>
      </c>
    </row>
    <row r="23" spans="2:32" x14ac:dyDescent="0.25">
      <c r="F23" s="151" t="s">
        <v>95</v>
      </c>
      <c r="G23" s="1">
        <v>23165</v>
      </c>
      <c r="I23" s="151" t="s">
        <v>95</v>
      </c>
      <c r="J23" s="1">
        <v>29336</v>
      </c>
      <c r="Q23" s="34"/>
      <c r="U23" s="1"/>
      <c r="V23" s="1"/>
      <c r="AB23" s="1"/>
      <c r="AC23" s="1"/>
    </row>
    <row r="24" spans="2:32" ht="15.6" x14ac:dyDescent="0.25">
      <c r="B24" s="4"/>
      <c r="C24" s="4"/>
      <c r="D24" s="4"/>
      <c r="F24" s="1">
        <v>11</v>
      </c>
      <c r="G24" s="1">
        <v>28645</v>
      </c>
      <c r="H24" s="2">
        <f t="shared" ref="H24:H29" si="19">G24/G23-1</f>
        <v>0.23656378156701899</v>
      </c>
      <c r="I24" s="1">
        <v>21</v>
      </c>
      <c r="J24" s="1">
        <v>55889</v>
      </c>
      <c r="K24" s="2">
        <f>J24/J23-1</f>
        <v>0.90513362421597998</v>
      </c>
      <c r="O24" s="60">
        <f t="shared" ref="O24:O26" si="20">$O$27</f>
        <v>1</v>
      </c>
      <c r="P24" s="62" t="s">
        <v>81</v>
      </c>
      <c r="Q24" s="61">
        <v>18.807500000000001</v>
      </c>
      <c r="R24" s="62" t="s">
        <v>82</v>
      </c>
      <c r="S24" s="62">
        <v>10027</v>
      </c>
      <c r="T24" s="61">
        <v>0</v>
      </c>
      <c r="U24" s="61">
        <v>0</v>
      </c>
      <c r="V24" s="63">
        <v>1</v>
      </c>
      <c r="W24" s="62">
        <v>0</v>
      </c>
      <c r="X24" s="63">
        <f t="shared" ref="X24:X27" si="21">$AF$3</f>
        <v>0.48843187660668402</v>
      </c>
      <c r="Y24" s="62">
        <f t="shared" ref="Y24:Y27" si="22">$AF$18</f>
        <v>0.8</v>
      </c>
      <c r="Z24" s="64">
        <v>0</v>
      </c>
      <c r="AA24" s="64">
        <v>0</v>
      </c>
      <c r="AB24" s="29">
        <v>0.5</v>
      </c>
      <c r="AC24" s="112">
        <f t="shared" ref="AC24:AC27" si="23">Q24*S24*(1+T24)*(1+U24)*V24*(1+W24)*X24*Y24*(1+Z24)*(1+AA24)*(1+AB24)*O24</f>
        <v>110531.82254498699</v>
      </c>
    </row>
    <row r="25" spans="2:32" ht="15.6" x14ac:dyDescent="0.25">
      <c r="B25" s="4"/>
      <c r="C25" s="4"/>
      <c r="D25" s="4"/>
      <c r="F25" s="1">
        <v>21</v>
      </c>
      <c r="G25" s="1">
        <v>34890</v>
      </c>
      <c r="H25" s="2">
        <f t="shared" si="19"/>
        <v>0.21801361494152499</v>
      </c>
      <c r="I25" s="1">
        <v>31</v>
      </c>
      <c r="J25" s="1">
        <v>64516</v>
      </c>
      <c r="K25" s="2">
        <f>J25/J24-1</f>
        <v>0.15435953407647299</v>
      </c>
      <c r="O25" s="24">
        <f t="shared" si="20"/>
        <v>1</v>
      </c>
      <c r="P25" s="1" t="s">
        <v>83</v>
      </c>
      <c r="Q25" s="2">
        <v>2.9822000000000002</v>
      </c>
      <c r="R25" s="1" t="s">
        <v>82</v>
      </c>
      <c r="S25" s="1">
        <v>10027</v>
      </c>
      <c r="T25" s="2">
        <v>0</v>
      </c>
      <c r="U25" s="2">
        <v>0</v>
      </c>
      <c r="V25" s="69">
        <v>1</v>
      </c>
      <c r="W25" s="1">
        <v>0</v>
      </c>
      <c r="X25" s="69">
        <f t="shared" si="21"/>
        <v>0.48843187660668402</v>
      </c>
      <c r="Y25" s="1">
        <f t="shared" si="22"/>
        <v>0.8</v>
      </c>
      <c r="Z25" s="58">
        <v>0</v>
      </c>
      <c r="AA25" s="58">
        <v>0</v>
      </c>
      <c r="AB25" s="26">
        <v>0.5</v>
      </c>
      <c r="AC25" s="112">
        <f t="shared" si="23"/>
        <v>17526.412398971701</v>
      </c>
    </row>
    <row r="26" spans="2:32" ht="15.6" x14ac:dyDescent="0.25">
      <c r="F26" s="1">
        <v>31</v>
      </c>
      <c r="G26" s="1">
        <v>42139</v>
      </c>
      <c r="H26" s="2">
        <f t="shared" si="19"/>
        <v>0.207767268558326</v>
      </c>
      <c r="I26" s="1">
        <v>41</v>
      </c>
      <c r="J26" s="1">
        <v>69871</v>
      </c>
      <c r="K26" s="2">
        <f>J26/J25-1</f>
        <v>8.3002666005332001E-2</v>
      </c>
      <c r="O26" s="24">
        <f t="shared" si="20"/>
        <v>1</v>
      </c>
      <c r="P26" s="1" t="s">
        <v>85</v>
      </c>
      <c r="Q26" s="2">
        <v>5.9642999999999997</v>
      </c>
      <c r="R26" s="1" t="s">
        <v>82</v>
      </c>
      <c r="S26" s="1">
        <v>10027</v>
      </c>
      <c r="T26" s="2">
        <v>0</v>
      </c>
      <c r="U26" s="2">
        <v>0</v>
      </c>
      <c r="V26" s="69">
        <v>1</v>
      </c>
      <c r="W26" s="1">
        <v>0</v>
      </c>
      <c r="X26" s="69">
        <f t="shared" si="21"/>
        <v>0.48843187660668402</v>
      </c>
      <c r="Y26" s="1">
        <f t="shared" si="22"/>
        <v>0.8</v>
      </c>
      <c r="Z26" s="58">
        <v>0</v>
      </c>
      <c r="AA26" s="58">
        <v>0</v>
      </c>
      <c r="AB26" s="26">
        <v>0.5</v>
      </c>
      <c r="AC26" s="113">
        <f t="shared" si="23"/>
        <v>35052.237097172198</v>
      </c>
    </row>
    <row r="27" spans="2:32" ht="15.6" x14ac:dyDescent="0.25">
      <c r="B27" s="4"/>
      <c r="C27" s="4"/>
      <c r="D27" s="4"/>
      <c r="F27" s="1">
        <v>51</v>
      </c>
      <c r="G27" s="1">
        <v>43981</v>
      </c>
      <c r="H27" s="2">
        <f t="shared" si="19"/>
        <v>4.37124753791025E-2</v>
      </c>
      <c r="I27" s="1">
        <v>61</v>
      </c>
      <c r="J27" s="1">
        <v>84176</v>
      </c>
      <c r="K27" s="2">
        <f>J27/J26-1</f>
        <v>0.204734439180776</v>
      </c>
      <c r="O27" s="13">
        <v>1</v>
      </c>
      <c r="P27" s="114" t="s">
        <v>77</v>
      </c>
      <c r="Q27" s="115">
        <v>16</v>
      </c>
      <c r="R27" s="114" t="s">
        <v>86</v>
      </c>
      <c r="S27" s="114">
        <v>10027</v>
      </c>
      <c r="T27" s="115">
        <v>0</v>
      </c>
      <c r="U27" s="115">
        <v>0</v>
      </c>
      <c r="V27" s="116">
        <v>1</v>
      </c>
      <c r="W27" s="114">
        <v>0</v>
      </c>
      <c r="X27" s="116">
        <f t="shared" si="21"/>
        <v>0.48843187660668402</v>
      </c>
      <c r="Y27" s="114">
        <f t="shared" si="22"/>
        <v>0.8</v>
      </c>
      <c r="Z27" s="117">
        <v>0</v>
      </c>
      <c r="AA27" s="117">
        <v>0</v>
      </c>
      <c r="AB27" s="118">
        <v>0.1</v>
      </c>
      <c r="AC27" s="119">
        <f t="shared" si="23"/>
        <v>68956.890488431905</v>
      </c>
    </row>
    <row r="28" spans="2:32" x14ac:dyDescent="0.25">
      <c r="B28" s="4"/>
      <c r="C28" s="4"/>
      <c r="D28" s="4"/>
      <c r="F28" s="1">
        <v>61</v>
      </c>
      <c r="G28" s="1">
        <v>55308</v>
      </c>
      <c r="H28" s="2">
        <f t="shared" si="19"/>
        <v>0.25754302994474898</v>
      </c>
      <c r="I28" s="1">
        <v>65</v>
      </c>
      <c r="J28" s="1">
        <v>102496</v>
      </c>
      <c r="K28" s="2">
        <f>J28/J27-1</f>
        <v>0.21763923208515501</v>
      </c>
    </row>
    <row r="29" spans="2:32" x14ac:dyDescent="0.25">
      <c r="F29" s="1">
        <v>65</v>
      </c>
      <c r="G29" s="1">
        <v>64468</v>
      </c>
      <c r="H29" s="2">
        <f t="shared" si="19"/>
        <v>0.16561799378028499</v>
      </c>
      <c r="N29" s="60" t="s">
        <v>91</v>
      </c>
      <c r="O29" s="62" t="s">
        <v>4</v>
      </c>
      <c r="P29" s="62"/>
      <c r="Q29" s="61"/>
      <c r="R29" s="62"/>
      <c r="S29" s="62"/>
      <c r="T29" s="62"/>
      <c r="U29" s="61"/>
      <c r="V29" s="120"/>
      <c r="W29" s="62"/>
      <c r="X29" s="62"/>
      <c r="Y29" s="62"/>
      <c r="Z29" s="62"/>
      <c r="AA29" s="62"/>
      <c r="AB29" s="121"/>
      <c r="AC29" s="122"/>
    </row>
    <row r="30" spans="2:32" ht="15.6" x14ac:dyDescent="0.25">
      <c r="B30" s="4"/>
      <c r="C30" s="4"/>
      <c r="D30" s="4"/>
      <c r="F30" s="4"/>
      <c r="N30" s="24">
        <v>6</v>
      </c>
      <c r="O30" s="1">
        <v>26</v>
      </c>
      <c r="P30" s="103" t="s">
        <v>87</v>
      </c>
      <c r="Q30" s="123">
        <f>IF(N30&gt;0,(MAX(45%,112.5%+112.5%*(N30-2))),(IF(N30&lt;=0,0)))</f>
        <v>5.625</v>
      </c>
      <c r="R30" s="103" t="s">
        <v>87</v>
      </c>
      <c r="S30" s="124">
        <v>3674.1</v>
      </c>
      <c r="T30" s="125">
        <v>0</v>
      </c>
      <c r="U30" s="125">
        <v>0</v>
      </c>
      <c r="V30" s="126">
        <v>1</v>
      </c>
      <c r="W30" s="103">
        <v>0</v>
      </c>
      <c r="X30" s="126">
        <f t="shared" ref="X30:X33" si="24">$AF$3</f>
        <v>0.48843187660668402</v>
      </c>
      <c r="Y30" s="103">
        <f>$AF$13</f>
        <v>0.8</v>
      </c>
      <c r="Z30" s="127">
        <v>0</v>
      </c>
      <c r="AA30" s="127">
        <v>0</v>
      </c>
      <c r="AB30" s="127">
        <v>0</v>
      </c>
      <c r="AC30" s="128">
        <f t="shared" ref="AC30:AC33" si="25">Q30*S30*(1+T30)*(1+U30)*V30*(1+W30)*X30*Y30*(1+Z30)*(1+AA30)*(1+AB30)*O30</f>
        <v>209962.06426735199</v>
      </c>
    </row>
    <row r="31" spans="2:32" ht="15.6" x14ac:dyDescent="0.25">
      <c r="B31" s="4"/>
      <c r="C31" s="4"/>
      <c r="D31" s="4"/>
      <c r="N31" s="24">
        <v>10</v>
      </c>
      <c r="O31" s="1">
        <v>1</v>
      </c>
      <c r="P31" s="76" t="s">
        <v>88</v>
      </c>
      <c r="Q31" s="129">
        <f>IF(N31=1,0.3,IF(AND(N31&gt;=2,N31&lt;=10),0.3+0.2439*(N31-1),IF(AND(N31&gt;=11),2.4951+0.8317*(N31-10),IF(AND(N31&lt;=0),0,""))))</f>
        <v>2.4950999999999999</v>
      </c>
      <c r="R31" s="76" t="s">
        <v>88</v>
      </c>
      <c r="S31" s="130">
        <v>3674.1</v>
      </c>
      <c r="T31" s="131">
        <v>0</v>
      </c>
      <c r="U31" s="131">
        <v>0</v>
      </c>
      <c r="V31" s="132">
        <v>1</v>
      </c>
      <c r="W31" s="76">
        <v>0</v>
      </c>
      <c r="X31" s="132">
        <f t="shared" si="24"/>
        <v>0.48843187660668402</v>
      </c>
      <c r="Y31" s="76">
        <f>$AF$11</f>
        <v>0.8</v>
      </c>
      <c r="Z31" s="133">
        <v>0</v>
      </c>
      <c r="AA31" s="133">
        <v>0</v>
      </c>
      <c r="AB31" s="133">
        <v>0</v>
      </c>
      <c r="AC31" s="134">
        <f t="shared" si="25"/>
        <v>3582.0604892545002</v>
      </c>
    </row>
    <row r="32" spans="2:32" ht="15.6" x14ac:dyDescent="0.25">
      <c r="N32" s="24">
        <v>13</v>
      </c>
      <c r="O32" s="1">
        <v>1</v>
      </c>
      <c r="P32" s="110" t="s">
        <v>89</v>
      </c>
      <c r="Q32" s="135">
        <f>IF(N32=1,24.5%,IF(AND(10&gt;=N32,N32&gt;=2),24.5%+(N32-1)*19.9185%,IF(AND(13&gt;=N32,N32&gt;=11),203.77%+(N32-10)*(271.69%-203.77%),"")))</f>
        <v>4.0753000000000004</v>
      </c>
      <c r="R32" s="110" t="s">
        <v>89</v>
      </c>
      <c r="S32" s="136">
        <v>3674.1</v>
      </c>
      <c r="T32" s="137">
        <v>0</v>
      </c>
      <c r="U32" s="137">
        <v>0</v>
      </c>
      <c r="V32" s="138">
        <v>1</v>
      </c>
      <c r="W32" s="110">
        <v>0</v>
      </c>
      <c r="X32" s="138">
        <f t="shared" si="24"/>
        <v>0.48843187660668402</v>
      </c>
      <c r="Y32" s="110">
        <f>$AF$15</f>
        <v>0.8</v>
      </c>
      <c r="Z32" s="139">
        <v>0</v>
      </c>
      <c r="AA32" s="139">
        <v>0</v>
      </c>
      <c r="AB32" s="139">
        <v>0</v>
      </c>
      <c r="AC32" s="140">
        <f t="shared" si="25"/>
        <v>5850.6557299742899</v>
      </c>
    </row>
    <row r="33" spans="2:29" ht="15.6" x14ac:dyDescent="0.25">
      <c r="B33" s="4"/>
      <c r="C33" s="4"/>
      <c r="D33" s="4"/>
      <c r="N33" s="42">
        <v>13</v>
      </c>
      <c r="O33" s="79">
        <v>1</v>
      </c>
      <c r="P33" s="141" t="s">
        <v>90</v>
      </c>
      <c r="Q33" s="142">
        <f>IF(N33=1,0.84,IF(N33=2,1.5229,IF(N33=3,2.2058,IF(N33=4,2.8888,IF(N33=5,3.5717,IF(N33=6,4.2546,IF(N33=7,4.9375,IF(N33=8,5.6204,IF(N33=9,6.3034,IF(N33=10,6.9863,IF(N33=11,9.315,IF(N33=12,11.6438,IF(N33=13,13.9726,"")))))))))))))</f>
        <v>13.9726</v>
      </c>
      <c r="R33" s="141" t="s">
        <v>90</v>
      </c>
      <c r="S33" s="143">
        <v>3674.1</v>
      </c>
      <c r="T33" s="144">
        <v>0</v>
      </c>
      <c r="U33" s="144">
        <v>0</v>
      </c>
      <c r="V33" s="145">
        <v>1</v>
      </c>
      <c r="W33" s="141">
        <v>0</v>
      </c>
      <c r="X33" s="145">
        <f t="shared" si="24"/>
        <v>0.48843187660668402</v>
      </c>
      <c r="Y33" s="141">
        <f>$AF$16</f>
        <v>0.8</v>
      </c>
      <c r="Z33" s="146">
        <v>0</v>
      </c>
      <c r="AA33" s="146">
        <v>0</v>
      </c>
      <c r="AB33" s="146">
        <v>0</v>
      </c>
      <c r="AC33" s="147">
        <f t="shared" si="25"/>
        <v>20059.596165347</v>
      </c>
    </row>
  </sheetData>
  <mergeCells count="7">
    <mergeCell ref="B2:M2"/>
    <mergeCell ref="B3:C3"/>
    <mergeCell ref="D3:E3"/>
    <mergeCell ref="F3:G3"/>
    <mergeCell ref="H3:I3"/>
    <mergeCell ref="J3:K3"/>
    <mergeCell ref="L3:M3"/>
  </mergeCells>
  <phoneticPr fontId="10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G32"/>
  <sheetViews>
    <sheetView topLeftCell="A4" workbookViewId="0">
      <selection activeCell="G21" sqref="G21:K26"/>
    </sheetView>
  </sheetViews>
  <sheetFormatPr defaultColWidth="9.6640625" defaultRowHeight="14.4" x14ac:dyDescent="0.25"/>
  <cols>
    <col min="1" max="1" width="7.5546875" style="1" customWidth="1"/>
    <col min="2" max="2" width="15" style="1" customWidth="1"/>
    <col min="3" max="3" width="15.33203125" style="1" customWidth="1"/>
    <col min="4" max="4" width="13.88671875" style="1" customWidth="1"/>
    <col min="5" max="5" width="9.5546875" style="1" customWidth="1"/>
    <col min="6" max="6" width="13.88671875" style="1" customWidth="1"/>
    <col min="7" max="7" width="7.33203125" style="2" customWidth="1"/>
    <col min="8" max="9" width="11.77734375" style="1" customWidth="1"/>
    <col min="10" max="10" width="14" style="1" customWidth="1"/>
    <col min="11" max="12" width="9.5546875" style="1" customWidth="1"/>
    <col min="13" max="13" width="7.33203125" style="1" customWidth="1"/>
    <col min="14" max="14" width="5.5546875" style="1" customWidth="1"/>
    <col min="15" max="15" width="6.109375" style="1" customWidth="1"/>
    <col min="16" max="16" width="17.21875" style="1" customWidth="1"/>
    <col min="17" max="17" width="9.5546875" style="2" customWidth="1"/>
    <col min="18" max="18" width="6.109375" style="1" customWidth="1"/>
    <col min="19" max="19" width="10.44140625" style="1" customWidth="1"/>
    <col min="20" max="20" width="8.44140625" style="1" customWidth="1"/>
    <col min="21" max="21" width="8.44140625" style="2" customWidth="1"/>
    <col min="22" max="22" width="8.21875" style="3" customWidth="1"/>
    <col min="23" max="25" width="8.21875" style="1" customWidth="1"/>
    <col min="26" max="26" width="10.44140625" style="1" customWidth="1"/>
    <col min="27" max="27" width="8.21875" style="1" customWidth="1"/>
    <col min="28" max="28" width="10.44140625" style="4" customWidth="1"/>
    <col min="29" max="29" width="9.44140625" style="4" customWidth="1"/>
    <col min="30" max="30" width="9.5546875" style="1" customWidth="1"/>
    <col min="31" max="31" width="5.88671875" style="1" customWidth="1"/>
    <col min="32" max="32" width="8" style="1" customWidth="1"/>
    <col min="33" max="33" width="9.5546875" style="1" customWidth="1"/>
    <col min="34" max="16384" width="9.6640625" style="1"/>
  </cols>
  <sheetData>
    <row r="1" spans="1:33" x14ac:dyDescent="0.25">
      <c r="B1" s="5" t="s">
        <v>0</v>
      </c>
      <c r="C1" s="5" t="s">
        <v>1</v>
      </c>
      <c r="D1" s="6" t="s">
        <v>2</v>
      </c>
      <c r="E1" s="6">
        <v>1</v>
      </c>
      <c r="G1" s="1"/>
    </row>
    <row r="2" spans="1:33" ht="15.6" x14ac:dyDescent="0.25">
      <c r="B2" s="199" t="s">
        <v>133</v>
      </c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1"/>
      <c r="O2" s="7" t="s">
        <v>4</v>
      </c>
      <c r="P2" s="7" t="s">
        <v>5</v>
      </c>
      <c r="Q2" s="8" t="s">
        <v>6</v>
      </c>
      <c r="R2" s="7" t="s">
        <v>7</v>
      </c>
      <c r="S2" s="7" t="s">
        <v>8</v>
      </c>
      <c r="T2" s="7" t="s">
        <v>9</v>
      </c>
      <c r="U2" s="8" t="s">
        <v>10</v>
      </c>
      <c r="V2" s="9" t="s">
        <v>11</v>
      </c>
      <c r="W2" s="7" t="s">
        <v>12</v>
      </c>
      <c r="X2" s="7" t="s">
        <v>13</v>
      </c>
      <c r="Y2" s="7" t="s">
        <v>14</v>
      </c>
      <c r="Z2" s="7" t="s">
        <v>15</v>
      </c>
      <c r="AA2" s="7" t="s">
        <v>16</v>
      </c>
      <c r="AB2" s="10" t="s">
        <v>17</v>
      </c>
      <c r="AC2" s="10" t="s">
        <v>18</v>
      </c>
      <c r="AD2" s="11" t="s">
        <v>19</v>
      </c>
      <c r="AE2" s="11" t="s">
        <v>20</v>
      </c>
      <c r="AF2" s="12" t="s">
        <v>13</v>
      </c>
      <c r="AG2" s="12" t="s">
        <v>21</v>
      </c>
    </row>
    <row r="3" spans="1:33" ht="15.6" x14ac:dyDescent="0.25">
      <c r="B3" s="202" t="s">
        <v>22</v>
      </c>
      <c r="C3" s="203"/>
      <c r="D3" s="202" t="s">
        <v>10</v>
      </c>
      <c r="E3" s="203"/>
      <c r="F3" s="202" t="s">
        <v>23</v>
      </c>
      <c r="G3" s="203"/>
      <c r="H3" s="202" t="s">
        <v>24</v>
      </c>
      <c r="I3" s="203"/>
      <c r="J3" s="202" t="s">
        <v>12</v>
      </c>
      <c r="K3" s="203"/>
      <c r="L3" s="202" t="s">
        <v>25</v>
      </c>
      <c r="M3" s="203"/>
      <c r="O3" s="14">
        <v>1</v>
      </c>
      <c r="P3" s="15" t="s">
        <v>50</v>
      </c>
      <c r="Q3" s="16">
        <v>2.7360000000000002</v>
      </c>
      <c r="R3" s="17" t="s">
        <v>50</v>
      </c>
      <c r="S3" s="18">
        <f>$C$4*(1+C$5+C$6+C$7+C$8)+C$9</f>
        <v>2325.424</v>
      </c>
      <c r="T3" s="19">
        <f>S3/$C$4-1</f>
        <v>1.2978498023715399</v>
      </c>
      <c r="U3" s="19">
        <f>IF(R3=$C$1,SUM($E$4:$E$9),SUM($E$4:$E$8))</f>
        <v>0.72</v>
      </c>
      <c r="V3" s="20">
        <f>1+$G$10*($I$10-1)</f>
        <v>3.0049000000000001</v>
      </c>
      <c r="W3" s="17">
        <f t="shared" ref="W3:W8" si="0">IF(R3=$C$1,$K$4+$K$5,$K$4)</f>
        <v>0</v>
      </c>
      <c r="X3" s="20">
        <f>$AF$3</f>
        <v>0.48843187660668402</v>
      </c>
      <c r="Y3" s="17">
        <f>$AF$14</f>
        <v>0.8</v>
      </c>
      <c r="Z3" s="21">
        <v>0</v>
      </c>
      <c r="AA3" s="21">
        <v>0</v>
      </c>
      <c r="AB3" s="22">
        <v>0</v>
      </c>
      <c r="AC3" s="15">
        <f>Q3*$C$4*(1+T3)*(1+U3)*V3*(1+W3)*X3*Y3*(1+Z3)*(1+AA3)*(1+AB3)*O3</f>
        <v>12849.040578227799</v>
      </c>
      <c r="AD3" s="11"/>
      <c r="AE3" s="11">
        <v>0</v>
      </c>
      <c r="AF3" s="12">
        <f t="shared" ref="AF3:AF8" si="1">1520/(1520+(792+8*AG3)*(1-AE3/100))</f>
        <v>0.48843187660668402</v>
      </c>
      <c r="AG3" s="23">
        <v>100</v>
      </c>
    </row>
    <row r="4" spans="1:33" ht="15.6" x14ac:dyDescent="0.25">
      <c r="B4" s="24" t="s">
        <v>27</v>
      </c>
      <c r="C4" s="25">
        <f>425+587</f>
        <v>1012</v>
      </c>
      <c r="D4" s="24" t="s">
        <v>28</v>
      </c>
      <c r="E4" s="26">
        <f>E1*30%</f>
        <v>0.3</v>
      </c>
      <c r="F4" s="24" t="s">
        <v>29</v>
      </c>
      <c r="G4" s="27">
        <v>0.13</v>
      </c>
      <c r="H4" s="24" t="s">
        <v>29</v>
      </c>
      <c r="I4" s="27">
        <v>1.5</v>
      </c>
      <c r="J4" s="28" t="s">
        <v>30</v>
      </c>
      <c r="K4" s="29"/>
      <c r="L4" s="24" t="s">
        <v>31</v>
      </c>
      <c r="M4" s="27">
        <f>8.6%*2</f>
        <v>0.17199999999999999</v>
      </c>
      <c r="O4" s="30">
        <v>1</v>
      </c>
      <c r="P4" s="15" t="s">
        <v>134</v>
      </c>
      <c r="Q4" s="31">
        <v>10.0402</v>
      </c>
      <c r="R4" s="32" t="s">
        <v>1</v>
      </c>
      <c r="S4" s="33">
        <f t="shared" ref="S4:S10" si="2">$C$4*(1+C$5+C$6+C$7+C$8)+C$9</f>
        <v>2325.424</v>
      </c>
      <c r="T4" s="34">
        <f t="shared" ref="T4:T10" si="3">S4/$C$4-1</f>
        <v>1.2978498023715399</v>
      </c>
      <c r="U4" s="34">
        <f t="shared" ref="U4:U9" si="4">IF(R4=$C$1,SUM($E$4:$E$9),SUM($E$4:$E$8))</f>
        <v>1.1419999999999999</v>
      </c>
      <c r="V4" s="20">
        <f t="shared" ref="V4:V10" si="5">1+$G$10*($I$10-1)</f>
        <v>3.0049000000000001</v>
      </c>
      <c r="W4" s="32">
        <f t="shared" si="0"/>
        <v>0</v>
      </c>
      <c r="X4" s="35">
        <f>$AF$4</f>
        <v>0.58404032952170204</v>
      </c>
      <c r="Y4" s="32">
        <f t="shared" ref="Y4:Y10" si="6">$AF$12</f>
        <v>0.9</v>
      </c>
      <c r="Z4" s="36">
        <v>0</v>
      </c>
      <c r="AA4" s="36">
        <v>0</v>
      </c>
      <c r="AB4" s="37">
        <v>0</v>
      </c>
      <c r="AC4" s="15">
        <f t="shared" ref="AC4:AC10" si="7">Q4*$C$4*(1+T4)*(1+U4)*V4*(1+W4)*X4*Y4*(1+Z4)*(1+AA4)*(1+AB4)*O4</f>
        <v>78991.316379680793</v>
      </c>
      <c r="AD4" s="11">
        <f>32</f>
        <v>32</v>
      </c>
      <c r="AE4" s="11">
        <v>0</v>
      </c>
      <c r="AF4" s="12">
        <f>1520/(1520+(792+8*AG4)*(1-AE4/100)*(1-AD4/100))</f>
        <v>0.58404032952170204</v>
      </c>
      <c r="AG4" s="23">
        <v>100</v>
      </c>
    </row>
    <row r="5" spans="1:33" ht="15.6" x14ac:dyDescent="0.25">
      <c r="B5" s="24" t="s">
        <v>33</v>
      </c>
      <c r="C5" s="26">
        <v>0.12</v>
      </c>
      <c r="D5" s="24" t="s">
        <v>34</v>
      </c>
      <c r="E5" s="26">
        <v>0.3</v>
      </c>
      <c r="F5" s="24" t="s">
        <v>35</v>
      </c>
      <c r="G5" s="27">
        <v>0.24299999999999999</v>
      </c>
      <c r="H5" s="24" t="s">
        <v>35</v>
      </c>
      <c r="I5" s="27">
        <v>0</v>
      </c>
      <c r="J5" s="38" t="s">
        <v>135</v>
      </c>
      <c r="K5" s="29"/>
      <c r="L5" s="24" t="s">
        <v>37</v>
      </c>
      <c r="M5" s="27">
        <f>8.6%*2</f>
        <v>0.17199999999999999</v>
      </c>
      <c r="O5" s="30">
        <v>6</v>
      </c>
      <c r="P5" s="15" t="s">
        <v>136</v>
      </c>
      <c r="Q5" s="31">
        <v>3.4394999999999998</v>
      </c>
      <c r="R5" s="32" t="s">
        <v>59</v>
      </c>
      <c r="S5" s="33">
        <f t="shared" si="2"/>
        <v>2325.424</v>
      </c>
      <c r="T5" s="34">
        <f t="shared" si="3"/>
        <v>1.2978498023715399</v>
      </c>
      <c r="U5" s="39">
        <f t="shared" si="4"/>
        <v>0.72</v>
      </c>
      <c r="V5" s="20">
        <f t="shared" si="5"/>
        <v>3.0049000000000001</v>
      </c>
      <c r="W5" s="32">
        <f t="shared" si="0"/>
        <v>0</v>
      </c>
      <c r="X5" s="20">
        <f>$AF$3</f>
        <v>0.48843187660668402</v>
      </c>
      <c r="Y5" s="32">
        <f>$AF$14</f>
        <v>0.8</v>
      </c>
      <c r="Z5" s="36">
        <v>0</v>
      </c>
      <c r="AA5" s="36">
        <v>0</v>
      </c>
      <c r="AB5" s="37">
        <v>0</v>
      </c>
      <c r="AC5" s="15">
        <f t="shared" si="7"/>
        <v>96917.269887751405</v>
      </c>
      <c r="AD5" s="11">
        <v>0</v>
      </c>
      <c r="AE5" s="11">
        <v>0</v>
      </c>
      <c r="AF5" s="12">
        <f t="shared" si="1"/>
        <v>0.48843187660668402</v>
      </c>
      <c r="AG5" s="23">
        <v>100</v>
      </c>
    </row>
    <row r="6" spans="1:33" ht="15.6" x14ac:dyDescent="0.25">
      <c r="B6" s="24" t="s">
        <v>39</v>
      </c>
      <c r="C6" s="27">
        <f>18%+18%+M4+(2-E1)*30%</f>
        <v>0.83199999999999996</v>
      </c>
      <c r="D6" s="24" t="s">
        <v>40</v>
      </c>
      <c r="E6" s="26">
        <v>0.12</v>
      </c>
      <c r="F6" s="24" t="s">
        <v>41</v>
      </c>
      <c r="G6" s="27">
        <v>0.2</v>
      </c>
      <c r="H6" s="24" t="s">
        <v>41</v>
      </c>
      <c r="I6" s="27">
        <v>0</v>
      </c>
      <c r="J6" s="38"/>
      <c r="K6" s="26"/>
      <c r="L6" s="24" t="s">
        <v>23</v>
      </c>
      <c r="M6" s="27">
        <f>8.1*5%</f>
        <v>0.40500000000000003</v>
      </c>
      <c r="O6" s="30">
        <v>2</v>
      </c>
      <c r="P6" s="15" t="s">
        <v>137</v>
      </c>
      <c r="Q6" s="31">
        <v>3.5790000000000002</v>
      </c>
      <c r="R6" s="32" t="s">
        <v>1</v>
      </c>
      <c r="S6" s="33">
        <f t="shared" si="2"/>
        <v>2325.424</v>
      </c>
      <c r="T6" s="34">
        <f t="shared" si="3"/>
        <v>1.2978498023715399</v>
      </c>
      <c r="U6" s="39">
        <f t="shared" si="4"/>
        <v>1.1419999999999999</v>
      </c>
      <c r="V6" s="20">
        <f t="shared" si="5"/>
        <v>3.0049000000000001</v>
      </c>
      <c r="W6" s="32">
        <f t="shared" si="0"/>
        <v>0</v>
      </c>
      <c r="X6" s="35">
        <f t="shared" ref="X6:X10" si="8">$AF$4</f>
        <v>0.58404032952170204</v>
      </c>
      <c r="Y6" s="32">
        <f t="shared" si="6"/>
        <v>0.9</v>
      </c>
      <c r="Z6" s="36">
        <v>0</v>
      </c>
      <c r="AA6" s="36">
        <v>0</v>
      </c>
      <c r="AB6" s="37">
        <v>0</v>
      </c>
      <c r="AC6" s="15">
        <f t="shared" si="7"/>
        <v>56315.595570382597</v>
      </c>
      <c r="AD6" s="11">
        <v>0</v>
      </c>
      <c r="AE6" s="11">
        <v>21.6</v>
      </c>
      <c r="AF6" s="12">
        <f t="shared" si="1"/>
        <v>0.54910755571996706</v>
      </c>
      <c r="AG6" s="23">
        <v>100</v>
      </c>
    </row>
    <row r="7" spans="1:33" ht="15.6" x14ac:dyDescent="0.25">
      <c r="B7" s="24" t="s">
        <v>43</v>
      </c>
      <c r="C7" s="27"/>
      <c r="D7" s="24" t="s">
        <v>44</v>
      </c>
      <c r="E7" s="26"/>
      <c r="F7" s="24" t="s">
        <v>39</v>
      </c>
      <c r="G7" s="27">
        <f>M6</f>
        <v>0.40500000000000003</v>
      </c>
      <c r="H7" s="24" t="s">
        <v>39</v>
      </c>
      <c r="I7" s="27">
        <f>M7+44%</f>
        <v>1.25</v>
      </c>
      <c r="J7" s="38"/>
      <c r="K7" s="26"/>
      <c r="L7" s="24" t="s">
        <v>45</v>
      </c>
      <c r="M7" s="26">
        <f>16.2%*5</f>
        <v>0.81</v>
      </c>
      <c r="O7" s="30">
        <v>2</v>
      </c>
      <c r="P7" s="15" t="s">
        <v>138</v>
      </c>
      <c r="Q7" s="31">
        <v>3.4394999999999998</v>
      </c>
      <c r="R7" s="32" t="s">
        <v>59</v>
      </c>
      <c r="S7" s="33">
        <f t="shared" si="2"/>
        <v>2325.424</v>
      </c>
      <c r="T7" s="34">
        <f t="shared" si="3"/>
        <v>1.2978498023715399</v>
      </c>
      <c r="U7" s="39">
        <f t="shared" si="4"/>
        <v>0.72</v>
      </c>
      <c r="V7" s="20">
        <f t="shared" si="5"/>
        <v>3.0049000000000001</v>
      </c>
      <c r="W7" s="32">
        <f t="shared" si="0"/>
        <v>0</v>
      </c>
      <c r="X7" s="20">
        <f>$AF$3</f>
        <v>0.48843187660668402</v>
      </c>
      <c r="Y7" s="32">
        <f>$AF$14</f>
        <v>0.8</v>
      </c>
      <c r="Z7" s="36">
        <v>0</v>
      </c>
      <c r="AA7" s="36">
        <v>0</v>
      </c>
      <c r="AB7" s="37">
        <v>0</v>
      </c>
      <c r="AC7" s="15">
        <f t="shared" si="7"/>
        <v>32305.7566292505</v>
      </c>
      <c r="AD7" s="11">
        <v>0</v>
      </c>
      <c r="AE7" s="11">
        <v>28.8</v>
      </c>
      <c r="AF7" s="12">
        <f t="shared" si="1"/>
        <v>0.57282747642362697</v>
      </c>
      <c r="AG7" s="23">
        <v>100</v>
      </c>
    </row>
    <row r="8" spans="1:33" ht="15.6" x14ac:dyDescent="0.25">
      <c r="B8" s="24" t="s">
        <v>47</v>
      </c>
      <c r="C8" s="40"/>
      <c r="D8" s="24" t="s">
        <v>48</v>
      </c>
      <c r="E8" s="25"/>
      <c r="F8" s="24" t="s">
        <v>49</v>
      </c>
      <c r="G8" s="27">
        <v>0</v>
      </c>
      <c r="H8" s="24" t="s">
        <v>139</v>
      </c>
      <c r="I8" s="27">
        <v>0.3</v>
      </c>
      <c r="J8" s="38"/>
      <c r="K8" s="26"/>
      <c r="L8" s="24"/>
      <c r="M8" s="25"/>
      <c r="O8" s="30">
        <v>2</v>
      </c>
      <c r="P8" s="15" t="s">
        <v>140</v>
      </c>
      <c r="Q8" s="31">
        <v>3.5790000000000002</v>
      </c>
      <c r="R8" s="32" t="s">
        <v>1</v>
      </c>
      <c r="S8" s="33">
        <f t="shared" si="2"/>
        <v>2325.424</v>
      </c>
      <c r="T8" s="34">
        <f t="shared" si="3"/>
        <v>1.2978498023715399</v>
      </c>
      <c r="U8" s="39">
        <f t="shared" si="4"/>
        <v>1.1419999999999999</v>
      </c>
      <c r="V8" s="20">
        <f t="shared" si="5"/>
        <v>3.0049000000000001</v>
      </c>
      <c r="W8" s="32">
        <f t="shared" si="0"/>
        <v>0</v>
      </c>
      <c r="X8" s="35">
        <f t="shared" si="8"/>
        <v>0.58404032952170204</v>
      </c>
      <c r="Y8" s="32">
        <f t="shared" si="6"/>
        <v>0.9</v>
      </c>
      <c r="Z8" s="36">
        <v>0</v>
      </c>
      <c r="AA8" s="36">
        <v>0</v>
      </c>
      <c r="AB8" s="37">
        <v>0</v>
      </c>
      <c r="AC8" s="15">
        <f t="shared" si="7"/>
        <v>56315.595570382597</v>
      </c>
      <c r="AD8" s="11">
        <v>0</v>
      </c>
      <c r="AE8" s="11">
        <v>36</v>
      </c>
      <c r="AF8" s="12">
        <f t="shared" si="1"/>
        <v>0.59868918578270702</v>
      </c>
      <c r="AG8" s="23">
        <v>100</v>
      </c>
    </row>
    <row r="9" spans="1:33" ht="15.6" x14ac:dyDescent="0.25">
      <c r="B9" s="24" t="s">
        <v>51</v>
      </c>
      <c r="C9" s="25">
        <v>350</v>
      </c>
      <c r="D9" s="24" t="s">
        <v>141</v>
      </c>
      <c r="E9" s="41">
        <f>25%+M5</f>
        <v>0.42199999999999999</v>
      </c>
      <c r="F9" s="24" t="s">
        <v>53</v>
      </c>
      <c r="G9" s="27"/>
      <c r="H9" s="24" t="s">
        <v>53</v>
      </c>
      <c r="I9" s="27"/>
      <c r="J9" s="38"/>
      <c r="K9" s="26"/>
      <c r="L9" s="24"/>
      <c r="M9" s="25"/>
      <c r="O9" s="30">
        <v>1</v>
      </c>
      <c r="P9" s="15" t="s">
        <v>142</v>
      </c>
      <c r="Q9" s="31">
        <v>2.3199999999999998</v>
      </c>
      <c r="R9" s="32" t="s">
        <v>1</v>
      </c>
      <c r="S9" s="33">
        <f t="shared" si="2"/>
        <v>2325.424</v>
      </c>
      <c r="T9" s="34">
        <f t="shared" si="3"/>
        <v>1.2978498023715399</v>
      </c>
      <c r="U9" s="39">
        <f t="shared" si="4"/>
        <v>1.1419999999999999</v>
      </c>
      <c r="V9" s="20">
        <f t="shared" si="5"/>
        <v>3.0049000000000001</v>
      </c>
      <c r="W9" s="32">
        <f>IF(R9=$C$1,$K$4+$K$5,$K$4)+2</f>
        <v>2</v>
      </c>
      <c r="X9" s="35">
        <f t="shared" si="8"/>
        <v>0.58404032952170204</v>
      </c>
      <c r="Y9" s="32">
        <f t="shared" si="6"/>
        <v>0.9</v>
      </c>
      <c r="Z9" s="36">
        <v>0</v>
      </c>
      <c r="AA9" s="36">
        <v>0</v>
      </c>
      <c r="AB9" s="37">
        <v>0</v>
      </c>
      <c r="AC9" s="15">
        <f t="shared" si="7"/>
        <v>54757.829724764299</v>
      </c>
    </row>
    <row r="10" spans="1:33" ht="15.6" x14ac:dyDescent="0.25">
      <c r="B10" s="42" t="s">
        <v>54</v>
      </c>
      <c r="C10" s="43"/>
      <c r="D10" s="42"/>
      <c r="E10" s="44"/>
      <c r="F10" s="45" t="s">
        <v>55</v>
      </c>
      <c r="G10" s="46">
        <f>MIN(100%,SUM(G4:G9))</f>
        <v>0.97799999999999998</v>
      </c>
      <c r="H10" s="45" t="s">
        <v>56</v>
      </c>
      <c r="I10" s="46">
        <f>SUM(I4:I9)</f>
        <v>3.05</v>
      </c>
      <c r="J10" s="47"/>
      <c r="K10" s="44"/>
      <c r="L10" s="42"/>
      <c r="M10" s="43"/>
      <c r="O10" s="48">
        <v>1</v>
      </c>
      <c r="P10" s="15" t="s">
        <v>143</v>
      </c>
      <c r="Q10" s="49">
        <v>17.892900000000001</v>
      </c>
      <c r="R10" s="50" t="s">
        <v>1</v>
      </c>
      <c r="S10" s="51">
        <f t="shared" si="2"/>
        <v>2325.424</v>
      </c>
      <c r="T10" s="52">
        <f t="shared" si="3"/>
        <v>1.2978498023715399</v>
      </c>
      <c r="U10" s="53">
        <f>IF(R10=$C$1,SUM($E$4:$E$9),SUM($E$4:$E$8))+$E$10</f>
        <v>1.1419999999999999</v>
      </c>
      <c r="V10" s="54">
        <f t="shared" si="5"/>
        <v>3.0049000000000001</v>
      </c>
      <c r="W10" s="50"/>
      <c r="X10" s="55">
        <f t="shared" si="8"/>
        <v>0.58404032952170204</v>
      </c>
      <c r="Y10" s="50">
        <f t="shared" si="6"/>
        <v>0.9</v>
      </c>
      <c r="Z10" s="56">
        <v>0</v>
      </c>
      <c r="AA10" s="56">
        <v>0</v>
      </c>
      <c r="AB10" s="57">
        <v>0</v>
      </c>
      <c r="AC10" s="15">
        <f t="shared" si="7"/>
        <v>140772.467166988</v>
      </c>
    </row>
    <row r="11" spans="1:33" x14ac:dyDescent="0.25">
      <c r="E11" s="58"/>
      <c r="F11" s="13" t="s">
        <v>57</v>
      </c>
      <c r="G11" s="59">
        <f>MAX(0,SUM(G4:G9)-1)</f>
        <v>0</v>
      </c>
      <c r="J11" s="2"/>
      <c r="K11" s="2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E11"/>
      <c r="AF11"/>
    </row>
    <row r="12" spans="1:33" ht="15.6" x14ac:dyDescent="0.25">
      <c r="E12" s="58"/>
      <c r="J12" s="2"/>
      <c r="K12" s="2"/>
      <c r="O12" s="60">
        <v>0</v>
      </c>
      <c r="P12" s="61" t="s">
        <v>144</v>
      </c>
      <c r="Q12" s="61">
        <v>1.0934999999999999</v>
      </c>
      <c r="R12" s="62" t="s">
        <v>82</v>
      </c>
      <c r="S12" s="62">
        <v>10027</v>
      </c>
      <c r="T12" s="61">
        <v>0</v>
      </c>
      <c r="U12" s="61">
        <v>0</v>
      </c>
      <c r="V12" s="63">
        <v>1</v>
      </c>
      <c r="W12" s="62">
        <v>0</v>
      </c>
      <c r="X12" s="63">
        <f t="shared" ref="X12:X16" si="9">$AF$3</f>
        <v>0.48843187660668402</v>
      </c>
      <c r="Y12" s="62">
        <f t="shared" ref="Y12:Y16" si="10">$AF$13</f>
        <v>0.8</v>
      </c>
      <c r="Z12" s="64">
        <v>1.2</v>
      </c>
      <c r="AA12" s="64">
        <v>0</v>
      </c>
      <c r="AB12" s="64">
        <v>0.5</v>
      </c>
      <c r="AC12" s="65">
        <f t="shared" ref="AC12:AC16" si="11">Q12*$S$16*(1+T12)*(1+U12)*V12*(1+W12)*X12*Y12*(1+Z12)*(1+AA12)*(1+AB12)*O12</f>
        <v>0</v>
      </c>
      <c r="AE12" s="66" t="s">
        <v>1</v>
      </c>
      <c r="AF12" s="66">
        <v>0.9</v>
      </c>
    </row>
    <row r="13" spans="1:33" ht="15.6" x14ac:dyDescent="0.25">
      <c r="A13"/>
      <c r="B13"/>
      <c r="C13"/>
      <c r="D13" s="67"/>
      <c r="E13" s="67"/>
      <c r="F13" s="67" t="s">
        <v>145</v>
      </c>
      <c r="G13" s="68"/>
      <c r="H13" s="67"/>
      <c r="I13" s="67"/>
      <c r="J13" s="67"/>
      <c r="K13" s="67"/>
      <c r="L13" s="67"/>
      <c r="M13" s="67"/>
      <c r="O13" s="24">
        <v>0</v>
      </c>
      <c r="P13" s="1" t="s">
        <v>85</v>
      </c>
      <c r="Q13" s="2">
        <v>5.9642999999999997</v>
      </c>
      <c r="R13" s="1" t="s">
        <v>82</v>
      </c>
      <c r="S13" s="1">
        <v>10027</v>
      </c>
      <c r="T13" s="2">
        <v>0</v>
      </c>
      <c r="U13" s="2">
        <v>0</v>
      </c>
      <c r="V13" s="69">
        <v>1</v>
      </c>
      <c r="W13" s="1">
        <v>0</v>
      </c>
      <c r="X13" s="69">
        <f t="shared" si="9"/>
        <v>0.48843187660668402</v>
      </c>
      <c r="Y13" s="1">
        <f t="shared" si="10"/>
        <v>0.8</v>
      </c>
      <c r="Z13" s="58">
        <v>0</v>
      </c>
      <c r="AA13" s="58">
        <v>0</v>
      </c>
      <c r="AB13" s="58">
        <v>0.5</v>
      </c>
      <c r="AC13" s="70">
        <f t="shared" si="11"/>
        <v>0</v>
      </c>
      <c r="AE13" s="71" t="s">
        <v>146</v>
      </c>
      <c r="AF13" s="71">
        <v>0.8</v>
      </c>
    </row>
    <row r="14" spans="1:33" ht="15.6" x14ac:dyDescent="0.25">
      <c r="A14"/>
      <c r="B14" s="72"/>
      <c r="C14" s="72"/>
      <c r="D14" s="72"/>
      <c r="E14" s="72"/>
      <c r="F14" s="72"/>
      <c r="G14" s="73"/>
      <c r="O14" s="24">
        <v>0</v>
      </c>
      <c r="P14" s="1" t="s">
        <v>81</v>
      </c>
      <c r="Q14" s="2">
        <v>18.807500000000001</v>
      </c>
      <c r="R14" s="1" t="s">
        <v>82</v>
      </c>
      <c r="S14" s="1">
        <v>10027</v>
      </c>
      <c r="T14" s="2">
        <v>0</v>
      </c>
      <c r="U14" s="2">
        <v>0</v>
      </c>
      <c r="V14" s="69">
        <v>1</v>
      </c>
      <c r="W14" s="1">
        <v>0</v>
      </c>
      <c r="X14" s="69">
        <f t="shared" si="9"/>
        <v>0.48843187660668402</v>
      </c>
      <c r="Y14" s="1">
        <f t="shared" si="10"/>
        <v>0.8</v>
      </c>
      <c r="Z14" s="58">
        <v>0</v>
      </c>
      <c r="AA14" s="58">
        <v>0</v>
      </c>
      <c r="AB14" s="58">
        <v>0.5</v>
      </c>
      <c r="AC14" s="70">
        <f t="shared" si="11"/>
        <v>0</v>
      </c>
      <c r="AE14" s="74" t="s">
        <v>147</v>
      </c>
      <c r="AF14" s="74">
        <v>0.8</v>
      </c>
    </row>
    <row r="15" spans="1:33" ht="15.6" x14ac:dyDescent="0.25">
      <c r="B15" s="75" t="s">
        <v>66</v>
      </c>
      <c r="O15" s="24">
        <v>0</v>
      </c>
      <c r="P15" s="1" t="s">
        <v>83</v>
      </c>
      <c r="Q15" s="2">
        <v>2.9822000000000002</v>
      </c>
      <c r="R15" s="1" t="s">
        <v>82</v>
      </c>
      <c r="S15" s="1">
        <v>10027</v>
      </c>
      <c r="T15" s="2">
        <v>0</v>
      </c>
      <c r="U15" s="2">
        <v>0</v>
      </c>
      <c r="V15" s="69">
        <v>1</v>
      </c>
      <c r="W15" s="1">
        <v>0</v>
      </c>
      <c r="X15" s="69">
        <f t="shared" si="9"/>
        <v>0.48843187660668402</v>
      </c>
      <c r="Y15" s="1">
        <f t="shared" si="10"/>
        <v>0.8</v>
      </c>
      <c r="Z15" s="58">
        <v>0</v>
      </c>
      <c r="AA15" s="58">
        <v>0</v>
      </c>
      <c r="AB15" s="58">
        <v>0.5</v>
      </c>
      <c r="AC15" s="70">
        <f t="shared" si="11"/>
        <v>0</v>
      </c>
      <c r="AE15" s="76" t="s">
        <v>148</v>
      </c>
      <c r="AF15" s="76">
        <v>0.8</v>
      </c>
    </row>
    <row r="16" spans="1:33" ht="15.6" x14ac:dyDescent="0.25">
      <c r="B16" s="77" t="s">
        <v>149</v>
      </c>
      <c r="C16" s="78" t="s">
        <v>68</v>
      </c>
      <c r="D16" s="78" t="s">
        <v>69</v>
      </c>
      <c r="E16" s="78" t="s">
        <v>70</v>
      </c>
      <c r="F16" s="78" t="s">
        <v>71</v>
      </c>
      <c r="O16" s="42">
        <v>0.5</v>
      </c>
      <c r="P16" s="79" t="s">
        <v>77</v>
      </c>
      <c r="Q16" s="80">
        <v>16</v>
      </c>
      <c r="R16" s="79" t="s">
        <v>86</v>
      </c>
      <c r="S16" s="79">
        <v>10027</v>
      </c>
      <c r="T16" s="80">
        <v>0</v>
      </c>
      <c r="U16" s="80">
        <v>0</v>
      </c>
      <c r="V16" s="81">
        <v>1</v>
      </c>
      <c r="W16" s="79">
        <v>0</v>
      </c>
      <c r="X16" s="81">
        <f t="shared" si="9"/>
        <v>0.48843187660668402</v>
      </c>
      <c r="Y16" s="79">
        <f t="shared" si="10"/>
        <v>0.8</v>
      </c>
      <c r="Z16" s="82">
        <v>0</v>
      </c>
      <c r="AA16" s="82">
        <v>0</v>
      </c>
      <c r="AB16" s="82">
        <v>0.1</v>
      </c>
      <c r="AC16" s="83">
        <f t="shared" si="11"/>
        <v>34478.445244215902</v>
      </c>
    </row>
    <row r="17" spans="2:30" ht="15.6" x14ac:dyDescent="0.25">
      <c r="B17" s="4" t="s">
        <v>150</v>
      </c>
      <c r="C17" s="84">
        <f>SUM(AC3:AC10)</f>
        <v>529224.871507428</v>
      </c>
      <c r="D17" s="84">
        <f>C17/$E$17</f>
        <v>21168.994860297102</v>
      </c>
      <c r="E17" s="85">
        <v>25</v>
      </c>
      <c r="F17" s="86">
        <f>C17/$C$21</f>
        <v>0.78171680760254203</v>
      </c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</row>
    <row r="18" spans="2:30" ht="15.6" x14ac:dyDescent="0.25">
      <c r="B18" s="4" t="s">
        <v>90</v>
      </c>
      <c r="C18" s="84">
        <f>20600*(6+2.5*2)/2</f>
        <v>113300</v>
      </c>
      <c r="D18" s="84">
        <f>C18/$E$17</f>
        <v>4532</v>
      </c>
      <c r="E18" s="85"/>
      <c r="F18" s="86">
        <f>C18/$C$21</f>
        <v>0.16735516237</v>
      </c>
    </row>
    <row r="19" spans="2:30" ht="15.6" x14ac:dyDescent="0.25">
      <c r="B19" s="4" t="s">
        <v>77</v>
      </c>
      <c r="C19" s="84">
        <f>AC16</f>
        <v>34478.445244215902</v>
      </c>
      <c r="D19" s="84">
        <f>C19/$E$17</f>
        <v>1379.13780976864</v>
      </c>
      <c r="E19" s="85"/>
      <c r="F19" s="86">
        <f>C19/$C$21</f>
        <v>5.0928030027457397E-2</v>
      </c>
    </row>
    <row r="20" spans="2:30" ht="15.6" x14ac:dyDescent="0.25">
      <c r="B20" s="4"/>
      <c r="C20" s="84"/>
      <c r="D20" s="84"/>
      <c r="E20" s="85"/>
      <c r="F20" s="86"/>
    </row>
    <row r="21" spans="2:30" ht="15.6" x14ac:dyDescent="0.25">
      <c r="B21" s="4" t="s">
        <v>79</v>
      </c>
      <c r="C21" s="87">
        <f>SUM(C17:C19)</f>
        <v>677003.31675164402</v>
      </c>
      <c r="D21" s="87">
        <f>C21/E17</f>
        <v>27080.132670065701</v>
      </c>
      <c r="E21" s="88"/>
      <c r="F21" s="89"/>
      <c r="G21" s="90" t="s">
        <v>92</v>
      </c>
      <c r="H21" s="91" t="s">
        <v>151</v>
      </c>
      <c r="I21" s="91" t="s">
        <v>152</v>
      </c>
      <c r="J21" s="91" t="s">
        <v>153</v>
      </c>
      <c r="K21" s="91" t="s">
        <v>93</v>
      </c>
      <c r="L21" s="2"/>
      <c r="P21" s="2"/>
      <c r="Q21" s="3"/>
      <c r="U21" s="1"/>
      <c r="V21" s="1"/>
      <c r="W21" s="4"/>
      <c r="X21" s="4"/>
      <c r="AB21" s="1"/>
      <c r="AC21" s="1"/>
    </row>
    <row r="22" spans="2:30" x14ac:dyDescent="0.25">
      <c r="B22" s="4"/>
      <c r="C22" s="4"/>
      <c r="D22" s="4"/>
      <c r="G22" s="151" t="s">
        <v>95</v>
      </c>
      <c r="H22" s="76">
        <v>27080</v>
      </c>
      <c r="I22" s="1">
        <v>23165</v>
      </c>
      <c r="J22" s="77">
        <v>29336</v>
      </c>
      <c r="K22" s="92">
        <v>30841</v>
      </c>
      <c r="L22" s="2"/>
      <c r="P22" s="2"/>
      <c r="Q22" s="3"/>
      <c r="U22" s="1"/>
      <c r="V22" s="1"/>
      <c r="W22" s="4"/>
      <c r="X22" s="4"/>
      <c r="AB22" s="1"/>
      <c r="AC22" s="1"/>
    </row>
    <row r="23" spans="2:30" x14ac:dyDescent="0.25">
      <c r="B23" s="4"/>
      <c r="C23" s="4"/>
      <c r="D23" s="4"/>
      <c r="F23" s="4"/>
      <c r="G23" s="1">
        <v>21</v>
      </c>
      <c r="H23" s="76">
        <v>35941</v>
      </c>
      <c r="I23" s="1">
        <v>34890</v>
      </c>
      <c r="J23" s="92">
        <v>55889</v>
      </c>
      <c r="K23" s="77">
        <v>44782</v>
      </c>
      <c r="L23" s="2"/>
      <c r="P23" s="2"/>
      <c r="Q23" s="3"/>
      <c r="U23" s="1"/>
      <c r="V23" s="1"/>
      <c r="W23" s="4"/>
      <c r="X23" s="4"/>
      <c r="AB23" s="1"/>
      <c r="AC23" s="1"/>
    </row>
    <row r="24" spans="2:30" x14ac:dyDescent="0.25">
      <c r="B24" s="4"/>
      <c r="C24" s="4"/>
      <c r="D24" s="4"/>
      <c r="F24" s="4"/>
      <c r="G24" s="1">
        <v>31</v>
      </c>
      <c r="H24" s="76">
        <v>49026</v>
      </c>
      <c r="I24" s="1">
        <v>42139</v>
      </c>
      <c r="J24" s="92">
        <v>64516</v>
      </c>
      <c r="K24" s="77">
        <v>55686</v>
      </c>
      <c r="L24" s="2"/>
      <c r="P24" s="2"/>
      <c r="Q24" s="3"/>
      <c r="U24" s="1"/>
      <c r="V24" s="1"/>
      <c r="W24" s="4"/>
      <c r="X24" s="4"/>
      <c r="Y24"/>
      <c r="AB24" s="1"/>
      <c r="AC24" s="1"/>
    </row>
    <row r="25" spans="2:30" x14ac:dyDescent="0.25">
      <c r="G25" s="1">
        <v>61</v>
      </c>
      <c r="H25" s="77">
        <v>83273</v>
      </c>
      <c r="I25" s="1">
        <v>55308</v>
      </c>
      <c r="J25" s="92">
        <v>84176</v>
      </c>
      <c r="K25" s="76">
        <v>80824</v>
      </c>
      <c r="L25" s="2"/>
      <c r="P25" s="2"/>
      <c r="Q25" s="3"/>
      <c r="U25" s="1"/>
      <c r="V25" s="1"/>
      <c r="W25" s="4"/>
      <c r="X25" s="4"/>
      <c r="Y25"/>
      <c r="AB25" s="1"/>
      <c r="AC25" s="1"/>
    </row>
    <row r="26" spans="2:30" x14ac:dyDescent="0.25">
      <c r="B26" s="4"/>
      <c r="C26" s="4"/>
      <c r="D26" s="4"/>
      <c r="F26" s="4"/>
      <c r="G26" s="1">
        <v>65</v>
      </c>
      <c r="H26" s="92">
        <v>111624</v>
      </c>
      <c r="I26" s="1">
        <v>64468</v>
      </c>
      <c r="J26" s="76">
        <v>102496</v>
      </c>
      <c r="K26" s="77">
        <v>104493</v>
      </c>
      <c r="L26" s="2"/>
      <c r="P26" s="2"/>
      <c r="Q26" s="3"/>
      <c r="U26" s="1"/>
      <c r="V26" s="1"/>
      <c r="W26" s="4"/>
      <c r="X26" s="4"/>
      <c r="AB26" s="1"/>
      <c r="AC26" s="1"/>
    </row>
    <row r="27" spans="2:30" x14ac:dyDescent="0.25">
      <c r="B27" s="4"/>
      <c r="C27" s="4"/>
      <c r="D27" s="4"/>
      <c r="F27" s="4"/>
    </row>
    <row r="29" spans="2:30" x14ac:dyDescent="0.25">
      <c r="B29" s="4"/>
      <c r="C29" s="4"/>
      <c r="D29" s="4"/>
      <c r="F29" s="4"/>
    </row>
    <row r="30" spans="2:30" x14ac:dyDescent="0.25">
      <c r="B30" s="4"/>
      <c r="C30" s="4"/>
      <c r="D30" s="4"/>
      <c r="AD30"/>
    </row>
    <row r="32" spans="2:30" x14ac:dyDescent="0.25">
      <c r="B32" s="4"/>
      <c r="C32" s="4"/>
      <c r="D32" s="4"/>
    </row>
  </sheetData>
  <mergeCells count="7">
    <mergeCell ref="B2:M2"/>
    <mergeCell ref="B3:C3"/>
    <mergeCell ref="D3:E3"/>
    <mergeCell ref="F3:G3"/>
    <mergeCell ref="H3:I3"/>
    <mergeCell ref="J3:K3"/>
    <mergeCell ref="L3:M3"/>
  </mergeCells>
  <phoneticPr fontId="10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24DEE-7321-4A3F-BF59-45F7C7DFF580}">
  <dimension ref="B1:AI27"/>
  <sheetViews>
    <sheetView tabSelected="1" workbookViewId="0">
      <selection activeCell="G14" sqref="G14"/>
    </sheetView>
  </sheetViews>
  <sheetFormatPr defaultRowHeight="14.4" x14ac:dyDescent="0.25"/>
  <cols>
    <col min="1" max="1" width="8.88671875" style="154"/>
    <col min="2" max="2" width="14" style="154" customWidth="1"/>
    <col min="3" max="3" width="9.77734375" style="154" customWidth="1"/>
    <col min="4" max="4" width="12.6640625" style="154" customWidth="1"/>
    <col min="5" max="5" width="12" style="154" customWidth="1"/>
    <col min="6" max="6" width="13.33203125" style="154" customWidth="1"/>
    <col min="7" max="7" width="8.88671875" style="154"/>
    <col min="8" max="8" width="14.44140625" style="154" customWidth="1"/>
    <col min="9" max="9" width="8.88671875" style="154"/>
    <col min="10" max="10" width="10.88671875" style="154" customWidth="1"/>
    <col min="11" max="15" width="8.88671875" style="154"/>
    <col min="16" max="16" width="12.5546875" style="154" customWidth="1"/>
    <col min="17" max="17" width="11" style="154" customWidth="1"/>
    <col min="18" max="19" width="8.88671875" style="154"/>
    <col min="20" max="20" width="16.44140625" style="154" customWidth="1"/>
    <col min="21" max="16384" width="8.88671875" style="154"/>
  </cols>
  <sheetData>
    <row r="1" spans="2:35" x14ac:dyDescent="0.25">
      <c r="B1" s="152" t="s">
        <v>0</v>
      </c>
      <c r="C1" s="152" t="s">
        <v>154</v>
      </c>
      <c r="D1" s="153" t="s">
        <v>2</v>
      </c>
      <c r="E1" s="153">
        <v>1</v>
      </c>
      <c r="O1" s="1"/>
      <c r="Q1" s="155"/>
      <c r="U1" s="155"/>
      <c r="V1" s="156"/>
      <c r="AB1" s="157"/>
      <c r="AC1" s="157"/>
    </row>
    <row r="2" spans="2:35" ht="15.6" x14ac:dyDescent="0.25">
      <c r="B2" s="208" t="s">
        <v>74</v>
      </c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10"/>
      <c r="N2" s="1"/>
      <c r="O2" s="158" t="s">
        <v>4</v>
      </c>
      <c r="P2" s="158" t="s">
        <v>5</v>
      </c>
      <c r="Q2" s="159" t="s">
        <v>6</v>
      </c>
      <c r="R2" s="158" t="s">
        <v>7</v>
      </c>
      <c r="S2" s="158" t="s">
        <v>8</v>
      </c>
      <c r="T2" s="158" t="s">
        <v>9</v>
      </c>
      <c r="U2" s="159" t="s">
        <v>10</v>
      </c>
      <c r="V2" s="160" t="s">
        <v>11</v>
      </c>
      <c r="W2" s="158" t="s">
        <v>12</v>
      </c>
      <c r="X2" s="158" t="s">
        <v>13</v>
      </c>
      <c r="Y2" s="158" t="s">
        <v>14</v>
      </c>
      <c r="Z2" s="158" t="s">
        <v>15</v>
      </c>
      <c r="AA2" s="158" t="s">
        <v>16</v>
      </c>
      <c r="AB2" s="161" t="s">
        <v>17</v>
      </c>
      <c r="AC2" s="162" t="s">
        <v>18</v>
      </c>
      <c r="AD2" s="163" t="s">
        <v>155</v>
      </c>
      <c r="AE2" s="163" t="s">
        <v>156</v>
      </c>
      <c r="AF2" s="164" t="s">
        <v>19</v>
      </c>
      <c r="AG2" s="164" t="s">
        <v>20</v>
      </c>
      <c r="AH2" s="165" t="s">
        <v>13</v>
      </c>
      <c r="AI2" s="165" t="s">
        <v>21</v>
      </c>
    </row>
    <row r="3" spans="2:35" x14ac:dyDescent="0.25">
      <c r="B3" s="202" t="s">
        <v>22</v>
      </c>
      <c r="C3" s="203"/>
      <c r="D3" s="202" t="s">
        <v>10</v>
      </c>
      <c r="E3" s="203"/>
      <c r="F3" s="202" t="s">
        <v>23</v>
      </c>
      <c r="G3" s="203"/>
      <c r="H3" s="202" t="s">
        <v>24</v>
      </c>
      <c r="I3" s="203"/>
      <c r="J3" s="202" t="s">
        <v>12</v>
      </c>
      <c r="K3" s="203"/>
      <c r="L3" s="202" t="s">
        <v>25</v>
      </c>
      <c r="M3" s="203"/>
      <c r="N3" s="1"/>
      <c r="O3" s="166">
        <v>1</v>
      </c>
      <c r="P3" s="167" t="s">
        <v>157</v>
      </c>
      <c r="Q3" s="168">
        <v>0.3579</v>
      </c>
      <c r="R3" s="167" t="s">
        <v>158</v>
      </c>
      <c r="S3" s="169">
        <f t="shared" ref="S3:S16" si="0">$C$4*(1+C$5+C$6+C$7+C$8)+C$9</f>
        <v>2456.096</v>
      </c>
      <c r="T3" s="168">
        <f>($C$5+$C$6+$C$7+$C$8)+($C$9+$C$10)/$C$4</f>
        <v>1.6184392324093819</v>
      </c>
      <c r="U3" s="168">
        <f>IF(R3=$C$1,SUM($E$4:$E$9),SUM($E$4:$E$8))</f>
        <v>0.52</v>
      </c>
      <c r="V3" s="170">
        <f t="shared" ref="V3:V16" si="1">1+$G$10*($I$10-1)</f>
        <v>2.5662500000000001</v>
      </c>
      <c r="W3" s="167">
        <f>IF(R4=$C$1,$K$4+$K$5,$K$4)</f>
        <v>0</v>
      </c>
      <c r="X3" s="170">
        <f>$AH$4</f>
        <v>0.50389858377976982</v>
      </c>
      <c r="Y3" s="167">
        <f>$AH$11+0.1</f>
        <v>0.9</v>
      </c>
      <c r="Z3" s="171">
        <v>0</v>
      </c>
      <c r="AA3" s="171">
        <v>0.4</v>
      </c>
      <c r="AB3" s="172">
        <v>0</v>
      </c>
      <c r="AC3" s="173">
        <f t="shared" ref="AC3:AC16" si="2">Q3*$C$4*(1+T3)*(1+U3)*V3*(1+W3)*X3*Y3*(1+Z3)*(1+AA3)*(1+AB3)*O3</f>
        <v>2177.0242635859463</v>
      </c>
      <c r="AD3" s="174">
        <v>10</v>
      </c>
      <c r="AE3" s="174"/>
      <c r="AF3" s="164">
        <v>0</v>
      </c>
      <c r="AG3" s="164">
        <v>0</v>
      </c>
      <c r="AH3" s="165">
        <f>1520/(1520+(792+8*AI3)*(1-AG3/100))</f>
        <v>0.4884318766066838</v>
      </c>
      <c r="AI3" s="175">
        <v>100</v>
      </c>
    </row>
    <row r="4" spans="2:35" x14ac:dyDescent="0.25">
      <c r="B4" s="24" t="s">
        <v>27</v>
      </c>
      <c r="C4" s="25">
        <f>438+500</f>
        <v>938</v>
      </c>
      <c r="D4" s="24" t="s">
        <v>28</v>
      </c>
      <c r="E4" s="26">
        <f>E1*30%</f>
        <v>0.3</v>
      </c>
      <c r="F4" s="24" t="s">
        <v>29</v>
      </c>
      <c r="G4" s="27">
        <v>0.13</v>
      </c>
      <c r="H4" s="24" t="s">
        <v>29</v>
      </c>
      <c r="I4" s="27">
        <v>1.5</v>
      </c>
      <c r="J4" s="100" t="s">
        <v>30</v>
      </c>
      <c r="K4" s="26">
        <v>0</v>
      </c>
      <c r="L4" s="24" t="s">
        <v>31</v>
      </c>
      <c r="M4" s="27">
        <f>8.6%*2</f>
        <v>0.17199999999999999</v>
      </c>
      <c r="N4" s="1"/>
      <c r="O4" s="176">
        <v>1</v>
      </c>
      <c r="P4" s="164" t="s">
        <v>159</v>
      </c>
      <c r="Q4" s="177">
        <f>131.04%*2+24.57%*8</f>
        <v>4.5864000000000003</v>
      </c>
      <c r="R4" s="164" t="s">
        <v>160</v>
      </c>
      <c r="S4" s="175">
        <f t="shared" si="0"/>
        <v>2456.096</v>
      </c>
      <c r="T4" s="177">
        <f t="shared" ref="T4:T16" si="3">($C$5+$C$6+$C$7+$C$8+20%+30%)+($C$9+$C$10)/$C$4</f>
        <v>2.1184392324093819</v>
      </c>
      <c r="U4" s="177">
        <f>IF(R4=$C$1,SUM($E$4:$E$9),SUM($E$4:$E$8))+100%</f>
        <v>1.52</v>
      </c>
      <c r="V4" s="165">
        <f t="shared" si="1"/>
        <v>2.5662500000000001</v>
      </c>
      <c r="W4" s="164">
        <f t="shared" ref="W4:W10" si="4">IF(R4=$C$1,$K$4+$K$5,$K$4)</f>
        <v>0</v>
      </c>
      <c r="X4" s="165">
        <f>$AH$4</f>
        <v>0.50389858377976982</v>
      </c>
      <c r="Y4" s="164">
        <f t="shared" ref="Y4:Y16" si="5">$AH$11+0.1</f>
        <v>0.9</v>
      </c>
      <c r="Z4" s="178">
        <v>0</v>
      </c>
      <c r="AA4" s="178">
        <v>0.4</v>
      </c>
      <c r="AB4" s="175">
        <v>0</v>
      </c>
      <c r="AC4" s="173">
        <f t="shared" si="2"/>
        <v>55083.970718729921</v>
      </c>
      <c r="AD4" s="174">
        <v>10</v>
      </c>
      <c r="AE4" s="174"/>
      <c r="AF4" s="164">
        <v>0</v>
      </c>
      <c r="AG4" s="164">
        <v>6</v>
      </c>
      <c r="AH4" s="165">
        <f>1520/(1520+(792+8*AI4)*(1-AG4/100)*(1-AF4/100))</f>
        <v>0.50389858377976982</v>
      </c>
      <c r="AI4" s="175">
        <v>100</v>
      </c>
    </row>
    <row r="5" spans="2:35" x14ac:dyDescent="0.25">
      <c r="B5" s="24" t="s">
        <v>33</v>
      </c>
      <c r="C5" s="26">
        <f>24%+12%</f>
        <v>0.36</v>
      </c>
      <c r="D5" s="24" t="s">
        <v>34</v>
      </c>
      <c r="E5" s="26">
        <v>0.12</v>
      </c>
      <c r="F5" s="24" t="s">
        <v>35</v>
      </c>
      <c r="G5" s="27">
        <v>0.36</v>
      </c>
      <c r="H5" s="24" t="s">
        <v>35</v>
      </c>
      <c r="I5" s="27">
        <v>0</v>
      </c>
      <c r="J5" s="38" t="s">
        <v>36</v>
      </c>
      <c r="K5" s="26">
        <v>0</v>
      </c>
      <c r="L5" s="24" t="s">
        <v>161</v>
      </c>
      <c r="M5" s="27">
        <f>8.6%*2</f>
        <v>0.17199999999999999</v>
      </c>
      <c r="N5" s="1"/>
      <c r="O5" s="176">
        <v>1</v>
      </c>
      <c r="P5" s="194" t="s">
        <v>163</v>
      </c>
      <c r="Q5" s="177">
        <f>15.11%*4+90.66%+10.15%*2+47.35%</f>
        <v>2.1875</v>
      </c>
      <c r="R5" s="164" t="s">
        <v>164</v>
      </c>
      <c r="S5" s="175">
        <f t="shared" si="0"/>
        <v>2456.096</v>
      </c>
      <c r="T5" s="177">
        <f t="shared" si="3"/>
        <v>2.1184392324093819</v>
      </c>
      <c r="U5" s="177">
        <f>IF(R5=$C$1,SUM($E$4:$E$9),SUM($E$4:$E$8))+20%+48%+50%</f>
        <v>1.7</v>
      </c>
      <c r="V5" s="165">
        <f t="shared" si="1"/>
        <v>2.5662500000000001</v>
      </c>
      <c r="W5" s="164">
        <f t="shared" si="4"/>
        <v>0</v>
      </c>
      <c r="X5" s="165">
        <f>$AH$4</f>
        <v>0.50389858377976982</v>
      </c>
      <c r="Y5" s="164">
        <f t="shared" si="5"/>
        <v>0.9</v>
      </c>
      <c r="Z5" s="178">
        <v>0</v>
      </c>
      <c r="AA5" s="178">
        <v>0.4</v>
      </c>
      <c r="AB5" s="178">
        <v>0</v>
      </c>
      <c r="AC5" s="173">
        <f t="shared" si="2"/>
        <v>28149.105261648179</v>
      </c>
      <c r="AD5" s="174">
        <v>10</v>
      </c>
      <c r="AE5" s="174"/>
      <c r="AF5" s="164">
        <v>0</v>
      </c>
      <c r="AG5" s="164">
        <v>30</v>
      </c>
      <c r="AH5" s="165">
        <f t="shared" ref="AH5:AH8" si="6">1520/(1520+(792+8*AI5)*(1-AG5/100))</f>
        <v>0.5769814758578804</v>
      </c>
      <c r="AI5" s="175">
        <v>100</v>
      </c>
    </row>
    <row r="6" spans="2:35" x14ac:dyDescent="0.25">
      <c r="B6" s="24" t="s">
        <v>39</v>
      </c>
      <c r="C6" s="26">
        <f>18%+18%+M4+(2-E1)*30%</f>
        <v>0.83200000000000007</v>
      </c>
      <c r="D6" s="24" t="s">
        <v>40</v>
      </c>
      <c r="E6" s="26">
        <v>0</v>
      </c>
      <c r="F6" s="24" t="s">
        <v>41</v>
      </c>
      <c r="G6" s="27">
        <v>0</v>
      </c>
      <c r="H6" s="24" t="s">
        <v>41</v>
      </c>
      <c r="I6" s="27">
        <v>0</v>
      </c>
      <c r="J6" s="38"/>
      <c r="K6" s="27"/>
      <c r="L6" s="24" t="s">
        <v>23</v>
      </c>
      <c r="M6" s="27">
        <f>8.1*5%</f>
        <v>0.40500000000000003</v>
      </c>
      <c r="N6" s="1"/>
      <c r="O6" s="176">
        <v>1</v>
      </c>
      <c r="P6" s="164" t="s">
        <v>165</v>
      </c>
      <c r="Q6" s="177">
        <f>29.81%+14.91%+104.34%+47.78%</f>
        <v>1.9684000000000001</v>
      </c>
      <c r="R6" s="164" t="s">
        <v>154</v>
      </c>
      <c r="S6" s="175">
        <f t="shared" si="0"/>
        <v>2456.096</v>
      </c>
      <c r="T6" s="177">
        <f t="shared" si="3"/>
        <v>2.1184392324093819</v>
      </c>
      <c r="U6" s="177">
        <f>IF(R6=$C$1,SUM($E$4:$E$9),SUM($E$4:$E$8))+20%+48%+50%+48%</f>
        <v>2.7719999999999998</v>
      </c>
      <c r="V6" s="165">
        <f t="shared" si="1"/>
        <v>2.5662500000000001</v>
      </c>
      <c r="W6" s="164">
        <f t="shared" si="4"/>
        <v>0</v>
      </c>
      <c r="X6" s="165">
        <f t="shared" ref="X6:X16" si="7">$AH$4</f>
        <v>0.50389858377976982</v>
      </c>
      <c r="Y6" s="164">
        <f t="shared" si="5"/>
        <v>0.9</v>
      </c>
      <c r="Z6" s="178">
        <v>0</v>
      </c>
      <c r="AA6" s="178">
        <v>0.4</v>
      </c>
      <c r="AB6" s="178">
        <v>0</v>
      </c>
      <c r="AC6" s="173">
        <f t="shared" si="2"/>
        <v>35386.516294161382</v>
      </c>
      <c r="AD6" s="174">
        <v>10</v>
      </c>
      <c r="AE6" s="174"/>
      <c r="AF6" s="164">
        <v>0</v>
      </c>
      <c r="AG6" s="164">
        <v>21.6</v>
      </c>
      <c r="AH6" s="165">
        <f t="shared" si="6"/>
        <v>0.54910755571996672</v>
      </c>
      <c r="AI6" s="175">
        <v>100</v>
      </c>
    </row>
    <row r="7" spans="2:35" x14ac:dyDescent="0.25">
      <c r="B7" s="24" t="s">
        <v>43</v>
      </c>
      <c r="C7" s="26">
        <v>0</v>
      </c>
      <c r="D7" s="24" t="s">
        <v>44</v>
      </c>
      <c r="E7" s="26"/>
      <c r="F7" s="24" t="s">
        <v>39</v>
      </c>
      <c r="G7" s="27">
        <f>M6</f>
        <v>0.40500000000000003</v>
      </c>
      <c r="H7" s="24" t="s">
        <v>39</v>
      </c>
      <c r="I7" s="27">
        <f>M7+44%</f>
        <v>1.25</v>
      </c>
      <c r="J7" s="38"/>
      <c r="K7" s="27"/>
      <c r="L7" s="24" t="s">
        <v>45</v>
      </c>
      <c r="M7" s="26">
        <f>16.2%*5</f>
        <v>0.81</v>
      </c>
      <c r="N7" s="1"/>
      <c r="O7" s="176">
        <v>1</v>
      </c>
      <c r="P7" s="164" t="s">
        <v>162</v>
      </c>
      <c r="Q7" s="177">
        <v>9.5428999999999995</v>
      </c>
      <c r="R7" s="164" t="s">
        <v>154</v>
      </c>
      <c r="S7" s="175">
        <f t="shared" si="0"/>
        <v>2456.096</v>
      </c>
      <c r="T7" s="177">
        <f t="shared" si="3"/>
        <v>2.1184392324093819</v>
      </c>
      <c r="U7" s="177">
        <f>IF(R7=$C$1,SUM($E$4:$E$9),SUM($E$4:$E$8))+20%+48%+100%+48%+50%</f>
        <v>3.7719999999999998</v>
      </c>
      <c r="V7" s="165">
        <f t="shared" si="1"/>
        <v>2.5662500000000001</v>
      </c>
      <c r="W7" s="164">
        <f t="shared" si="4"/>
        <v>0</v>
      </c>
      <c r="X7" s="165">
        <f>$AH$4</f>
        <v>0.50389858377976982</v>
      </c>
      <c r="Y7" s="164">
        <f t="shared" si="5"/>
        <v>0.9</v>
      </c>
      <c r="Z7" s="178">
        <v>0</v>
      </c>
      <c r="AA7" s="178">
        <v>0.4</v>
      </c>
      <c r="AB7" s="178">
        <v>0</v>
      </c>
      <c r="AC7" s="173">
        <f t="shared" si="2"/>
        <v>217036.89972178574</v>
      </c>
      <c r="AD7" s="174">
        <v>10</v>
      </c>
      <c r="AE7" s="174"/>
      <c r="AF7" s="164">
        <v>0</v>
      </c>
      <c r="AG7" s="164">
        <v>28.8</v>
      </c>
      <c r="AH7" s="165">
        <f t="shared" si="6"/>
        <v>0.57282747642362708</v>
      </c>
      <c r="AI7" s="175">
        <v>100</v>
      </c>
    </row>
    <row r="8" spans="2:35" x14ac:dyDescent="0.25">
      <c r="B8" s="24" t="s">
        <v>47</v>
      </c>
      <c r="C8" s="26">
        <v>0</v>
      </c>
      <c r="D8" s="24" t="s">
        <v>48</v>
      </c>
      <c r="E8" s="26">
        <v>0.1</v>
      </c>
      <c r="F8" s="24" t="s">
        <v>49</v>
      </c>
      <c r="G8" s="27">
        <v>0</v>
      </c>
      <c r="H8" s="24" t="s">
        <v>49</v>
      </c>
      <c r="I8" s="27">
        <v>0</v>
      </c>
      <c r="J8" s="38"/>
      <c r="K8" s="27"/>
      <c r="L8" s="24"/>
      <c r="M8" s="25"/>
      <c r="N8" s="1"/>
      <c r="O8" s="176">
        <v>1</v>
      </c>
      <c r="P8" s="164" t="s">
        <v>166</v>
      </c>
      <c r="Q8" s="177">
        <f>17.45%*8</f>
        <v>1.3959999999999999</v>
      </c>
      <c r="R8" s="164" t="s">
        <v>158</v>
      </c>
      <c r="S8" s="175">
        <f t="shared" si="0"/>
        <v>2456.096</v>
      </c>
      <c r="T8" s="177">
        <f t="shared" si="3"/>
        <v>2.1184392324093819</v>
      </c>
      <c r="U8" s="177">
        <f>IF(R8=$C$1,SUM($E$4:$E$9),SUM($E$4:$E$8))+20%+48%+50%</f>
        <v>1.7</v>
      </c>
      <c r="V8" s="165">
        <f t="shared" si="1"/>
        <v>2.5662500000000001</v>
      </c>
      <c r="W8" s="164">
        <f t="shared" si="4"/>
        <v>0</v>
      </c>
      <c r="X8" s="165">
        <f t="shared" si="7"/>
        <v>0.50389858377976982</v>
      </c>
      <c r="Y8" s="164">
        <f t="shared" si="5"/>
        <v>0.9</v>
      </c>
      <c r="Z8" s="178">
        <v>0</v>
      </c>
      <c r="AA8" s="178">
        <v>0.4</v>
      </c>
      <c r="AB8" s="178">
        <v>0</v>
      </c>
      <c r="AC8" s="173">
        <f t="shared" si="2"/>
        <v>17963.954717833534</v>
      </c>
      <c r="AD8" s="174">
        <v>10</v>
      </c>
      <c r="AE8" s="174"/>
      <c r="AF8" s="164">
        <v>0</v>
      </c>
      <c r="AG8" s="164">
        <v>36</v>
      </c>
      <c r="AH8" s="165">
        <f t="shared" si="6"/>
        <v>0.59868918578270736</v>
      </c>
      <c r="AI8" s="175">
        <v>100</v>
      </c>
    </row>
    <row r="9" spans="2:35" x14ac:dyDescent="0.25">
      <c r="B9" s="24" t="s">
        <v>51</v>
      </c>
      <c r="C9" s="25">
        <v>400</v>
      </c>
      <c r="D9" s="24" t="s">
        <v>52</v>
      </c>
      <c r="E9" s="27">
        <f>M5+30%+12%</f>
        <v>0.59199999999999997</v>
      </c>
      <c r="F9" s="24" t="s">
        <v>53</v>
      </c>
      <c r="G9" s="27">
        <v>0</v>
      </c>
      <c r="H9" s="24" t="s">
        <v>53</v>
      </c>
      <c r="I9" s="27">
        <v>0</v>
      </c>
      <c r="J9" s="38"/>
      <c r="K9" s="27"/>
      <c r="L9" s="24"/>
      <c r="M9" s="25"/>
      <c r="N9" s="1"/>
      <c r="O9" s="176">
        <v>1</v>
      </c>
      <c r="P9" s="164" t="s">
        <v>167</v>
      </c>
      <c r="Q9" s="177">
        <f>11.49%*6+10.64%*8+15.98%*8</f>
        <v>2.819</v>
      </c>
      <c r="R9" s="164" t="s">
        <v>154</v>
      </c>
      <c r="S9" s="175">
        <f t="shared" si="0"/>
        <v>2456.096</v>
      </c>
      <c r="T9" s="177">
        <f t="shared" si="3"/>
        <v>2.1184392324093819</v>
      </c>
      <c r="U9" s="177">
        <f>IF(R9=$C$1,SUM($E$4:$E$9),SUM($E$4:$E$8))+20%+48%+50%+48%</f>
        <v>2.7719999999999998</v>
      </c>
      <c r="V9" s="165">
        <f t="shared" si="1"/>
        <v>2.5662500000000001</v>
      </c>
      <c r="W9" s="164">
        <f t="shared" si="4"/>
        <v>0</v>
      </c>
      <c r="X9" s="165">
        <f t="shared" si="7"/>
        <v>0.50389858377976982</v>
      </c>
      <c r="Y9" s="164">
        <f t="shared" si="5"/>
        <v>0.9</v>
      </c>
      <c r="Z9" s="178">
        <f>120%+120%</f>
        <v>2.4</v>
      </c>
      <c r="AA9" s="178">
        <v>0.4</v>
      </c>
      <c r="AB9" s="178">
        <v>0</v>
      </c>
      <c r="AC9" s="173">
        <f t="shared" si="2"/>
        <v>172305.22458495179</v>
      </c>
      <c r="AD9" s="174">
        <v>10</v>
      </c>
      <c r="AE9" s="174"/>
    </row>
    <row r="10" spans="2:35" x14ac:dyDescent="0.25">
      <c r="B10" s="42" t="s">
        <v>54</v>
      </c>
      <c r="C10" s="43"/>
      <c r="D10" s="42"/>
      <c r="E10" s="44"/>
      <c r="F10" s="45" t="s">
        <v>55</v>
      </c>
      <c r="G10" s="46">
        <f>MIN(100%,SUM(G4:G9))</f>
        <v>0.89500000000000002</v>
      </c>
      <c r="H10" s="45" t="s">
        <v>56</v>
      </c>
      <c r="I10" s="46">
        <f>SUM(I4:I9)</f>
        <v>2.75</v>
      </c>
      <c r="J10" s="47"/>
      <c r="K10" s="102"/>
      <c r="L10" s="42"/>
      <c r="M10" s="43"/>
      <c r="N10" s="1"/>
      <c r="O10" s="179">
        <v>1</v>
      </c>
      <c r="P10" s="180" t="s">
        <v>165</v>
      </c>
      <c r="Q10" s="181">
        <f>51.54%+206.13%+(2.59%*100*120%*120%)</f>
        <v>6.3063000000000002</v>
      </c>
      <c r="R10" s="180" t="s">
        <v>154</v>
      </c>
      <c r="S10" s="195">
        <f t="shared" si="0"/>
        <v>2456.096</v>
      </c>
      <c r="T10" s="181">
        <f t="shared" si="3"/>
        <v>2.1184392324093819</v>
      </c>
      <c r="U10" s="181">
        <f>IF(R10=$C$1,SUM($E$4:$E$9),SUM($E$4:$E$8))+20%+48%+50%+48%</f>
        <v>2.7719999999999998</v>
      </c>
      <c r="V10" s="182">
        <f t="shared" si="1"/>
        <v>2.5662500000000001</v>
      </c>
      <c r="W10" s="180">
        <f t="shared" si="4"/>
        <v>0</v>
      </c>
      <c r="X10" s="182">
        <f t="shared" si="7"/>
        <v>0.50389858377976982</v>
      </c>
      <c r="Y10" s="180">
        <f t="shared" si="5"/>
        <v>0.9</v>
      </c>
      <c r="Z10" s="183">
        <f>120%+120%</f>
        <v>2.4</v>
      </c>
      <c r="AA10" s="183">
        <v>0.4</v>
      </c>
      <c r="AB10" s="193">
        <v>0</v>
      </c>
      <c r="AC10" s="173">
        <f t="shared" si="2"/>
        <v>385458.82859172823</v>
      </c>
      <c r="AD10" s="174">
        <v>10</v>
      </c>
      <c r="AE10" s="174"/>
    </row>
    <row r="11" spans="2:35" x14ac:dyDescent="0.25">
      <c r="B11" s="1"/>
      <c r="C11" s="1"/>
      <c r="D11" s="1"/>
      <c r="E11" s="58"/>
      <c r="F11" s="13" t="s">
        <v>57</v>
      </c>
      <c r="G11" s="59">
        <f>MAX(0,SUM(G4:G9)-1)</f>
        <v>0</v>
      </c>
      <c r="J11" s="2"/>
      <c r="K11" s="2"/>
      <c r="L11" s="1"/>
      <c r="M11" s="1"/>
      <c r="N11" s="1"/>
      <c r="O11" s="166">
        <v>1</v>
      </c>
      <c r="P11" s="167" t="s">
        <v>157</v>
      </c>
      <c r="Q11" s="168">
        <v>0.3579</v>
      </c>
      <c r="R11" s="167" t="s">
        <v>158</v>
      </c>
      <c r="S11" s="169">
        <f t="shared" si="0"/>
        <v>2456.096</v>
      </c>
      <c r="T11" s="168">
        <f t="shared" si="3"/>
        <v>2.1184392324093819</v>
      </c>
      <c r="U11" s="168">
        <f>IF(R11=$C$1,SUM($E$4:$E$9),SUM($E$4:$E$8))+50%+48%</f>
        <v>1.5</v>
      </c>
      <c r="V11" s="170">
        <f t="shared" si="1"/>
        <v>2.5662500000000001</v>
      </c>
      <c r="W11" s="167">
        <f>IF(R12=$C$1,$K$4+$K$5,$K$4)</f>
        <v>0</v>
      </c>
      <c r="X11" s="170">
        <f>$AH$4</f>
        <v>0.50389858377976982</v>
      </c>
      <c r="Y11" s="167">
        <f>$AH$11+0.1</f>
        <v>0.9</v>
      </c>
      <c r="Z11" s="171">
        <v>0</v>
      </c>
      <c r="AA11" s="171">
        <v>0.4</v>
      </c>
      <c r="AB11" s="172">
        <v>0</v>
      </c>
      <c r="AC11" s="173">
        <f t="shared" si="2"/>
        <v>4264.3660415423847</v>
      </c>
      <c r="AG11" s="76" t="s">
        <v>60</v>
      </c>
      <c r="AH11" s="76">
        <v>0.8</v>
      </c>
    </row>
    <row r="12" spans="2:35" x14ac:dyDescent="0.25">
      <c r="B12" s="1"/>
      <c r="C12" s="1"/>
      <c r="D12" s="1"/>
      <c r="E12" s="58"/>
      <c r="F12" s="1"/>
      <c r="G12" s="2"/>
      <c r="J12" s="2"/>
      <c r="K12" s="2"/>
      <c r="L12" s="1"/>
      <c r="M12" s="1"/>
      <c r="O12" s="176">
        <v>2</v>
      </c>
      <c r="P12" s="194" t="s">
        <v>163</v>
      </c>
      <c r="Q12" s="177">
        <f>15.11%*4+90.66%+10.15%*2+47.35%</f>
        <v>2.1875</v>
      </c>
      <c r="R12" s="164" t="s">
        <v>164</v>
      </c>
      <c r="S12" s="175">
        <f t="shared" si="0"/>
        <v>2456.096</v>
      </c>
      <c r="T12" s="177">
        <f t="shared" si="3"/>
        <v>2.1184392324093819</v>
      </c>
      <c r="U12" s="177">
        <f>IF(R12=$C$1,SUM($E$4:$E$9),SUM($E$4:$E$8))+20%+48%+50%</f>
        <v>1.7</v>
      </c>
      <c r="V12" s="165">
        <f t="shared" si="1"/>
        <v>2.5662500000000001</v>
      </c>
      <c r="W12" s="164">
        <f>IF(R12=$C$1,$K$4+$K$5,$K$4)</f>
        <v>0</v>
      </c>
      <c r="X12" s="165">
        <f>$AH$4</f>
        <v>0.50389858377976982</v>
      </c>
      <c r="Y12" s="164">
        <f t="shared" si="5"/>
        <v>0.9</v>
      </c>
      <c r="Z12" s="178">
        <v>0</v>
      </c>
      <c r="AA12" s="178">
        <v>0.4</v>
      </c>
      <c r="AB12" s="178">
        <v>0</v>
      </c>
      <c r="AC12" s="173">
        <f t="shared" si="2"/>
        <v>56298.210523296359</v>
      </c>
      <c r="AG12" s="71" t="s">
        <v>63</v>
      </c>
      <c r="AH12" s="71">
        <v>0.8</v>
      </c>
    </row>
    <row r="13" spans="2:35" x14ac:dyDescent="0.25">
      <c r="B13" s="1"/>
      <c r="C13" s="1"/>
      <c r="D13" s="1"/>
      <c r="E13" s="1"/>
      <c r="F13" s="1"/>
      <c r="G13" s="2"/>
      <c r="H13" s="1"/>
      <c r="I13" s="1"/>
      <c r="J13" s="1"/>
      <c r="K13" s="1"/>
      <c r="L13" s="1"/>
      <c r="M13" s="1"/>
      <c r="O13" s="176">
        <v>2</v>
      </c>
      <c r="P13" s="164" t="s">
        <v>165</v>
      </c>
      <c r="Q13" s="177">
        <f>29.81%+14.91%+104.34%+47.78%</f>
        <v>1.9684000000000001</v>
      </c>
      <c r="R13" s="164" t="s">
        <v>154</v>
      </c>
      <c r="S13" s="175">
        <f t="shared" si="0"/>
        <v>2456.096</v>
      </c>
      <c r="T13" s="177">
        <f t="shared" si="3"/>
        <v>2.1184392324093819</v>
      </c>
      <c r="U13" s="177">
        <f>IF(R13=$C$1,SUM($E$4:$E$9),SUM($E$4:$E$8))+20%+48%+50%+48%</f>
        <v>2.7719999999999998</v>
      </c>
      <c r="V13" s="165">
        <f t="shared" si="1"/>
        <v>2.5662500000000001</v>
      </c>
      <c r="W13" s="164">
        <f>IF(R13=$C$1,$K$4+$K$5,$K$4)</f>
        <v>0</v>
      </c>
      <c r="X13" s="165">
        <f t="shared" si="7"/>
        <v>0.50389858377976982</v>
      </c>
      <c r="Y13" s="164">
        <f t="shared" si="5"/>
        <v>0.9</v>
      </c>
      <c r="Z13" s="178">
        <v>0</v>
      </c>
      <c r="AA13" s="178">
        <v>0.4</v>
      </c>
      <c r="AB13" s="178">
        <v>0</v>
      </c>
      <c r="AC13" s="173">
        <f t="shared" si="2"/>
        <v>70773.032588322763</v>
      </c>
      <c r="AG13" s="103" t="s">
        <v>65</v>
      </c>
      <c r="AH13" s="103">
        <v>0.8</v>
      </c>
    </row>
    <row r="14" spans="2:35" ht="15.6" x14ac:dyDescent="0.25">
      <c r="B14" s="184" t="s">
        <v>66</v>
      </c>
      <c r="C14" s="1"/>
      <c r="D14" s="184"/>
      <c r="E14" s="1"/>
      <c r="F14" s="1"/>
      <c r="G14" s="2"/>
      <c r="H14" s="1"/>
      <c r="I14" s="1"/>
      <c r="J14" s="1"/>
      <c r="K14" s="1"/>
      <c r="L14" s="1"/>
      <c r="M14" s="1"/>
      <c r="O14" s="176">
        <v>1</v>
      </c>
      <c r="P14" s="164" t="s">
        <v>166</v>
      </c>
      <c r="Q14" s="177">
        <f>17.45%*8</f>
        <v>1.3959999999999999</v>
      </c>
      <c r="R14" s="164" t="s">
        <v>158</v>
      </c>
      <c r="S14" s="175">
        <f t="shared" si="0"/>
        <v>2456.096</v>
      </c>
      <c r="T14" s="177">
        <f t="shared" si="3"/>
        <v>2.1184392324093819</v>
      </c>
      <c r="U14" s="177">
        <f>IF(R14=$C$1,SUM($E$4:$E$9),SUM($E$4:$E$8))+20%+48%+50%</f>
        <v>1.7</v>
      </c>
      <c r="V14" s="165">
        <f t="shared" si="1"/>
        <v>2.5662500000000001</v>
      </c>
      <c r="W14" s="164">
        <f>IF(R14=$C$1,$K$4+$K$5,$K$4)</f>
        <v>0</v>
      </c>
      <c r="X14" s="165">
        <f t="shared" si="7"/>
        <v>0.50389858377976982</v>
      </c>
      <c r="Y14" s="164">
        <f t="shared" si="5"/>
        <v>0.9</v>
      </c>
      <c r="Z14" s="178">
        <v>0</v>
      </c>
      <c r="AA14" s="178">
        <v>0.4</v>
      </c>
      <c r="AB14" s="178">
        <v>0</v>
      </c>
      <c r="AC14" s="173">
        <f t="shared" si="2"/>
        <v>17963.954717833534</v>
      </c>
      <c r="AG14" s="74" t="s">
        <v>67</v>
      </c>
      <c r="AH14" s="74">
        <v>0.8</v>
      </c>
    </row>
    <row r="15" spans="2:35" x14ac:dyDescent="0.25">
      <c r="B15" s="185"/>
      <c r="C15" s="185" t="s">
        <v>68</v>
      </c>
      <c r="D15" s="185" t="s">
        <v>69</v>
      </c>
      <c r="E15" s="185" t="s">
        <v>70</v>
      </c>
      <c r="F15" s="185" t="s">
        <v>71</v>
      </c>
      <c r="G15" s="2"/>
      <c r="H15" s="90" t="s">
        <v>92</v>
      </c>
      <c r="I15" s="91" t="s">
        <v>151</v>
      </c>
      <c r="J15" s="91" t="s">
        <v>152</v>
      </c>
      <c r="K15" s="91" t="s">
        <v>153</v>
      </c>
      <c r="L15" s="91" t="s">
        <v>93</v>
      </c>
      <c r="M15" s="197" t="s">
        <v>174</v>
      </c>
      <c r="O15" s="176">
        <v>1</v>
      </c>
      <c r="P15" s="164" t="s">
        <v>167</v>
      </c>
      <c r="Q15" s="177">
        <f>11.49%*6+10.64%*8+15.98%*8</f>
        <v>2.819</v>
      </c>
      <c r="R15" s="164" t="s">
        <v>154</v>
      </c>
      <c r="S15" s="175">
        <f t="shared" si="0"/>
        <v>2456.096</v>
      </c>
      <c r="T15" s="177">
        <f t="shared" si="3"/>
        <v>2.1184392324093819</v>
      </c>
      <c r="U15" s="177">
        <f>IF(R15=$C$1,SUM($E$4:$E$9),SUM($E$4:$E$8))+20%+48%+50%+48%</f>
        <v>2.7719999999999998</v>
      </c>
      <c r="V15" s="165">
        <f t="shared" si="1"/>
        <v>2.5662500000000001</v>
      </c>
      <c r="W15" s="164">
        <f>IF(R15=$C$1,$K$4+$K$5,$K$4)</f>
        <v>0</v>
      </c>
      <c r="X15" s="165">
        <f t="shared" si="7"/>
        <v>0.50389858377976982</v>
      </c>
      <c r="Y15" s="164">
        <f t="shared" si="5"/>
        <v>0.9</v>
      </c>
      <c r="Z15" s="178">
        <f>120%+120%</f>
        <v>2.4</v>
      </c>
      <c r="AA15" s="178">
        <v>0.4</v>
      </c>
      <c r="AB15" s="178">
        <v>0</v>
      </c>
      <c r="AC15" s="173">
        <f t="shared" si="2"/>
        <v>172305.22458495179</v>
      </c>
      <c r="AG15" s="110" t="s">
        <v>73</v>
      </c>
      <c r="AH15" s="110">
        <v>0.8</v>
      </c>
    </row>
    <row r="16" spans="2:35" x14ac:dyDescent="0.25">
      <c r="B16" s="4" t="s">
        <v>74</v>
      </c>
      <c r="C16" s="4">
        <f>SUM(AC3:AC16)</f>
        <v>1620625.1412020996</v>
      </c>
      <c r="D16" s="4">
        <f t="shared" ref="D16:D19" si="8">C16/$E$16</f>
        <v>64825.005648083985</v>
      </c>
      <c r="E16" s="1">
        <v>25</v>
      </c>
      <c r="F16" s="2">
        <f>C16/$C$20</f>
        <v>0.99383196016756981</v>
      </c>
      <c r="G16" s="2"/>
      <c r="H16" s="151" t="s">
        <v>95</v>
      </c>
      <c r="I16" s="76">
        <v>27080</v>
      </c>
      <c r="J16" s="1">
        <v>23165</v>
      </c>
      <c r="K16" s="77">
        <v>29336</v>
      </c>
      <c r="L16" s="92">
        <v>30841</v>
      </c>
      <c r="M16" s="1"/>
      <c r="O16" s="179">
        <v>1</v>
      </c>
      <c r="P16" s="180" t="s">
        <v>165</v>
      </c>
      <c r="Q16" s="181">
        <f>51.54%+206.13%+(2.59%*100*120%*120%)</f>
        <v>6.3063000000000002</v>
      </c>
      <c r="R16" s="180" t="s">
        <v>154</v>
      </c>
      <c r="S16" s="195">
        <f t="shared" si="0"/>
        <v>2456.096</v>
      </c>
      <c r="T16" s="181">
        <f t="shared" si="3"/>
        <v>2.1184392324093819</v>
      </c>
      <c r="U16" s="181">
        <f>IF(R16=$C$1,SUM($E$4:$E$9),SUM($E$4:$E$8))+20%+48%+50%+48%</f>
        <v>2.7719999999999998</v>
      </c>
      <c r="V16" s="182">
        <f t="shared" si="1"/>
        <v>2.5662500000000001</v>
      </c>
      <c r="W16" s="180">
        <f>IF(R16=$C$1,$K$4+$K$5,$K$4)</f>
        <v>0</v>
      </c>
      <c r="X16" s="182">
        <f t="shared" si="7"/>
        <v>0.50389858377976982</v>
      </c>
      <c r="Y16" s="180">
        <f t="shared" si="5"/>
        <v>0.9</v>
      </c>
      <c r="Z16" s="183">
        <f>120%+120%</f>
        <v>2.4</v>
      </c>
      <c r="AA16" s="183">
        <v>0.4</v>
      </c>
      <c r="AB16" s="193">
        <v>0</v>
      </c>
      <c r="AC16" s="173">
        <f t="shared" si="2"/>
        <v>385458.82859172823</v>
      </c>
      <c r="AG16" s="78" t="s">
        <v>76</v>
      </c>
      <c r="AH16" s="78">
        <v>0.8</v>
      </c>
    </row>
    <row r="17" spans="2:34" x14ac:dyDescent="0.25">
      <c r="B17" s="4" t="s">
        <v>168</v>
      </c>
      <c r="C17" s="4">
        <v>0</v>
      </c>
      <c r="D17" s="4">
        <f t="shared" si="8"/>
        <v>0</v>
      </c>
      <c r="E17" s="1"/>
      <c r="F17" s="2">
        <f>C17/$C$20</f>
        <v>0</v>
      </c>
      <c r="G17" s="2"/>
      <c r="H17" s="1">
        <v>21</v>
      </c>
      <c r="I17" s="76">
        <v>35941</v>
      </c>
      <c r="J17" s="1">
        <v>34890</v>
      </c>
      <c r="K17" s="92">
        <v>55889</v>
      </c>
      <c r="L17" s="77">
        <v>44782</v>
      </c>
      <c r="M17" s="1"/>
      <c r="AG17" s="1" t="s">
        <v>80</v>
      </c>
      <c r="AH17" s="1">
        <v>0.8</v>
      </c>
    </row>
    <row r="18" spans="2:34" x14ac:dyDescent="0.25">
      <c r="B18" s="4" t="s">
        <v>82</v>
      </c>
      <c r="C18" s="4">
        <v>0</v>
      </c>
      <c r="D18" s="4">
        <f t="shared" si="8"/>
        <v>0</v>
      </c>
      <c r="E18" s="1"/>
      <c r="F18" s="2">
        <f>C18/$C$20</f>
        <v>0</v>
      </c>
      <c r="G18" s="2"/>
      <c r="H18" s="1">
        <v>31</v>
      </c>
      <c r="I18" s="76">
        <v>49026</v>
      </c>
      <c r="J18" s="1">
        <v>42139</v>
      </c>
      <c r="K18" s="92">
        <v>64516</v>
      </c>
      <c r="L18" s="77">
        <v>55686</v>
      </c>
      <c r="M18" s="1"/>
      <c r="O18" s="186">
        <v>0.5</v>
      </c>
      <c r="P18" s="187" t="s">
        <v>77</v>
      </c>
      <c r="Q18" s="188">
        <v>16</v>
      </c>
      <c r="R18" s="187" t="s">
        <v>86</v>
      </c>
      <c r="S18" s="196">
        <f>$C$4*(1+$T$10)</f>
        <v>2925.0960000000005</v>
      </c>
      <c r="T18" s="188">
        <v>0</v>
      </c>
      <c r="U18" s="188">
        <v>0</v>
      </c>
      <c r="V18" s="189">
        <v>1</v>
      </c>
      <c r="W18" s="187">
        <v>0</v>
      </c>
      <c r="X18" s="189">
        <f t="shared" ref="X18" si="9">$AH$3</f>
        <v>0.4884318766066838</v>
      </c>
      <c r="Y18" s="187">
        <f>$AH$17</f>
        <v>0.8</v>
      </c>
      <c r="Z18" s="190">
        <v>0</v>
      </c>
      <c r="AA18" s="190">
        <v>0</v>
      </c>
      <c r="AB18" s="191">
        <v>0.1</v>
      </c>
      <c r="AC18" s="192">
        <f t="shared" ref="AC18" si="10">Q18*S18*(1+T18)*(1+U18)*V18*(1+W18)*X18*Y18*(1+Z18)*(1+AA18)*(1+AB18)*O18</f>
        <v>10058.119304884322</v>
      </c>
    </row>
    <row r="19" spans="2:34" x14ac:dyDescent="0.25">
      <c r="B19" s="4" t="s">
        <v>77</v>
      </c>
      <c r="C19" s="4">
        <f>AC18</f>
        <v>10058.119304884322</v>
      </c>
      <c r="D19" s="4">
        <f t="shared" si="8"/>
        <v>402.32477219537287</v>
      </c>
      <c r="E19" s="1"/>
      <c r="F19" s="2">
        <f>C19/$C$20</f>
        <v>6.1680398324302568E-3</v>
      </c>
      <c r="G19" s="2"/>
      <c r="H19" s="1">
        <v>61</v>
      </c>
      <c r="I19" s="77">
        <v>83273</v>
      </c>
      <c r="J19" s="1">
        <v>55308</v>
      </c>
      <c r="K19" s="92">
        <v>84176</v>
      </c>
      <c r="L19" s="76">
        <v>80824</v>
      </c>
      <c r="M19" s="1"/>
      <c r="O19" s="1"/>
      <c r="Q19" s="155"/>
      <c r="U19" s="155"/>
      <c r="V19" s="156"/>
      <c r="AB19" s="157"/>
      <c r="AC19" s="157"/>
    </row>
    <row r="20" spans="2:34" x14ac:dyDescent="0.25">
      <c r="B20" s="4" t="s">
        <v>79</v>
      </c>
      <c r="C20" s="4">
        <f>SUM(C16:C19)</f>
        <v>1630683.2605069838</v>
      </c>
      <c r="D20" s="4">
        <f>C20/E16</f>
        <v>65227.330420279352</v>
      </c>
      <c r="E20" s="1"/>
      <c r="F20" s="2"/>
      <c r="G20" s="2"/>
      <c r="H20" s="1">
        <v>65</v>
      </c>
      <c r="I20" s="92">
        <v>111624</v>
      </c>
      <c r="J20" s="1">
        <v>64468</v>
      </c>
      <c r="K20" s="76">
        <v>102496</v>
      </c>
      <c r="L20" s="77">
        <v>104493</v>
      </c>
      <c r="M20" s="1">
        <v>65227</v>
      </c>
    </row>
    <row r="21" spans="2:34" x14ac:dyDescent="0.25">
      <c r="B21" s="4"/>
      <c r="C21" s="4"/>
      <c r="D21" s="4"/>
      <c r="E21" s="1"/>
      <c r="G21" s="2"/>
      <c r="H21" s="1"/>
      <c r="I21" s="1"/>
      <c r="J21" s="1"/>
      <c r="K21" s="1"/>
      <c r="L21" s="1"/>
      <c r="M21" s="1"/>
    </row>
    <row r="22" spans="2:34" x14ac:dyDescent="0.25">
      <c r="F22" s="4"/>
      <c r="G22" s="2"/>
      <c r="H22" s="1"/>
      <c r="I22" s="1"/>
      <c r="J22" s="1"/>
      <c r="K22" s="1"/>
      <c r="L22" s="1"/>
      <c r="M22" s="1"/>
    </row>
    <row r="23" spans="2:34" x14ac:dyDescent="0.25">
      <c r="B23" s="211" t="s">
        <v>169</v>
      </c>
      <c r="C23" s="211"/>
      <c r="D23" s="211"/>
      <c r="E23" s="211"/>
      <c r="F23" s="211"/>
      <c r="G23" s="211"/>
      <c r="H23" s="211"/>
      <c r="I23" s="211"/>
      <c r="J23" s="211"/>
      <c r="K23" s="211"/>
      <c r="L23" s="211"/>
      <c r="O23" s="205" t="s">
        <v>171</v>
      </c>
      <c r="P23" s="205"/>
      <c r="Q23" s="205"/>
    </row>
    <row r="24" spans="2:34" x14ac:dyDescent="0.25">
      <c r="B24" s="211"/>
      <c r="C24" s="211"/>
      <c r="D24" s="211"/>
      <c r="E24" s="211"/>
      <c r="F24" s="211"/>
      <c r="G24" s="211"/>
      <c r="H24" s="211"/>
      <c r="I24" s="211"/>
      <c r="J24" s="211"/>
      <c r="K24" s="211"/>
      <c r="L24" s="211"/>
      <c r="O24"/>
      <c r="P24"/>
      <c r="Q24"/>
    </row>
    <row r="25" spans="2:34" x14ac:dyDescent="0.25">
      <c r="B25"/>
      <c r="C25"/>
      <c r="D25"/>
      <c r="E25"/>
      <c r="F25"/>
      <c r="G25"/>
      <c r="H25"/>
      <c r="I25"/>
      <c r="J25"/>
      <c r="K25"/>
      <c r="L25"/>
      <c r="N25" s="206" t="s">
        <v>173</v>
      </c>
      <c r="O25" s="206"/>
      <c r="P25" s="206"/>
      <c r="Q25" s="206"/>
      <c r="R25" s="206"/>
    </row>
    <row r="26" spans="2:34" x14ac:dyDescent="0.25">
      <c r="B26" s="204" t="s">
        <v>170</v>
      </c>
      <c r="C26" s="204"/>
      <c r="D26" s="204"/>
      <c r="E26" s="204"/>
      <c r="F26" s="204"/>
      <c r="G26" s="204"/>
      <c r="H26" s="204"/>
      <c r="I26" s="204"/>
      <c r="J26" s="204"/>
      <c r="K26" s="204"/>
      <c r="L26" s="204"/>
      <c r="O26" s="198"/>
    </row>
    <row r="27" spans="2:34" x14ac:dyDescent="0.25">
      <c r="B27" s="204"/>
      <c r="C27" s="204"/>
      <c r="D27" s="204"/>
      <c r="E27" s="204"/>
      <c r="F27" s="204"/>
      <c r="G27" s="204"/>
      <c r="H27" s="204"/>
      <c r="I27" s="204"/>
      <c r="J27" s="204"/>
      <c r="K27" s="204"/>
      <c r="L27" s="204"/>
      <c r="O27" s="206" t="s">
        <v>172</v>
      </c>
      <c r="P27" s="207"/>
      <c r="Q27" s="207"/>
    </row>
  </sheetData>
  <mergeCells count="12">
    <mergeCell ref="B26:L27"/>
    <mergeCell ref="O23:Q23"/>
    <mergeCell ref="O27:Q27"/>
    <mergeCell ref="N25:R25"/>
    <mergeCell ref="B2:M2"/>
    <mergeCell ref="B3:C3"/>
    <mergeCell ref="D3:E3"/>
    <mergeCell ref="F3:G3"/>
    <mergeCell ref="H3:I3"/>
    <mergeCell ref="J3:K3"/>
    <mergeCell ref="L3:M3"/>
    <mergeCell ref="B23:L24"/>
  </mergeCells>
  <phoneticPr fontId="10" type="noConversion"/>
  <pageMargins left="0.7" right="0.7" top="0.75" bottom="0.75" header="0.3" footer="0.3"/>
  <ignoredErrors>
    <ignoredError sqref="U8 U13:U14 W11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0尤</vt:lpstr>
      <vt:lpstr>65尤</vt:lpstr>
      <vt:lpstr>01布兰特</vt:lpstr>
      <vt:lpstr>01卡提</vt:lpstr>
      <vt:lpstr>21卡提</vt:lpstr>
      <vt:lpstr>65卡提</vt:lpstr>
      <vt:lpstr>爱弥斯</vt:lpstr>
      <vt:lpstr>65千咲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Roxy</dc:creator>
  <cp:lastModifiedBy>氏 公孙</cp:lastModifiedBy>
  <dcterms:created xsi:type="dcterms:W3CDTF">2026-02-27T17:41:00Z</dcterms:created>
  <dcterms:modified xsi:type="dcterms:W3CDTF">2026-03-12T04:55:03Z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B216826B2CDA4D659E3AAB02A42E3A2C_11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