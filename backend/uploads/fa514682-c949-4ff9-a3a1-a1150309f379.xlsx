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70" windowHeight="10460" firstSheet="1" activeTab="7"/>
  </bookViews>
  <sheets>
    <sheet name="菲咲光" sheetId="1" r:id="rId1"/>
    <sheet name="菲光守" sheetId="2" r:id="rId2"/>
    <sheet name="链菲光守" sheetId="5" r:id="rId3"/>
    <sheet name="链菲咲光" sheetId="6" r:id="rId4"/>
    <sheet name="赦罪轮" sheetId="7" r:id="rId5"/>
    <sheet name="告解轮" sheetId="8" r:id="rId6"/>
    <sheet name="菲琳光" sheetId="12" r:id="rId7"/>
    <sheet name="菲光莫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<sst xmlns="http://schemas.openxmlformats.org/spreadsheetml/2006/main" count="1493" uniqueCount="143">
  <si>
    <t>千咲</t>
  </si>
  <si>
    <t>动作</t>
  </si>
  <si>
    <t>倍率</t>
  </si>
  <si>
    <t>类型</t>
  </si>
  <si>
    <t>攻击白值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</si>
  <si>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</si>
  <si>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</si>
  <si>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</si>
  <si>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</si>
  <si>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</si>
  <si>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</si>
  <si>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</si>
  <si>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</si>
  <si>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</si>
  <si>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</si>
  <si>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减防</t>
  </si>
  <si>
    <t>无视防御</t>
  </si>
  <si>
    <t>怪物等级</t>
  </si>
  <si>
    <t>攻击</t>
  </si>
  <si>
    <t>暴击</t>
  </si>
  <si>
    <t>暴击伤害</t>
  </si>
  <si>
    <t>10双爆2攻2技</t>
  </si>
  <si>
    <t>变奏</t>
  </si>
  <si>
    <t>bz</t>
  </si>
  <si>
    <t>白值</t>
  </si>
  <si>
    <t>3C声骸</t>
  </si>
  <si>
    <t>基础</t>
  </si>
  <si>
    <t>全加深</t>
  </si>
  <si>
    <t>大攻击</t>
  </si>
  <si>
    <t>解弦</t>
  </si>
  <si>
    <t>e</t>
  </si>
  <si>
    <t>固有和武器</t>
  </si>
  <si>
    <t>套装效果</t>
  </si>
  <si>
    <t>武器</t>
  </si>
  <si>
    <t>声骸</t>
  </si>
  <si>
    <t>声骸加深</t>
  </si>
  <si>
    <t>R伤害</t>
  </si>
  <si>
    <t>纷烈</t>
  </si>
  <si>
    <t>a</t>
  </si>
  <si>
    <t>声骸和词条</t>
  </si>
  <si>
    <t>buff</t>
  </si>
  <si>
    <t>套装</t>
  </si>
  <si>
    <t>共技加深</t>
  </si>
  <si>
    <t>断命</t>
  </si>
  <si>
    <t>r</t>
  </si>
  <si>
    <t>自拐</t>
  </si>
  <si>
    <t>爆伤</t>
  </si>
  <si>
    <t>撤弦</t>
  </si>
  <si>
    <t>队友buff</t>
  </si>
  <si>
    <t>r加成</t>
  </si>
  <si>
    <t>守岸人</t>
  </si>
  <si>
    <t>齿轨</t>
  </si>
  <si>
    <t>声骸固定攻击</t>
  </si>
  <si>
    <t>面板暴击率</t>
  </si>
  <si>
    <t>面板暴击伤害</t>
  </si>
  <si>
    <t>归无</t>
  </si>
  <si>
    <t>额外固定攻击</t>
  </si>
  <si>
    <t>锯环</t>
  </si>
  <si>
    <t xml:space="preserve">                                                                             </t>
  </si>
  <si>
    <t>终结</t>
  </si>
  <si>
    <t>q1</t>
  </si>
  <si>
    <t>q</t>
  </si>
  <si>
    <t>q2</t>
  </si>
  <si>
    <t>菲比</t>
  </si>
  <si>
    <t>暗抗</t>
  </si>
  <si>
    <t>金色恩典</t>
  </si>
  <si>
    <t>固有套装</t>
  </si>
  <si>
    <t>重击</t>
  </si>
  <si>
    <t>圣祷赦罪</t>
  </si>
  <si>
    <t>z</t>
  </si>
  <si>
    <t>光抗</t>
  </si>
  <si>
    <t>e*4</t>
  </si>
  <si>
    <t>奶套</t>
  </si>
  <si>
    <t>其他buff</t>
  </si>
  <si>
    <t>夏弥尔之星</t>
  </si>
  <si>
    <t>重击·星辉</t>
  </si>
  <si>
    <t>z加成</t>
  </si>
  <si>
    <t>a加成</t>
  </si>
  <si>
    <t>启明之誓愿</t>
  </si>
  <si>
    <t>光主</t>
  </si>
  <si>
    <t>链</t>
  </si>
  <si>
    <t>延奏</t>
  </si>
  <si>
    <t>yz</t>
  </si>
  <si>
    <t>大锤</t>
  </si>
  <si>
    <t>20抗90级怪</t>
  </si>
  <si>
    <t>BAA</t>
  </si>
  <si>
    <t>总伤</t>
  </si>
  <si>
    <t>dps</t>
  </si>
  <si>
    <t>秒数</t>
  </si>
  <si>
    <t>光躁</t>
  </si>
  <si>
    <t>合计</t>
  </si>
  <si>
    <t>01队</t>
  </si>
  <si>
    <t>21千</t>
  </si>
  <si>
    <t>a2</t>
  </si>
  <si>
    <t>追寻光芒之所</t>
  </si>
  <si>
    <t>传送</t>
  </si>
  <si>
    <t>弗专 菲光守</t>
  </si>
  <si>
    <t>队提升</t>
  </si>
  <si>
    <t>0链</t>
  </si>
  <si>
    <t>1链</t>
  </si>
  <si>
    <t>2链</t>
  </si>
  <si>
    <t>3链</t>
  </si>
  <si>
    <t>4链</t>
  </si>
  <si>
    <t>5链</t>
  </si>
  <si>
    <t>6链</t>
  </si>
  <si>
    <t>21千咲（奶套）</t>
  </si>
  <si>
    <t>61菲比</t>
  </si>
  <si>
    <t>光主（轻云）</t>
  </si>
  <si>
    <t>菲光咲</t>
  </si>
  <si>
    <t>队dps</t>
  </si>
  <si>
    <t>提升</t>
  </si>
  <si>
    <t>V2.8.5</t>
  </si>
  <si>
    <t>01菲21千</t>
  </si>
  <si>
    <t>61菲21千</t>
  </si>
  <si>
    <t>轮次</t>
  </si>
  <si>
    <t>“下位”</t>
  </si>
  <si>
    <t>告解轮</t>
  </si>
  <si>
    <t>赦罪轮</t>
  </si>
  <si>
    <t xml:space="preserve">BAA dps </t>
  </si>
  <si>
    <t>弗专赦罪</t>
  </si>
  <si>
    <t>告解</t>
  </si>
  <si>
    <t>琳奈</t>
  </si>
  <si>
    <t>回路</t>
  </si>
  <si>
    <t>a伤</t>
  </si>
  <si>
    <t>首位</t>
  </si>
  <si>
    <t>武器效果</t>
  </si>
  <si>
    <t>10双爆4攻</t>
  </si>
  <si>
    <t>r加深</t>
  </si>
  <si>
    <t>琳奈式创想</t>
  </si>
  <si>
    <t>奶套-光主</t>
  </si>
  <si>
    <t>奶套(掉大锤）</t>
  </si>
  <si>
    <t>爆炸喷涂</t>
  </si>
  <si>
    <t>灵感碰撞</t>
  </si>
  <si>
    <t>幻光折跃*3</t>
  </si>
  <si>
    <t>视觉冲击</t>
  </si>
  <si>
    <t>有空一起兜风！</t>
  </si>
  <si>
    <t>海维夏</t>
  </si>
  <si>
    <t>震谐</t>
  </si>
  <si>
    <t>zx</t>
  </si>
  <si>
    <t>轻云鸟</t>
  </si>
  <si>
    <t>轻云</t>
  </si>
  <si>
    <t>轻云-光主</t>
  </si>
  <si>
    <t>莫宁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</si>
</sst>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16" applyNumberFormat="0" applyAlignment="0" applyProtection="0">
      <alignment vertical="center"/>
    </xf>
    <xf numFmtId="0" fontId="16" fillId="14" borderId="17" applyNumberFormat="0" applyAlignment="0" applyProtection="0">
      <alignment vertical="center"/>
    </xf>
    <xf numFmtId="0" fontId="17" fillId="14" borderId="16" applyNumberFormat="0" applyAlignment="0" applyProtection="0">
      <alignment vertical="center"/>
    </xf>
    <xf numFmtId="0" fontId="18" fillId="1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0" applyFill="1" applyAlignment="1"/>
    <xf numFmtId="10" fontId="0" fillId="0" borderId="0" xfId="0" applyNumberFormat="1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8" fontId="0" fillId="2" borderId="2" xfId="0" applyNumberFormat="1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4" borderId="0" xfId="0" applyNumberFormat="1" applyFont="1" applyFill="1" applyBorder="1" applyAlignment="1" applyProtection="1">
      <alignment horizontal="center" vertical="center"/>
    </xf>
    <xf numFmtId="9" fontId="0" fillId="4" borderId="0" xfId="0" applyNumberFormat="1" applyFill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9" fontId="1" fillId="0" borderId="10" xfId="0" applyNumberFormat="1" applyFont="1" applyFill="1" applyBorder="1" applyAlignment="1">
      <alignment horizontal="center" vertical="center"/>
    </xf>
    <xf numFmtId="10" fontId="1" fillId="0" borderId="10" xfId="0" applyNumberFormat="1" applyFont="1" applyFill="1" applyBorder="1" applyAlignment="1">
      <alignment horizontal="center" vertical="center"/>
    </xf>
    <xf numFmtId="9" fontId="1" fillId="0" borderId="9" xfId="0" applyNumberFormat="1" applyFont="1" applyFill="1" applyBorder="1" applyAlignment="1">
      <alignment horizontal="center" vertical="center"/>
    </xf>
    <xf numFmtId="10" fontId="1" fillId="0" borderId="9" xfId="0" applyNumberFormat="1" applyFont="1" applyFill="1" applyBorder="1" applyAlignment="1">
      <alignment horizontal="center" vertical="center"/>
    </xf>
    <xf numFmtId="179" fontId="1" fillId="0" borderId="10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10" fontId="1" fillId="6" borderId="10" xfId="0" applyNumberFormat="1" applyFont="1" applyFill="1" applyBorder="1" applyAlignment="1">
      <alignment horizontal="center" vertical="center"/>
    </xf>
    <xf numFmtId="9" fontId="1" fillId="6" borderId="10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9" fontId="1" fillId="0" borderId="12" xfId="0" applyNumberFormat="1" applyFont="1" applyFill="1" applyBorder="1" applyAlignment="1">
      <alignment horizontal="center" vertical="center"/>
    </xf>
    <xf numFmtId="10" fontId="1" fillId="0" borderId="12" xfId="0" applyNumberFormat="1" applyFont="1" applyFill="1" applyBorder="1" applyAlignment="1">
      <alignment horizontal="center" vertical="center"/>
    </xf>
    <xf numFmtId="10" fontId="1" fillId="0" borderId="1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9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0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8" fontId="0" fillId="8" borderId="0" xfId="0" applyNumberFormat="1" applyFill="1" applyAlignment="1">
      <alignment horizontal="center" vertical="center"/>
    </xf>
    <xf numFmtId="0" fontId="0" fillId="8" borderId="0" xfId="0" applyNumberFormat="1" applyFont="1" applyFill="1" applyBorder="1" applyAlignment="1" applyProtection="1">
      <alignment horizontal="center" vertical="center"/>
    </xf>
    <xf numFmtId="9" fontId="0" fillId="8" borderId="0" xfId="0" applyNumberFormat="1" applyFill="1" applyAlignment="1">
      <alignment horizontal="center" vertical="center"/>
    </xf>
    <xf numFmtId="177" fontId="0" fillId="8" borderId="5" xfId="0" applyNumberForma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0" fontId="1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9" fontId="0" fillId="0" borderId="9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179" fontId="0" fillId="0" borderId="10" xfId="0" applyNumberFormat="1" applyFill="1" applyBorder="1" applyAlignment="1">
      <alignment horizontal="center" vertical="center"/>
    </xf>
    <xf numFmtId="9" fontId="0" fillId="0" borderId="10" xfId="0" applyNumberFormat="1" applyFont="1" applyFill="1" applyBorder="1" applyAlignment="1" applyProtection="1">
      <alignment horizontal="center" vertical="center"/>
    </xf>
    <xf numFmtId="0" fontId="0" fillId="6" borderId="9" xfId="0" applyFill="1" applyBorder="1" applyAlignment="1">
      <alignment horizontal="center" vertical="center"/>
    </xf>
    <xf numFmtId="10" fontId="0" fillId="6" borderId="10" xfId="0" applyNumberFormat="1" applyFill="1" applyBorder="1" applyAlignment="1">
      <alignment horizontal="center" vertical="center"/>
    </xf>
    <xf numFmtId="9" fontId="0" fillId="6" borderId="10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9" fontId="0" fillId="0" borderId="12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0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78" fontId="0" fillId="10" borderId="0" xfId="0" applyNumberFormat="1" applyFill="1" applyAlignment="1">
      <alignment horizontal="center" vertical="center"/>
    </xf>
    <xf numFmtId="0" fontId="0" fillId="10" borderId="0" xfId="0" applyNumberFormat="1" applyFont="1" applyFill="1" applyBorder="1" applyAlignment="1" applyProtection="1">
      <alignment horizontal="center" vertical="center"/>
    </xf>
    <xf numFmtId="9" fontId="0" fillId="10" borderId="0" xfId="0" applyNumberFormat="1" applyFill="1" applyAlignment="1">
      <alignment horizontal="center" vertical="center"/>
    </xf>
    <xf numFmtId="177" fontId="0" fillId="10" borderId="5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 wrapText="1"/>
    </xf>
    <xf numFmtId="10" fontId="6" fillId="11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0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9" fontId="0" fillId="4" borderId="0" xfId="0" applyNumberFormat="1" applyFont="1" applyFill="1" applyBorder="1" applyAlignment="1" applyProtection="1">
      <alignment horizontal="center" vertical="center"/>
    </xf>
    <xf numFmtId="177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0" fontId="0" fillId="0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  <xf numFmtId="177" fontId="0" fillId="0" borderId="0" xfId="0" applyNumberFormat="1" applyFill="1" applyAlignment="1"/>
    <xf numFmtId="177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7"/>
  <sheetViews>
    <sheetView zoomScale="80" zoomScaleNormal="80" topLeftCell="H1" workbookViewId="0">
      <selection activeCell="C42" sqref="C42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5.1818181818182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11.9363636363636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9.54545454545454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64" t="s">
        <v>18</v>
      </c>
      <c r="C3" s="65"/>
      <c r="D3" s="64" t="s">
        <v>6</v>
      </c>
      <c r="E3" s="65"/>
      <c r="F3" s="64" t="s">
        <v>19</v>
      </c>
      <c r="G3" s="65"/>
      <c r="H3" s="64" t="s">
        <v>20</v>
      </c>
      <c r="I3" s="65"/>
      <c r="J3" s="64" t="s">
        <v>8</v>
      </c>
      <c r="K3" s="65"/>
      <c r="L3" s="64" t="s">
        <v>21</v>
      </c>
      <c r="M3" s="65"/>
      <c r="N3" s="5"/>
      <c r="P3" s="89" t="s">
        <v>22</v>
      </c>
      <c r="Q3" s="83">
        <v>0.9543</v>
      </c>
      <c r="R3" s="84" t="s">
        <v>23</v>
      </c>
      <c r="S3" s="84">
        <f>$C$4</f>
        <v>937</v>
      </c>
      <c r="T3" s="83">
        <f>($C$5+$C$6+$C$7+$C$8)+($C$9+$C$10)/S3</f>
        <v>1.6955325506937</v>
      </c>
      <c r="U3" s="83">
        <f>SUM($E$4:$E$7)</f>
        <v>1.54</v>
      </c>
      <c r="V3" s="85">
        <f>1+$G$9*($I$9-1)</f>
        <v>2.55665</v>
      </c>
      <c r="W3" s="86">
        <f>$K$4</f>
        <v>0</v>
      </c>
      <c r="X3" s="85">
        <f>$AF$4</f>
        <v>0.582139232997858</v>
      </c>
      <c r="Y3" s="84">
        <f>AF$14</f>
        <v>0.9</v>
      </c>
      <c r="Z3" s="87">
        <v>0</v>
      </c>
      <c r="AA3" s="87">
        <v>0</v>
      </c>
      <c r="AB3" s="87">
        <v>0</v>
      </c>
      <c r="AC3" s="88">
        <f>Q3*S3*(1+T3)*(1+U3)*V3*(1+W3)*X3*Y3*(1+Z3)*(1+AA3)*(1+AB3)</f>
        <v>8200.55921358573</v>
      </c>
      <c r="AD3" s="13">
        <v>0</v>
      </c>
      <c r="AE3" s="13"/>
      <c r="AF3" s="14">
        <f t="shared" ref="AF3:AF8" si="0">1520/(1520+(792+8*AG3)*(1-AD3/100)*(1-AE3/100))</f>
        <v>0.50131926121372</v>
      </c>
      <c r="AG3" s="24">
        <v>90</v>
      </c>
    </row>
    <row r="4" s="1" customFormat="1" spans="2:33">
      <c r="B4" s="66" t="s">
        <v>24</v>
      </c>
      <c r="C4" s="67">
        <v>937</v>
      </c>
      <c r="D4" s="66" t="s">
        <v>25</v>
      </c>
      <c r="E4" s="68">
        <v>0.6</v>
      </c>
      <c r="F4" s="66" t="s">
        <v>26</v>
      </c>
      <c r="G4" s="69">
        <v>0.05</v>
      </c>
      <c r="H4" s="66" t="s">
        <v>26</v>
      </c>
      <c r="I4" s="68">
        <f>150%+16%</f>
        <v>1.66</v>
      </c>
      <c r="J4" s="70" t="s">
        <v>27</v>
      </c>
      <c r="K4" s="68"/>
      <c r="L4" s="66" t="s">
        <v>28</v>
      </c>
      <c r="M4" s="69">
        <f>8.6%*2</f>
        <v>0.172</v>
      </c>
      <c r="N4" s="5"/>
      <c r="P4" s="82" t="s">
        <v>29</v>
      </c>
      <c r="Q4" s="83">
        <v>0.3579</v>
      </c>
      <c r="R4" s="84" t="s">
        <v>30</v>
      </c>
      <c r="S4" s="84">
        <f t="shared" ref="S4:S13" si="1">$C$4</f>
        <v>937</v>
      </c>
      <c r="T4" s="83">
        <f t="shared" ref="T4:T13" si="2">($C$5+$C$6+$C$7+$C$8)+($C$9+$C$10)/S4</f>
        <v>1.6955325506937</v>
      </c>
      <c r="U4" s="83">
        <f>SUM($E$4:$E$7)</f>
        <v>1.54</v>
      </c>
      <c r="V4" s="85">
        <f t="shared" ref="V4:V13" si="3">1+$G$9*($I$9-1)</f>
        <v>2.55665</v>
      </c>
      <c r="W4" s="86">
        <f t="shared" ref="W4:W13" si="4">$K$4</f>
        <v>0</v>
      </c>
      <c r="X4" s="85">
        <f t="shared" ref="X4:X13" si="5">$AF$4</f>
        <v>0.582139232997858</v>
      </c>
      <c r="Y4" s="84">
        <f t="shared" ref="Y4:Y13" si="6">AF$14</f>
        <v>0.9</v>
      </c>
      <c r="Z4" s="87">
        <v>0</v>
      </c>
      <c r="AA4" s="87">
        <v>0</v>
      </c>
      <c r="AB4" s="87">
        <v>0</v>
      </c>
      <c r="AC4" s="88">
        <f t="shared" ref="AC4:AC13" si="7">Q4*S4*(1+T4)*(1+U4)*V4*(1+W4)*X4*Y4*(1+Z4)*(1+AA4)*(1+AB4)</f>
        <v>3075.53195278459</v>
      </c>
      <c r="AD4" s="13">
        <v>12</v>
      </c>
      <c r="AE4" s="13">
        <v>18</v>
      </c>
      <c r="AF4" s="14">
        <f t="shared" si="0"/>
        <v>0.582139232997858</v>
      </c>
      <c r="AG4" s="24">
        <v>90</v>
      </c>
    </row>
    <row r="5" s="1" customFormat="1" spans="2:33">
      <c r="B5" s="66" t="s">
        <v>31</v>
      </c>
      <c r="C5" s="68">
        <f>12%+12%</f>
        <v>0.24</v>
      </c>
      <c r="D5" s="66" t="s">
        <v>32</v>
      </c>
      <c r="E5" s="68"/>
      <c r="F5" s="66" t="s">
        <v>33</v>
      </c>
      <c r="G5" s="69">
        <v>0.36</v>
      </c>
      <c r="H5" s="66" t="s">
        <v>34</v>
      </c>
      <c r="I5" s="69">
        <f>M7+44%</f>
        <v>1.25</v>
      </c>
      <c r="J5" s="71" t="s">
        <v>35</v>
      </c>
      <c r="K5" s="69"/>
      <c r="L5" s="66" t="s">
        <v>36</v>
      </c>
      <c r="M5" s="69">
        <f>8.6%*2</f>
        <v>0.172</v>
      </c>
      <c r="N5" s="5"/>
      <c r="P5" s="82" t="s">
        <v>37</v>
      </c>
      <c r="Q5" s="83">
        <f>15.11%*4+90.66%</f>
        <v>1.511</v>
      </c>
      <c r="R5" s="84" t="s">
        <v>38</v>
      </c>
      <c r="S5" s="84">
        <f t="shared" si="1"/>
        <v>937</v>
      </c>
      <c r="T5" s="83">
        <f t="shared" si="2"/>
        <v>1.6955325506937</v>
      </c>
      <c r="U5" s="83">
        <f>SUM($E$4:$E$7)</f>
        <v>1.54</v>
      </c>
      <c r="V5" s="85">
        <f t="shared" si="3"/>
        <v>2.55665</v>
      </c>
      <c r="W5" s="86">
        <f t="shared" si="4"/>
        <v>0</v>
      </c>
      <c r="X5" s="85">
        <f t="shared" si="5"/>
        <v>0.582139232997858</v>
      </c>
      <c r="Y5" s="84">
        <f t="shared" si="6"/>
        <v>0.9</v>
      </c>
      <c r="Z5" s="87">
        <v>0</v>
      </c>
      <c r="AA5" s="87">
        <v>0</v>
      </c>
      <c r="AB5" s="87">
        <v>0</v>
      </c>
      <c r="AC5" s="88">
        <f t="shared" si="7"/>
        <v>12984.4335866374</v>
      </c>
      <c r="AD5" s="13">
        <v>14.4</v>
      </c>
      <c r="AE5" s="13"/>
      <c r="AF5" s="14">
        <f t="shared" si="0"/>
        <v>0.540104154822277</v>
      </c>
      <c r="AG5" s="24">
        <v>90</v>
      </c>
    </row>
    <row r="6" s="1" customFormat="1" spans="2:33">
      <c r="B6" s="66" t="s">
        <v>39</v>
      </c>
      <c r="C6" s="68">
        <f>18%+18%+M4</f>
        <v>0.532</v>
      </c>
      <c r="D6" s="66" t="s">
        <v>40</v>
      </c>
      <c r="E6" s="68">
        <v>0.5</v>
      </c>
      <c r="F6" s="66" t="s">
        <v>41</v>
      </c>
      <c r="G6" s="69"/>
      <c r="H6" s="66" t="s">
        <v>41</v>
      </c>
      <c r="I6" s="69"/>
      <c r="J6" s="71" t="s">
        <v>42</v>
      </c>
      <c r="K6" s="69"/>
      <c r="L6" s="66" t="s">
        <v>19</v>
      </c>
      <c r="M6" s="69">
        <f>8.1%*5</f>
        <v>0.405</v>
      </c>
      <c r="N6" s="5"/>
      <c r="P6" s="82" t="s">
        <v>43</v>
      </c>
      <c r="Q6" s="83">
        <f>29.81%+14.91%+104.34%+47.78%</f>
        <v>1.9684</v>
      </c>
      <c r="R6" s="84" t="s">
        <v>44</v>
      </c>
      <c r="S6" s="84">
        <f t="shared" si="1"/>
        <v>937</v>
      </c>
      <c r="T6" s="83">
        <f t="shared" si="2"/>
        <v>1.6955325506937</v>
      </c>
      <c r="U6" s="83">
        <f t="shared" ref="U6:U11" si="8">SUM($E$4:$E$8)</f>
        <v>1.952</v>
      </c>
      <c r="V6" s="85">
        <f t="shared" si="3"/>
        <v>2.55665</v>
      </c>
      <c r="W6" s="86">
        <f t="shared" si="4"/>
        <v>0</v>
      </c>
      <c r="X6" s="85">
        <f t="shared" si="5"/>
        <v>0.582139232997858</v>
      </c>
      <c r="Y6" s="84">
        <f t="shared" si="6"/>
        <v>0.9</v>
      </c>
      <c r="Z6" s="87">
        <v>0</v>
      </c>
      <c r="AA6" s="87">
        <v>0</v>
      </c>
      <c r="AB6" s="87">
        <v>0</v>
      </c>
      <c r="AC6" s="88">
        <f t="shared" si="7"/>
        <v>19658.6883537413</v>
      </c>
      <c r="AD6" s="13">
        <v>21.6</v>
      </c>
      <c r="AE6" s="13"/>
      <c r="AF6" s="14">
        <f t="shared" si="0"/>
        <v>0.561837623012869</v>
      </c>
      <c r="AG6" s="24">
        <v>90</v>
      </c>
    </row>
    <row r="7" s="1" customFormat="1" spans="2:33">
      <c r="B7" s="66" t="s">
        <v>45</v>
      </c>
      <c r="C7" s="72">
        <v>0.3</v>
      </c>
      <c r="D7" s="66" t="s">
        <v>45</v>
      </c>
      <c r="E7" s="68">
        <f>24%+20%</f>
        <v>0.44</v>
      </c>
      <c r="F7" s="66" t="s">
        <v>34</v>
      </c>
      <c r="G7" s="69">
        <f>M6</f>
        <v>0.405</v>
      </c>
      <c r="H7" s="66"/>
      <c r="I7" s="69"/>
      <c r="J7" s="71"/>
      <c r="K7" s="69"/>
      <c r="L7" s="66" t="s">
        <v>46</v>
      </c>
      <c r="M7" s="68">
        <f>16.2%*5</f>
        <v>0.81</v>
      </c>
      <c r="N7" s="5"/>
      <c r="P7" s="82" t="s">
        <v>47</v>
      </c>
      <c r="Q7" s="83">
        <f>10.15%*2+47.35%</f>
        <v>0.6765</v>
      </c>
      <c r="R7" s="84" t="s">
        <v>38</v>
      </c>
      <c r="S7" s="84">
        <f t="shared" si="1"/>
        <v>937</v>
      </c>
      <c r="T7" s="83">
        <f t="shared" si="2"/>
        <v>1.6955325506937</v>
      </c>
      <c r="U7" s="83">
        <f t="shared" ref="U7:U13" si="9">SUM($E$4:$E$7)</f>
        <v>1.54</v>
      </c>
      <c r="V7" s="85">
        <f t="shared" si="3"/>
        <v>2.55665</v>
      </c>
      <c r="W7" s="86">
        <f t="shared" si="4"/>
        <v>0</v>
      </c>
      <c r="X7" s="85">
        <f t="shared" si="5"/>
        <v>0.582139232997858</v>
      </c>
      <c r="Y7" s="84">
        <f t="shared" si="6"/>
        <v>0.9</v>
      </c>
      <c r="Z7" s="87">
        <v>0</v>
      </c>
      <c r="AA7" s="87">
        <v>0</v>
      </c>
      <c r="AB7" s="87">
        <v>0</v>
      </c>
      <c r="AC7" s="88">
        <f t="shared" si="7"/>
        <v>5813.34832651236</v>
      </c>
      <c r="AD7" s="13">
        <v>12</v>
      </c>
      <c r="AE7" s="13">
        <v>18</v>
      </c>
      <c r="AF7" s="14">
        <f t="shared" si="0"/>
        <v>0.582139232997858</v>
      </c>
      <c r="AG7" s="24">
        <v>90</v>
      </c>
    </row>
    <row r="8" s="1" customFormat="1" spans="2:33">
      <c r="B8" s="66" t="s">
        <v>48</v>
      </c>
      <c r="C8" s="72">
        <v>0.25</v>
      </c>
      <c r="D8" s="66" t="s">
        <v>49</v>
      </c>
      <c r="E8" s="68">
        <f>24%+M5</f>
        <v>0.412</v>
      </c>
      <c r="F8" s="66" t="s">
        <v>50</v>
      </c>
      <c r="G8" s="69"/>
      <c r="H8" s="66" t="s">
        <v>50</v>
      </c>
      <c r="I8" s="69"/>
      <c r="J8" s="71"/>
      <c r="K8" s="69"/>
      <c r="L8" s="66"/>
      <c r="M8" s="67"/>
      <c r="N8" s="5"/>
      <c r="P8" s="82" t="s">
        <v>51</v>
      </c>
      <c r="Q8" s="83">
        <f>16.97%*8</f>
        <v>1.3576</v>
      </c>
      <c r="R8" s="84" t="s">
        <v>30</v>
      </c>
      <c r="S8" s="84">
        <f t="shared" si="1"/>
        <v>937</v>
      </c>
      <c r="T8" s="83">
        <f t="shared" si="2"/>
        <v>1.6955325506937</v>
      </c>
      <c r="U8" s="83">
        <f t="shared" si="9"/>
        <v>1.54</v>
      </c>
      <c r="V8" s="85">
        <f t="shared" si="3"/>
        <v>2.55665</v>
      </c>
      <c r="W8" s="86">
        <f t="shared" si="4"/>
        <v>0</v>
      </c>
      <c r="X8" s="85">
        <f t="shared" si="5"/>
        <v>0.582139232997858</v>
      </c>
      <c r="Y8" s="84">
        <f t="shared" si="6"/>
        <v>0.9</v>
      </c>
      <c r="Z8" s="87">
        <v>0</v>
      </c>
      <c r="AA8" s="87">
        <v>0</v>
      </c>
      <c r="AB8" s="87">
        <v>0</v>
      </c>
      <c r="AC8" s="88">
        <f t="shared" si="7"/>
        <v>11666.2257029907</v>
      </c>
      <c r="AD8" s="13">
        <v>12</v>
      </c>
      <c r="AE8" s="13">
        <f>18+8</f>
        <v>26</v>
      </c>
      <c r="AF8" s="14">
        <f t="shared" si="0"/>
        <v>0.60687984545645</v>
      </c>
      <c r="AG8" s="24">
        <v>90</v>
      </c>
    </row>
    <row r="9" s="1" customFormat="1" spans="2:33">
      <c r="B9" s="66" t="s">
        <v>52</v>
      </c>
      <c r="C9" s="67">
        <v>350</v>
      </c>
      <c r="D9" s="66"/>
      <c r="E9" s="68"/>
      <c r="F9" s="74" t="s">
        <v>53</v>
      </c>
      <c r="G9" s="75">
        <f>MIN(100%,SUM(G4:G8))</f>
        <v>0.815</v>
      </c>
      <c r="H9" s="74" t="s">
        <v>54</v>
      </c>
      <c r="I9" s="76">
        <f>SUM(I4:I8)</f>
        <v>2.91</v>
      </c>
      <c r="J9" s="71"/>
      <c r="K9" s="69"/>
      <c r="L9" s="66"/>
      <c r="M9" s="67"/>
      <c r="N9" s="5"/>
      <c r="P9" s="82" t="s">
        <v>55</v>
      </c>
      <c r="Q9" s="83">
        <f>954.29%</f>
        <v>9.5429</v>
      </c>
      <c r="R9" s="84" t="s">
        <v>44</v>
      </c>
      <c r="S9" s="84">
        <f t="shared" si="1"/>
        <v>937</v>
      </c>
      <c r="T9" s="83">
        <f t="shared" si="2"/>
        <v>1.6955325506937</v>
      </c>
      <c r="U9" s="83">
        <f t="shared" si="8"/>
        <v>1.952</v>
      </c>
      <c r="V9" s="85">
        <f t="shared" si="3"/>
        <v>2.55665</v>
      </c>
      <c r="W9" s="86">
        <f t="shared" si="4"/>
        <v>0</v>
      </c>
      <c r="X9" s="85">
        <f t="shared" si="5"/>
        <v>0.582139232997858</v>
      </c>
      <c r="Y9" s="84">
        <f t="shared" si="6"/>
        <v>0.9</v>
      </c>
      <c r="Z9" s="87">
        <v>0</v>
      </c>
      <c r="AA9" s="87">
        <v>0</v>
      </c>
      <c r="AB9" s="87">
        <v>0</v>
      </c>
      <c r="AC9" s="88">
        <f t="shared" si="7"/>
        <v>95306.2878941872</v>
      </c>
    </row>
    <row r="10" s="1" customFormat="1" spans="2:33">
      <c r="B10" s="77" t="s">
        <v>56</v>
      </c>
      <c r="C10" s="78"/>
      <c r="D10" s="77"/>
      <c r="E10" s="79"/>
      <c r="F10" s="77"/>
      <c r="G10" s="80"/>
      <c r="H10" s="77"/>
      <c r="I10" s="78"/>
      <c r="J10" s="81"/>
      <c r="K10" s="80"/>
      <c r="L10" s="77"/>
      <c r="M10" s="78"/>
      <c r="N10" s="5"/>
      <c r="P10" s="82" t="s">
        <v>57</v>
      </c>
      <c r="Q10" s="83">
        <f>11.49%*6+14.73%*7+14.92%*8</f>
        <v>2.9141</v>
      </c>
      <c r="R10" s="84" t="s">
        <v>44</v>
      </c>
      <c r="S10" s="84">
        <f t="shared" si="1"/>
        <v>937</v>
      </c>
      <c r="T10" s="83">
        <f t="shared" si="2"/>
        <v>1.6955325506937</v>
      </c>
      <c r="U10" s="83">
        <f t="shared" si="8"/>
        <v>1.952</v>
      </c>
      <c r="V10" s="85">
        <f t="shared" si="3"/>
        <v>2.55665</v>
      </c>
      <c r="W10" s="86">
        <f t="shared" si="4"/>
        <v>0</v>
      </c>
      <c r="X10" s="85">
        <f t="shared" si="5"/>
        <v>0.582139232997858</v>
      </c>
      <c r="Y10" s="84">
        <f t="shared" si="6"/>
        <v>0.9</v>
      </c>
      <c r="Z10" s="87">
        <v>1.2</v>
      </c>
      <c r="AA10" s="87">
        <v>0</v>
      </c>
      <c r="AB10" s="87"/>
      <c r="AC10" s="88">
        <f t="shared" si="7"/>
        <v>64027.7607242445</v>
      </c>
    </row>
    <row r="11" s="1" customFormat="1" spans="2:33">
      <c r="B11" s="5"/>
      <c r="C11" s="5"/>
      <c r="D11" s="5"/>
      <c r="E11" s="5"/>
      <c r="F11" s="5" t="s">
        <v>58</v>
      </c>
      <c r="G11" s="6"/>
      <c r="H11" s="5"/>
      <c r="I11" s="5"/>
      <c r="J11" s="5"/>
      <c r="K11" s="5"/>
      <c r="L11" s="5"/>
      <c r="M11" s="5"/>
      <c r="N11" s="5"/>
      <c r="P11" s="82" t="s">
        <v>59</v>
      </c>
      <c r="Q11" s="83">
        <f>51.54%+206.13%+100*2.58%</f>
        <v>5.1567</v>
      </c>
      <c r="R11" s="84" t="s">
        <v>44</v>
      </c>
      <c r="S11" s="84">
        <f t="shared" si="1"/>
        <v>937</v>
      </c>
      <c r="T11" s="83">
        <f t="shared" si="2"/>
        <v>1.6955325506937</v>
      </c>
      <c r="U11" s="83">
        <f t="shared" si="8"/>
        <v>1.952</v>
      </c>
      <c r="V11" s="85">
        <f t="shared" si="3"/>
        <v>2.55665</v>
      </c>
      <c r="W11" s="86">
        <f t="shared" si="4"/>
        <v>0</v>
      </c>
      <c r="X11" s="85">
        <f t="shared" si="5"/>
        <v>0.582139232997858</v>
      </c>
      <c r="Y11" s="84">
        <f t="shared" si="6"/>
        <v>0.9</v>
      </c>
      <c r="Z11" s="87">
        <v>1.2</v>
      </c>
      <c r="AA11" s="87">
        <v>0</v>
      </c>
      <c r="AB11" s="87"/>
      <c r="AC11" s="88">
        <f t="shared" si="7"/>
        <v>113301.518042178</v>
      </c>
    </row>
    <row r="12" s="1" customFormat="1" spans="2:33"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P12" s="82" t="s">
        <v>60</v>
      </c>
      <c r="Q12" s="83">
        <f>131.04%*2</f>
        <v>2.6208</v>
      </c>
      <c r="R12" s="84" t="s">
        <v>61</v>
      </c>
      <c r="S12" s="84">
        <f t="shared" si="1"/>
        <v>937</v>
      </c>
      <c r="T12" s="83">
        <f t="shared" si="2"/>
        <v>1.6955325506937</v>
      </c>
      <c r="U12" s="83">
        <f t="shared" si="9"/>
        <v>1.54</v>
      </c>
      <c r="V12" s="85">
        <f t="shared" si="3"/>
        <v>2.55665</v>
      </c>
      <c r="W12" s="86">
        <f t="shared" si="4"/>
        <v>0</v>
      </c>
      <c r="X12" s="85">
        <f t="shared" si="5"/>
        <v>0.582139232997858</v>
      </c>
      <c r="Y12" s="84">
        <f t="shared" si="6"/>
        <v>0.9</v>
      </c>
      <c r="Z12" s="87">
        <v>0</v>
      </c>
      <c r="AA12" s="87">
        <v>0</v>
      </c>
      <c r="AB12" s="87">
        <v>0</v>
      </c>
      <c r="AC12" s="88">
        <f t="shared" si="7"/>
        <v>22521.2465545064</v>
      </c>
    </row>
    <row r="13" s="1" customFormat="1" spans="2:33"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P13" s="82" t="s">
        <v>62</v>
      </c>
      <c r="Q13" s="83">
        <f>24.57%*8</f>
        <v>1.9656</v>
      </c>
      <c r="R13" s="84" t="s">
        <v>61</v>
      </c>
      <c r="S13" s="84">
        <f t="shared" si="1"/>
        <v>937</v>
      </c>
      <c r="T13" s="83">
        <f t="shared" si="2"/>
        <v>1.6955325506937</v>
      </c>
      <c r="U13" s="83">
        <f>SUM($E$4:$E$7)+1</f>
        <v>2.54</v>
      </c>
      <c r="V13" s="85">
        <f t="shared" si="3"/>
        <v>2.55665</v>
      </c>
      <c r="W13" s="86">
        <f t="shared" si="4"/>
        <v>0</v>
      </c>
      <c r="X13" s="85">
        <f t="shared" si="5"/>
        <v>0.582139232997858</v>
      </c>
      <c r="Y13" s="84">
        <f t="shared" si="6"/>
        <v>0.9</v>
      </c>
      <c r="Z13" s="87">
        <v>0</v>
      </c>
      <c r="AA13" s="87">
        <v>0</v>
      </c>
      <c r="AB13" s="87">
        <v>0</v>
      </c>
      <c r="AC13" s="88">
        <f t="shared" si="7"/>
        <v>23540.9092922105</v>
      </c>
    </row>
    <row r="14" s="1" customFormat="1" ht="15" spans="2:33">
      <c r="B14" s="25" t="s">
        <v>63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5"/>
      <c r="P14" s="82"/>
      <c r="Q14" s="83"/>
      <c r="R14" s="84"/>
      <c r="S14" s="84"/>
      <c r="T14" s="83"/>
      <c r="U14" s="83"/>
      <c r="V14" s="85"/>
      <c r="W14" s="86"/>
      <c r="X14" s="85"/>
      <c r="Y14" s="84"/>
      <c r="Z14" s="87"/>
      <c r="AA14" s="87"/>
      <c r="AB14" s="87"/>
      <c r="AC14" s="88"/>
      <c r="AE14" s="1" t="s">
        <v>64</v>
      </c>
      <c r="AF14" s="1">
        <v>0.9</v>
      </c>
    </row>
    <row r="15" s="1" customFormat="1" spans="2:33">
      <c r="B15" s="26" t="s">
        <v>18</v>
      </c>
      <c r="C15" s="27"/>
      <c r="D15" s="26" t="s">
        <v>6</v>
      </c>
      <c r="E15" s="27"/>
      <c r="F15" s="26" t="s">
        <v>19</v>
      </c>
      <c r="G15" s="27"/>
      <c r="H15" s="26" t="s">
        <v>20</v>
      </c>
      <c r="I15" s="27"/>
      <c r="J15" s="26" t="s">
        <v>8</v>
      </c>
      <c r="K15" s="27"/>
      <c r="L15" s="26" t="s">
        <v>21</v>
      </c>
      <c r="M15" s="27"/>
      <c r="N15" s="5"/>
      <c r="P15" s="82"/>
      <c r="Q15" s="83"/>
      <c r="R15" s="84"/>
      <c r="S15" s="84"/>
      <c r="T15" s="83"/>
      <c r="U15" s="83"/>
      <c r="V15" s="85"/>
      <c r="W15" s="86"/>
      <c r="X15" s="85"/>
      <c r="Y15" s="84"/>
      <c r="Z15" s="87"/>
      <c r="AA15" s="87"/>
      <c r="AB15" s="87"/>
      <c r="AC15" s="88"/>
    </row>
    <row r="16" s="1" customFormat="1" spans="2:33">
      <c r="B16" s="28" t="s">
        <v>24</v>
      </c>
      <c r="C16" s="29">
        <f>412+587</f>
        <v>999</v>
      </c>
      <c r="D16" s="28" t="s">
        <v>25</v>
      </c>
      <c r="E16" s="30">
        <v>0.6</v>
      </c>
      <c r="F16" s="28" t="s">
        <v>26</v>
      </c>
      <c r="G16" s="31">
        <v>0.05</v>
      </c>
      <c r="H16" s="28" t="s">
        <v>26</v>
      </c>
      <c r="I16" s="30">
        <f>150%+16%</f>
        <v>1.66</v>
      </c>
      <c r="J16" s="32" t="s">
        <v>27</v>
      </c>
      <c r="K16" s="30"/>
      <c r="L16" s="28" t="s">
        <v>28</v>
      </c>
      <c r="M16" s="31">
        <f>8.6%*2</f>
        <v>0.172</v>
      </c>
      <c r="N16" s="5"/>
      <c r="P16" s="15" t="s">
        <v>65</v>
      </c>
      <c r="Q16" s="16">
        <v>1.9881</v>
      </c>
      <c r="R16" s="17" t="s">
        <v>23</v>
      </c>
      <c r="S16" s="18">
        <f>$C$16</f>
        <v>999</v>
      </c>
      <c r="T16" s="19">
        <f>($C$17+$C$18+$C$19+$C$20)+($C$21+$C$22)/S16</f>
        <v>1.59735035035035</v>
      </c>
      <c r="U16" s="19">
        <f>SUM($E$16:$E$20)</f>
        <v>1.95</v>
      </c>
      <c r="V16" s="20">
        <f>1+$G$21*($I$21-1)</f>
        <v>2.71518</v>
      </c>
      <c r="W16" s="21">
        <f>$K$16</f>
        <v>0</v>
      </c>
      <c r="X16" s="20">
        <f t="shared" ref="X16:X19" si="10">$AF$8</f>
        <v>0.60687984545645</v>
      </c>
      <c r="Y16" s="18">
        <f t="shared" ref="Y16:Y22" si="11">$AF$17</f>
        <v>0.9</v>
      </c>
      <c r="Z16" s="22"/>
      <c r="AA16" s="22"/>
      <c r="AB16" s="22"/>
      <c r="AC16" s="23">
        <f>Q16*S16*(1+T16)*(1+U16)*V16*(1+W16)*X16*Y16*(1+Z16)*(1+AA16)*(1+AB16)</f>
        <v>22568.3658901496</v>
      </c>
    </row>
    <row r="17" s="1" customFormat="1" spans="2:32">
      <c r="B17" s="28" t="s">
        <v>31</v>
      </c>
      <c r="C17" s="30">
        <f>12%+12%</f>
        <v>0.24</v>
      </c>
      <c r="D17" s="28" t="s">
        <v>66</v>
      </c>
      <c r="E17" s="30">
        <f>12%+10%+15%+12%</f>
        <v>0.49</v>
      </c>
      <c r="F17" s="28" t="s">
        <v>33</v>
      </c>
      <c r="G17" s="31">
        <v>0.243</v>
      </c>
      <c r="H17" s="28" t="s">
        <v>34</v>
      </c>
      <c r="I17" s="31">
        <f>44%+M19</f>
        <v>1.25</v>
      </c>
      <c r="J17" s="33"/>
      <c r="K17" s="31"/>
      <c r="L17" s="28" t="s">
        <v>67</v>
      </c>
      <c r="M17" s="31">
        <f>8.6%*2</f>
        <v>0.172</v>
      </c>
      <c r="N17" s="5"/>
      <c r="P17" s="15" t="s">
        <v>68</v>
      </c>
      <c r="Q17" s="16">
        <v>6.3819</v>
      </c>
      <c r="R17" s="17" t="s">
        <v>69</v>
      </c>
      <c r="S17" s="18">
        <f>$C$16</f>
        <v>999</v>
      </c>
      <c r="T17" s="19">
        <f>($C$17+$C$18+$C$19+$C$20)+($C$21+$C$22)/S17</f>
        <v>1.59735035035035</v>
      </c>
      <c r="U17" s="19">
        <f>SUM($E$16:$E$20)+$E$21</f>
        <v>2.242</v>
      </c>
      <c r="V17" s="20">
        <f>1+$G$21*($I$21-1)</f>
        <v>2.71518</v>
      </c>
      <c r="W17" s="21">
        <f t="shared" ref="W17:W22" si="12">$K$16</f>
        <v>0</v>
      </c>
      <c r="X17" s="20">
        <f t="shared" si="10"/>
        <v>0.60687984545645</v>
      </c>
      <c r="Y17" s="18">
        <f t="shared" si="11"/>
        <v>0.9</v>
      </c>
      <c r="Z17" s="22"/>
      <c r="AA17" s="22"/>
      <c r="AB17" s="22"/>
      <c r="AC17" s="23">
        <f>Q17*S17*(1+T17)*(1+U17)*V17*(1+W17)*X17*Y17*(1+Z17)*(1+AA17)*(1+AB17)</f>
        <v>79616.4626915619</v>
      </c>
      <c r="AD17" s="48" t="s">
        <v>70</v>
      </c>
      <c r="AE17" s="48"/>
      <c r="AF17" s="48">
        <v>0.9</v>
      </c>
    </row>
    <row r="18" s="1" customFormat="1" spans="2:32">
      <c r="B18" s="28" t="s">
        <v>39</v>
      </c>
      <c r="C18" s="30">
        <f>18%+18%+M16</f>
        <v>0.532</v>
      </c>
      <c r="D18" s="28" t="s">
        <v>0</v>
      </c>
      <c r="E18" s="30">
        <f>24%+12%</f>
        <v>0.36</v>
      </c>
      <c r="F18" s="28" t="s">
        <v>41</v>
      </c>
      <c r="G18" s="31">
        <v>0.2</v>
      </c>
      <c r="H18" s="28"/>
      <c r="I18" s="31"/>
      <c r="J18" s="33"/>
      <c r="K18" s="31"/>
      <c r="L18" s="28" t="s">
        <v>19</v>
      </c>
      <c r="M18" s="31">
        <f>8.1*5%</f>
        <v>0.405</v>
      </c>
      <c r="N18" s="5"/>
      <c r="P18" s="15" t="s">
        <v>71</v>
      </c>
      <c r="Q18" s="16">
        <f>62.63%*8</f>
        <v>5.0104</v>
      </c>
      <c r="R18" s="17" t="s">
        <v>30</v>
      </c>
      <c r="S18" s="18">
        <f>$C$16</f>
        <v>999</v>
      </c>
      <c r="T18" s="19">
        <f>($C$17+$C$18+$C$19+$C$20)+($C$21+$C$22)/S18</f>
        <v>1.59735035035035</v>
      </c>
      <c r="U18" s="19">
        <f>SUM($E$16:$E$20)+32%</f>
        <v>2.27</v>
      </c>
      <c r="V18" s="20">
        <f>1+$G$21*($I$21-1)</f>
        <v>2.71518</v>
      </c>
      <c r="W18" s="21">
        <f t="shared" si="12"/>
        <v>0</v>
      </c>
      <c r="X18" s="20">
        <f t="shared" si="10"/>
        <v>0.60687984545645</v>
      </c>
      <c r="Y18" s="18">
        <f t="shared" si="11"/>
        <v>0.9</v>
      </c>
      <c r="Z18" s="22"/>
      <c r="AA18" s="22"/>
      <c r="AB18" s="22"/>
      <c r="AC18" s="23">
        <f>Q18*S18*(1+T18)*(1+U18)*V18*(1+W18)*X18*Y18*(1+Z18)*(1+AA18)*(1+AB18)</f>
        <v>63046.3609819336</v>
      </c>
    </row>
    <row r="19" s="1" customFormat="1" spans="2:32">
      <c r="B19" s="28" t="s">
        <v>72</v>
      </c>
      <c r="C19" s="34">
        <v>0.25</v>
      </c>
      <c r="D19" s="28" t="s">
        <v>73</v>
      </c>
      <c r="E19" s="30">
        <v>0.5</v>
      </c>
      <c r="F19" s="28" t="s">
        <v>34</v>
      </c>
      <c r="G19" s="31">
        <f>M18</f>
        <v>0.405</v>
      </c>
      <c r="H19" s="28"/>
      <c r="I19" s="31"/>
      <c r="J19" s="33"/>
      <c r="K19" s="31"/>
      <c r="L19" s="28" t="s">
        <v>46</v>
      </c>
      <c r="M19" s="30">
        <f>16.2%*5</f>
        <v>0.81</v>
      </c>
      <c r="N19" s="5"/>
      <c r="P19" s="15" t="s">
        <v>74</v>
      </c>
      <c r="Q19" s="16">
        <f>59.35%+39.77%*2</f>
        <v>1.3889</v>
      </c>
      <c r="R19" s="17" t="s">
        <v>38</v>
      </c>
      <c r="S19" s="18">
        <f>$C$16</f>
        <v>999</v>
      </c>
      <c r="T19" s="19">
        <f>($C$17+$C$18+$C$19+$C$20)+($C$21+$C$22)/S19</f>
        <v>1.59735035035035</v>
      </c>
      <c r="U19" s="19">
        <f>SUM($E$16:$E$20)+$E$22</f>
        <v>1.95</v>
      </c>
      <c r="V19" s="20">
        <f>1+$G$21*($I$21-1)</f>
        <v>2.71518</v>
      </c>
      <c r="W19" s="21">
        <f t="shared" si="12"/>
        <v>0</v>
      </c>
      <c r="X19" s="20">
        <f t="shared" si="10"/>
        <v>0.60687984545645</v>
      </c>
      <c r="Y19" s="18">
        <f t="shared" si="11"/>
        <v>0.9</v>
      </c>
      <c r="Z19" s="22"/>
      <c r="AA19" s="22"/>
      <c r="AB19" s="22"/>
      <c r="AC19" s="23">
        <f>Q19*S19*(1+T19)*(1+U19)*V19*(1+W19)*X19*Y19*(1+Z19)*(1+AA19)*(1+AB19)</f>
        <v>15766.4118428795</v>
      </c>
    </row>
    <row r="20" s="1" customFormat="1" spans="2:32">
      <c r="B20" s="28" t="s">
        <v>48</v>
      </c>
      <c r="C20" s="34">
        <v>0.225</v>
      </c>
      <c r="D20" s="28"/>
      <c r="E20" s="35"/>
      <c r="F20" s="28" t="s">
        <v>50</v>
      </c>
      <c r="G20" s="31"/>
      <c r="H20" s="28" t="s">
        <v>50</v>
      </c>
      <c r="I20" s="31"/>
      <c r="J20" s="33"/>
      <c r="K20" s="31"/>
      <c r="L20" s="28"/>
      <c r="M20" s="29"/>
      <c r="N20" s="5"/>
      <c r="P20" s="15" t="s">
        <v>75</v>
      </c>
      <c r="Q20" s="16">
        <f>82.69%*3</f>
        <v>2.4807</v>
      </c>
      <c r="R20" s="17" t="s">
        <v>69</v>
      </c>
      <c r="S20" s="18">
        <f>$C$16</f>
        <v>999</v>
      </c>
      <c r="T20" s="19">
        <f>($C$17+$C$18+$C$19+$C$20)+($C$21+$C$22)/S20</f>
        <v>1.59735035035035</v>
      </c>
      <c r="U20" s="19">
        <f t="shared" ref="U19:U23" si="13">SUM($E$16:$E$20)+$E$21</f>
        <v>2.242</v>
      </c>
      <c r="V20" s="20">
        <f>1+$G$21*($I$21-1)</f>
        <v>2.71518</v>
      </c>
      <c r="W20" s="21">
        <f>$K$16+256%</f>
        <v>2.56</v>
      </c>
      <c r="X20" s="20">
        <f t="shared" ref="X20:X24" si="14">$AF$8</f>
        <v>0.60687984545645</v>
      </c>
      <c r="Y20" s="18">
        <f t="shared" si="11"/>
        <v>0.9</v>
      </c>
      <c r="Z20" s="22"/>
      <c r="AA20" s="22"/>
      <c r="AB20" s="22"/>
      <c r="AC20" s="23">
        <f>Q20*S20*(1+T20)*(1+U20)*V20*(1+W20)*X20*Y20*(1+Z20)*(1+AA20)*(1+AB20)</f>
        <v>110173.495359734</v>
      </c>
    </row>
    <row r="21" s="1" customFormat="1" spans="2:32">
      <c r="B21" s="28" t="s">
        <v>52</v>
      </c>
      <c r="C21" s="29">
        <v>350</v>
      </c>
      <c r="D21" s="28" t="s">
        <v>76</v>
      </c>
      <c r="E21" s="30">
        <f>12%+M17</f>
        <v>0.292</v>
      </c>
      <c r="F21" s="36" t="s">
        <v>53</v>
      </c>
      <c r="G21" s="37">
        <f>MIN(100%,SUM(G16:G20))</f>
        <v>0.898</v>
      </c>
      <c r="H21" s="36" t="s">
        <v>54</v>
      </c>
      <c r="I21" s="38">
        <f>SUM(I16:I20)</f>
        <v>2.91</v>
      </c>
      <c r="J21" s="33"/>
      <c r="K21" s="31"/>
      <c r="L21" s="28"/>
      <c r="M21" s="29"/>
      <c r="N21" s="5"/>
      <c r="P21" s="15" t="s">
        <v>61</v>
      </c>
      <c r="Q21" s="16">
        <f>118.8%+59.4%*4</f>
        <v>3.564</v>
      </c>
      <c r="R21" s="17" t="s">
        <v>61</v>
      </c>
      <c r="S21" s="18">
        <f t="shared" ref="S21:S27" si="15">$C$16</f>
        <v>999</v>
      </c>
      <c r="T21" s="19">
        <f t="shared" ref="T21:T27" si="16">($C$17+$C$18+$C$19+$C$20)+($C$21+$C$22)/S21</f>
        <v>1.59735035035035</v>
      </c>
      <c r="U21" s="19">
        <f t="shared" si="13"/>
        <v>2.242</v>
      </c>
      <c r="V21" s="20">
        <f t="shared" ref="V21:V27" si="17">1+$G$21*($I$21-1)</f>
        <v>2.71518</v>
      </c>
      <c r="W21" s="96">
        <f>32%</f>
        <v>0.32</v>
      </c>
      <c r="X21" s="20">
        <f t="shared" si="14"/>
        <v>0.60687984545645</v>
      </c>
      <c r="Y21" s="18">
        <f t="shared" si="11"/>
        <v>0.9</v>
      </c>
      <c r="Z21" s="22"/>
      <c r="AA21" s="22"/>
      <c r="AB21" s="22"/>
      <c r="AC21" s="23">
        <f t="shared" ref="AC21:AC31" si="18">Q21*S21*(1+T21)*(1+U21)*V21*(1+W21)*X21*Y21*(1+Z21)*(1+AA21)*(1+AB21)</f>
        <v>58690.0541223146</v>
      </c>
    </row>
    <row r="22" s="1" customFormat="1" spans="2:32">
      <c r="B22" s="39" t="s">
        <v>56</v>
      </c>
      <c r="C22" s="40"/>
      <c r="D22" s="39" t="s">
        <v>77</v>
      </c>
      <c r="E22" s="41"/>
      <c r="F22" s="39"/>
      <c r="G22" s="42"/>
      <c r="H22" s="39"/>
      <c r="I22" s="40"/>
      <c r="J22" s="43"/>
      <c r="K22" s="42"/>
      <c r="L22" s="39"/>
      <c r="M22" s="40"/>
      <c r="N22" s="5"/>
      <c r="P22" s="15" t="s">
        <v>74</v>
      </c>
      <c r="Q22" s="16">
        <f t="shared" ref="Q22:Q27" si="19">59.35%+39.77%*2</f>
        <v>1.3889</v>
      </c>
      <c r="R22" s="17" t="s">
        <v>38</v>
      </c>
      <c r="S22" s="18">
        <f t="shared" si="15"/>
        <v>999</v>
      </c>
      <c r="T22" s="19">
        <f t="shared" si="16"/>
        <v>1.59735035035035</v>
      </c>
      <c r="U22" s="19">
        <f t="shared" ref="U22:U27" si="20">SUM($E$16:$E$20)+$E$22</f>
        <v>1.95</v>
      </c>
      <c r="V22" s="20">
        <f t="shared" si="17"/>
        <v>2.71518</v>
      </c>
      <c r="W22" s="21">
        <f t="shared" si="12"/>
        <v>0</v>
      </c>
      <c r="X22" s="20">
        <f t="shared" si="14"/>
        <v>0.60687984545645</v>
      </c>
      <c r="Y22" s="18">
        <f t="shared" si="11"/>
        <v>0.9</v>
      </c>
      <c r="Z22" s="22"/>
      <c r="AA22" s="22"/>
      <c r="AB22" s="22"/>
      <c r="AC22" s="23">
        <f t="shared" si="18"/>
        <v>15766.4118428795</v>
      </c>
    </row>
    <row r="23" s="1" customFormat="1" spans="2:32">
      <c r="B23" s="44"/>
      <c r="C23" s="44"/>
      <c r="D23" s="44"/>
      <c r="E23" s="45"/>
      <c r="F23" s="44"/>
      <c r="G23" s="46"/>
      <c r="H23" s="44"/>
      <c r="I23" s="44"/>
      <c r="J23" s="46"/>
      <c r="K23" s="46"/>
      <c r="L23" s="44"/>
      <c r="M23" s="44"/>
      <c r="N23" s="5"/>
      <c r="P23" s="15" t="s">
        <v>75</v>
      </c>
      <c r="Q23" s="16">
        <f t="shared" ref="Q23:Q28" si="21">82.69%*3</f>
        <v>2.4807</v>
      </c>
      <c r="R23" s="17" t="s">
        <v>69</v>
      </c>
      <c r="S23" s="18">
        <f t="shared" si="15"/>
        <v>999</v>
      </c>
      <c r="T23" s="19">
        <f t="shared" si="16"/>
        <v>1.59735035035035</v>
      </c>
      <c r="U23" s="19">
        <f t="shared" si="13"/>
        <v>2.242</v>
      </c>
      <c r="V23" s="20">
        <f t="shared" si="17"/>
        <v>2.71518</v>
      </c>
      <c r="W23" s="21">
        <f t="shared" ref="W23:W28" si="22">$K$16+256%</f>
        <v>2.56</v>
      </c>
      <c r="X23" s="20">
        <f t="shared" si="14"/>
        <v>0.60687984545645</v>
      </c>
      <c r="Y23" s="18">
        <f t="shared" ref="Y23:Y29" si="23">$AF$17</f>
        <v>0.9</v>
      </c>
      <c r="Z23" s="22"/>
      <c r="AA23" s="22"/>
      <c r="AB23" s="22"/>
      <c r="AC23" s="23">
        <f t="shared" si="18"/>
        <v>110173.495359734</v>
      </c>
    </row>
    <row r="24" s="1" customFormat="1" spans="2:32">
      <c r="B24" s="44"/>
      <c r="C24" s="44"/>
      <c r="D24" s="44"/>
      <c r="E24" s="45"/>
      <c r="F24" s="44"/>
      <c r="G24" s="46"/>
      <c r="H24" s="44"/>
      <c r="I24" s="44"/>
      <c r="J24" s="46"/>
      <c r="K24" s="46"/>
      <c r="L24" s="44"/>
      <c r="M24" s="44"/>
      <c r="N24" s="5"/>
      <c r="P24" s="15" t="s">
        <v>78</v>
      </c>
      <c r="Q24" s="16">
        <v>4.016</v>
      </c>
      <c r="R24" s="17" t="s">
        <v>44</v>
      </c>
      <c r="S24" s="18">
        <f t="shared" si="15"/>
        <v>999</v>
      </c>
      <c r="T24" s="19">
        <f t="shared" si="16"/>
        <v>1.59735035035035</v>
      </c>
      <c r="U24" s="19">
        <f>SUM($E$16:$E$20)</f>
        <v>1.95</v>
      </c>
      <c r="V24" s="20">
        <f t="shared" si="17"/>
        <v>2.71518</v>
      </c>
      <c r="W24" s="21">
        <f t="shared" ref="W24:W27" si="24">$K$16</f>
        <v>0</v>
      </c>
      <c r="X24" s="20">
        <f t="shared" si="14"/>
        <v>0.60687984545645</v>
      </c>
      <c r="Y24" s="18">
        <f t="shared" si="23"/>
        <v>0.9</v>
      </c>
      <c r="Z24" s="22">
        <v>2.55</v>
      </c>
      <c r="AA24" s="22"/>
      <c r="AB24" s="22"/>
      <c r="AC24" s="23">
        <f t="shared" si="18"/>
        <v>161839.283146061</v>
      </c>
    </row>
    <row r="25" s="1" customFormat="1" ht="15" spans="2:32">
      <c r="B25" s="25" t="s">
        <v>79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5"/>
      <c r="P25" s="15" t="s">
        <v>74</v>
      </c>
      <c r="Q25" s="16">
        <f t="shared" si="19"/>
        <v>1.3889</v>
      </c>
      <c r="R25" s="17" t="s">
        <v>38</v>
      </c>
      <c r="S25" s="18">
        <f t="shared" si="15"/>
        <v>999</v>
      </c>
      <c r="T25" s="19">
        <f t="shared" si="16"/>
        <v>1.59735035035035</v>
      </c>
      <c r="U25" s="19">
        <f t="shared" si="20"/>
        <v>1.95</v>
      </c>
      <c r="V25" s="20">
        <f t="shared" si="17"/>
        <v>2.71518</v>
      </c>
      <c r="W25" s="21">
        <f t="shared" si="24"/>
        <v>0</v>
      </c>
      <c r="X25" s="20">
        <f t="shared" ref="X25:X29" si="25">$AF$8</f>
        <v>0.60687984545645</v>
      </c>
      <c r="Y25" s="18">
        <f t="shared" si="23"/>
        <v>0.9</v>
      </c>
      <c r="Z25" s="22"/>
      <c r="AA25" s="22"/>
      <c r="AB25" s="22"/>
      <c r="AC25" s="23">
        <f t="shared" si="18"/>
        <v>15766.4118428795</v>
      </c>
    </row>
    <row r="26" s="1" customFormat="1" spans="2:32">
      <c r="B26" s="26" t="s">
        <v>18</v>
      </c>
      <c r="C26" s="27"/>
      <c r="D26" s="26" t="s">
        <v>6</v>
      </c>
      <c r="E26" s="27"/>
      <c r="F26" s="26" t="s">
        <v>19</v>
      </c>
      <c r="G26" s="27"/>
      <c r="H26" s="26" t="s">
        <v>20</v>
      </c>
      <c r="I26" s="27"/>
      <c r="J26" s="26" t="s">
        <v>8</v>
      </c>
      <c r="K26" s="27"/>
      <c r="L26" s="26" t="s">
        <v>21</v>
      </c>
      <c r="M26" s="27"/>
      <c r="N26" s="5"/>
      <c r="P26" s="15" t="s">
        <v>75</v>
      </c>
      <c r="Q26" s="16">
        <f t="shared" si="21"/>
        <v>2.4807</v>
      </c>
      <c r="R26" s="17" t="s">
        <v>69</v>
      </c>
      <c r="S26" s="18">
        <f t="shared" ref="S25:S29" si="26">$C$16</f>
        <v>999</v>
      </c>
      <c r="T26" s="19">
        <f t="shared" ref="T25:T29" si="27">($C$17+$C$18+$C$19+$C$20)+($C$21+$C$22)/S26</f>
        <v>1.59735035035035</v>
      </c>
      <c r="U26" s="19">
        <f t="shared" ref="U25:U28" si="28">SUM($E$16:$E$20)+$E$21</f>
        <v>2.242</v>
      </c>
      <c r="V26" s="20">
        <f t="shared" ref="V25:V29" si="29">1+$G$21*($I$21-1)</f>
        <v>2.71518</v>
      </c>
      <c r="W26" s="21">
        <f t="shared" si="22"/>
        <v>2.56</v>
      </c>
      <c r="X26" s="20">
        <f t="shared" si="25"/>
        <v>0.60687984545645</v>
      </c>
      <c r="Y26" s="18">
        <f t="shared" si="23"/>
        <v>0.9</v>
      </c>
      <c r="Z26" s="22"/>
      <c r="AA26" s="22"/>
      <c r="AB26" s="22"/>
      <c r="AC26" s="23">
        <f t="shared" si="18"/>
        <v>110173.495359734</v>
      </c>
    </row>
    <row r="27" s="1" customFormat="1" spans="2:32">
      <c r="B27" s="28" t="s">
        <v>24</v>
      </c>
      <c r="C27" s="29">
        <f>375+587</f>
        <v>962</v>
      </c>
      <c r="D27" s="28" t="s">
        <v>25</v>
      </c>
      <c r="E27" s="30">
        <v>0.6</v>
      </c>
      <c r="F27" s="28" t="s">
        <v>26</v>
      </c>
      <c r="G27" s="31">
        <v>0.05</v>
      </c>
      <c r="H27" s="28" t="s">
        <v>26</v>
      </c>
      <c r="I27" s="30">
        <f>150%+16%</f>
        <v>1.66</v>
      </c>
      <c r="J27" s="32" t="s">
        <v>27</v>
      </c>
      <c r="K27" s="30"/>
      <c r="L27" s="28" t="s">
        <v>28</v>
      </c>
      <c r="M27" s="31">
        <f>8.6%*4</f>
        <v>0.344</v>
      </c>
      <c r="N27" s="5"/>
      <c r="P27" s="15" t="s">
        <v>74</v>
      </c>
      <c r="Q27" s="16">
        <f t="shared" si="19"/>
        <v>1.3889</v>
      </c>
      <c r="R27" s="17" t="s">
        <v>38</v>
      </c>
      <c r="S27" s="18">
        <f t="shared" si="26"/>
        <v>999</v>
      </c>
      <c r="T27" s="19">
        <f t="shared" si="27"/>
        <v>1.59735035035035</v>
      </c>
      <c r="U27" s="19">
        <f t="shared" si="20"/>
        <v>1.95</v>
      </c>
      <c r="V27" s="20">
        <f t="shared" si="29"/>
        <v>2.71518</v>
      </c>
      <c r="W27" s="21">
        <f t="shared" si="24"/>
        <v>0</v>
      </c>
      <c r="X27" s="20">
        <f t="shared" si="25"/>
        <v>0.60687984545645</v>
      </c>
      <c r="Y27" s="18">
        <f t="shared" si="23"/>
        <v>0.9</v>
      </c>
      <c r="Z27" s="22"/>
      <c r="AA27" s="22"/>
      <c r="AB27" s="22"/>
      <c r="AC27" s="23">
        <f t="shared" si="18"/>
        <v>15766.4118428795</v>
      </c>
    </row>
    <row r="28" s="1" customFormat="1" spans="2:32">
      <c r="B28" s="28" t="s">
        <v>31</v>
      </c>
      <c r="C28" s="30">
        <f>12%+12%</f>
        <v>0.24</v>
      </c>
      <c r="D28" s="28" t="s">
        <v>66</v>
      </c>
      <c r="E28" s="30">
        <f>12%+20%</f>
        <v>0.32</v>
      </c>
      <c r="F28" s="28" t="s">
        <v>33</v>
      </c>
      <c r="G28" s="31">
        <v>0.243</v>
      </c>
      <c r="H28" s="28" t="s">
        <v>34</v>
      </c>
      <c r="I28" s="31">
        <f>44%+M30</f>
        <v>1.25</v>
      </c>
      <c r="J28" s="33"/>
      <c r="K28" s="31"/>
      <c r="L28" s="28" t="s">
        <v>30</v>
      </c>
      <c r="M28" s="31"/>
      <c r="N28" s="5"/>
      <c r="P28" s="15" t="s">
        <v>75</v>
      </c>
      <c r="Q28" s="16">
        <f t="shared" si="21"/>
        <v>2.4807</v>
      </c>
      <c r="R28" s="17" t="s">
        <v>69</v>
      </c>
      <c r="S28" s="18">
        <f t="shared" si="26"/>
        <v>999</v>
      </c>
      <c r="T28" s="19">
        <f t="shared" si="27"/>
        <v>1.59735035035035</v>
      </c>
      <c r="U28" s="19">
        <f t="shared" si="28"/>
        <v>2.242</v>
      </c>
      <c r="V28" s="20">
        <f t="shared" si="29"/>
        <v>2.71518</v>
      </c>
      <c r="W28" s="21">
        <f t="shared" si="22"/>
        <v>2.56</v>
      </c>
      <c r="X28" s="20">
        <f t="shared" si="25"/>
        <v>0.60687984545645</v>
      </c>
      <c r="Y28" s="18">
        <f t="shared" si="23"/>
        <v>0.9</v>
      </c>
      <c r="Z28" s="22"/>
      <c r="AA28" s="22"/>
      <c r="AB28" s="22"/>
      <c r="AC28" s="23">
        <f t="shared" si="18"/>
        <v>110173.495359734</v>
      </c>
    </row>
    <row r="29" s="1" customFormat="1" spans="2:32">
      <c r="B29" s="28" t="s">
        <v>39</v>
      </c>
      <c r="C29" s="30">
        <f>18%+18%+M27</f>
        <v>0.704</v>
      </c>
      <c r="D29" s="28" t="s">
        <v>0</v>
      </c>
      <c r="E29" s="30">
        <v>0.24</v>
      </c>
      <c r="F29" s="28" t="s">
        <v>80</v>
      </c>
      <c r="G29" s="31">
        <v>0.15</v>
      </c>
      <c r="H29" s="28"/>
      <c r="I29" s="31"/>
      <c r="J29" s="33"/>
      <c r="K29" s="31"/>
      <c r="L29" s="28" t="s">
        <v>19</v>
      </c>
      <c r="M29" s="31">
        <f>8.1*5%</f>
        <v>0.405</v>
      </c>
      <c r="N29" s="5"/>
      <c r="P29" s="47" t="s">
        <v>81</v>
      </c>
      <c r="Q29" s="19">
        <f>528.41%</f>
        <v>5.2841</v>
      </c>
      <c r="R29" s="18" t="s">
        <v>82</v>
      </c>
      <c r="S29" s="18">
        <f t="shared" si="26"/>
        <v>999</v>
      </c>
      <c r="T29" s="19">
        <f t="shared" si="27"/>
        <v>1.59735035035035</v>
      </c>
      <c r="U29" s="19">
        <f>SUM($E$16:$E$20)</f>
        <v>1.95</v>
      </c>
      <c r="V29" s="20">
        <f t="shared" si="29"/>
        <v>2.71518</v>
      </c>
      <c r="W29" s="21">
        <f>$K$16</f>
        <v>0</v>
      </c>
      <c r="X29" s="20">
        <f t="shared" si="25"/>
        <v>0.60687984545645</v>
      </c>
      <c r="Y29" s="18">
        <f t="shared" si="23"/>
        <v>0.9</v>
      </c>
      <c r="Z29" s="22">
        <v>2.55</v>
      </c>
      <c r="AA29" s="22"/>
      <c r="AB29" s="22"/>
      <c r="AC29" s="23">
        <f t="shared" si="18"/>
        <v>212941.971133491</v>
      </c>
    </row>
    <row r="30" s="1" customFormat="1" spans="2:32">
      <c r="B30" s="28" t="s">
        <v>72</v>
      </c>
      <c r="C30" s="34">
        <v>0.25</v>
      </c>
      <c r="D30" s="28" t="s">
        <v>73</v>
      </c>
      <c r="E30" s="30">
        <v>0.5</v>
      </c>
      <c r="F30" s="28" t="s">
        <v>34</v>
      </c>
      <c r="G30" s="31">
        <f>M29</f>
        <v>0.405</v>
      </c>
      <c r="H30" s="28"/>
      <c r="I30" s="31"/>
      <c r="J30" s="33"/>
      <c r="K30" s="31"/>
      <c r="L30" s="28" t="s">
        <v>46</v>
      </c>
      <c r="M30" s="30">
        <f>16.2%*5</f>
        <v>0.81</v>
      </c>
      <c r="N30" s="5"/>
      <c r="P30" s="56"/>
      <c r="Q30" s="57"/>
      <c r="R30" s="58"/>
      <c r="S30" s="51"/>
      <c r="T30" s="50"/>
      <c r="U30" s="50"/>
      <c r="V30" s="52"/>
      <c r="W30" s="53"/>
      <c r="X30" s="52"/>
      <c r="Y30" s="51"/>
      <c r="Z30" s="54"/>
      <c r="AA30" s="54"/>
      <c r="AB30" s="54"/>
      <c r="AC30" s="55">
        <f t="shared" si="18"/>
        <v>0</v>
      </c>
    </row>
    <row r="31" s="1" customFormat="1" spans="2:32">
      <c r="B31" s="28" t="s">
        <v>45</v>
      </c>
      <c r="C31" s="34">
        <v>0.15</v>
      </c>
      <c r="D31" s="28"/>
      <c r="E31" s="35"/>
      <c r="F31" s="28" t="s">
        <v>50</v>
      </c>
      <c r="G31" s="31"/>
      <c r="H31" s="28" t="s">
        <v>50</v>
      </c>
      <c r="I31" s="31"/>
      <c r="J31" s="33"/>
      <c r="K31" s="31"/>
      <c r="L31" s="28"/>
      <c r="M31" s="29"/>
      <c r="N31" s="5"/>
      <c r="P31" s="49" t="s">
        <v>22</v>
      </c>
      <c r="Q31" s="50">
        <v>1.6899</v>
      </c>
      <c r="R31" s="51" t="s">
        <v>23</v>
      </c>
      <c r="S31" s="51">
        <f>$C$27</f>
        <v>962</v>
      </c>
      <c r="T31" s="50">
        <f>($C$28+$C$29+$C$30+$C$31)+($C$32+$C$33)/S31</f>
        <v>1.70782536382536</v>
      </c>
      <c r="U31" s="50">
        <f>SUM($E$27:$E$31)</f>
        <v>1.66</v>
      </c>
      <c r="V31" s="52">
        <f>1+$G$32*($I$32-1)</f>
        <v>2.61968</v>
      </c>
      <c r="W31" s="53">
        <f>$K$27</f>
        <v>0</v>
      </c>
      <c r="X31" s="52">
        <f>$AF$7</f>
        <v>0.582139232997858</v>
      </c>
      <c r="Y31" s="51">
        <f>$AF$17</f>
        <v>0.9</v>
      </c>
      <c r="Z31" s="54"/>
      <c r="AA31" s="54"/>
      <c r="AB31" s="54"/>
      <c r="AC31" s="55">
        <f t="shared" si="18"/>
        <v>16071.4843522907</v>
      </c>
    </row>
    <row r="32" s="1" customFormat="1" spans="2:32">
      <c r="B32" s="28" t="s">
        <v>52</v>
      </c>
      <c r="C32" s="29">
        <v>350</v>
      </c>
      <c r="D32" s="28" t="s">
        <v>76</v>
      </c>
      <c r="E32" s="30"/>
      <c r="F32" s="36" t="s">
        <v>53</v>
      </c>
      <c r="G32" s="37">
        <f>MIN(100%,SUM(G27:G31))</f>
        <v>0.848</v>
      </c>
      <c r="H32" s="36" t="s">
        <v>54</v>
      </c>
      <c r="I32" s="38">
        <f>SUM(I27:I31)</f>
        <v>2.91</v>
      </c>
      <c r="J32" s="33"/>
      <c r="K32" s="31"/>
      <c r="L32" s="28"/>
      <c r="M32" s="29"/>
      <c r="N32" s="5"/>
      <c r="P32" s="56" t="s">
        <v>30</v>
      </c>
      <c r="Q32" s="57">
        <v>2.9793</v>
      </c>
      <c r="R32" s="58" t="s">
        <v>30</v>
      </c>
      <c r="S32" s="51">
        <f t="shared" ref="S32:S42" si="30">$C$27</f>
        <v>962</v>
      </c>
      <c r="T32" s="50">
        <f t="shared" ref="T32:T42" si="31">($C$28+$C$29+$C$30+$C$31)+($C$32+$C$33)/S32</f>
        <v>1.70782536382536</v>
      </c>
      <c r="U32" s="50">
        <f t="shared" ref="U32:U42" si="32">SUM($E$27:$E$31)</f>
        <v>1.66</v>
      </c>
      <c r="V32" s="52">
        <f t="shared" ref="V32:V42" si="33">1+$G$32*($I$32-1)</f>
        <v>2.61968</v>
      </c>
      <c r="W32" s="53">
        <f t="shared" ref="W32:W42" si="34">$K$27</f>
        <v>0</v>
      </c>
      <c r="X32" s="52">
        <f>$AF$7</f>
        <v>0.582139232997858</v>
      </c>
      <c r="Y32" s="51">
        <f t="shared" ref="Y32:Y42" si="35">$AF$17</f>
        <v>0.9</v>
      </c>
      <c r="Z32" s="54"/>
      <c r="AA32" s="54"/>
      <c r="AB32" s="54"/>
      <c r="AC32" s="55">
        <f t="shared" ref="AC32:AC42" si="36">Q32*S32*(1+T32)*(1+U32)*V32*(1+W32)*X32*Y32*(1+Z32)*(1+AA32)*(1+AB32)</f>
        <v>28334.0868280844</v>
      </c>
    </row>
    <row r="33" s="1" customFormat="1" spans="2:29">
      <c r="B33" s="39" t="s">
        <v>56</v>
      </c>
      <c r="C33" s="40"/>
      <c r="D33" s="39" t="s">
        <v>77</v>
      </c>
      <c r="E33" s="41"/>
      <c r="F33" s="39"/>
      <c r="G33" s="42"/>
      <c r="H33" s="39"/>
      <c r="I33" s="40"/>
      <c r="J33" s="43"/>
      <c r="K33" s="42"/>
      <c r="L33" s="39"/>
      <c r="M33" s="40"/>
      <c r="N33" s="5"/>
      <c r="P33" s="49" t="s">
        <v>30</v>
      </c>
      <c r="Q33" s="50">
        <v>2.3858</v>
      </c>
      <c r="R33" s="51" t="s">
        <v>30</v>
      </c>
      <c r="S33" s="51">
        <f t="shared" si="30"/>
        <v>962</v>
      </c>
      <c r="T33" s="50">
        <f t="shared" si="31"/>
        <v>1.70782536382536</v>
      </c>
      <c r="U33" s="50">
        <f>SUM($E$27:$E$31)+60%</f>
        <v>2.26</v>
      </c>
      <c r="V33" s="52">
        <f t="shared" si="33"/>
        <v>2.61968</v>
      </c>
      <c r="W33" s="53">
        <f t="shared" si="34"/>
        <v>0</v>
      </c>
      <c r="X33" s="52">
        <f t="shared" ref="X32:X42" si="37">$AF$7</f>
        <v>0.582139232997858</v>
      </c>
      <c r="Y33" s="51">
        <f t="shared" si="35"/>
        <v>0.9</v>
      </c>
      <c r="Z33" s="54"/>
      <c r="AA33" s="54"/>
      <c r="AB33" s="54"/>
      <c r="AC33" s="55">
        <f t="shared" si="36"/>
        <v>27807.6943687744</v>
      </c>
    </row>
    <row r="34" s="1" customFormat="1" spans="2:29">
      <c r="B34" s="44"/>
      <c r="C34" s="44"/>
      <c r="D34" s="44"/>
      <c r="E34" s="45"/>
      <c r="F34" s="44"/>
      <c r="G34" s="46"/>
      <c r="H34" s="44"/>
      <c r="I34" s="44"/>
      <c r="J34" s="46"/>
      <c r="K34" s="46"/>
      <c r="L34" s="44"/>
      <c r="M34" s="44"/>
      <c r="N34" s="5"/>
      <c r="P34" s="56" t="s">
        <v>83</v>
      </c>
      <c r="Q34" s="57"/>
      <c r="R34" s="58"/>
      <c r="S34" s="51">
        <f t="shared" si="30"/>
        <v>962</v>
      </c>
      <c r="T34" s="50">
        <f t="shared" si="31"/>
        <v>1.70782536382536</v>
      </c>
      <c r="U34" s="50">
        <f t="shared" si="32"/>
        <v>1.66</v>
      </c>
      <c r="V34" s="52">
        <f t="shared" si="33"/>
        <v>2.61968</v>
      </c>
      <c r="W34" s="53">
        <f t="shared" si="34"/>
        <v>0</v>
      </c>
      <c r="X34" s="52">
        <f t="shared" si="37"/>
        <v>0.582139232997858</v>
      </c>
      <c r="Y34" s="51">
        <f t="shared" si="35"/>
        <v>0.9</v>
      </c>
      <c r="Z34" s="54"/>
      <c r="AA34" s="54"/>
      <c r="AB34" s="54"/>
      <c r="AC34" s="55">
        <f t="shared" si="36"/>
        <v>0</v>
      </c>
    </row>
    <row r="35" s="1" customFormat="1" ht="15" spans="2:29">
      <c r="B35" s="59" t="s">
        <v>84</v>
      </c>
      <c r="C35" s="5"/>
      <c r="D35" s="5"/>
      <c r="E35" s="5"/>
      <c r="F35" s="5"/>
      <c r="G35" s="6"/>
      <c r="H35" s="5"/>
      <c r="I35" s="5"/>
      <c r="J35" s="5"/>
      <c r="K35" s="5"/>
      <c r="L35" s="5"/>
      <c r="M35" s="5"/>
      <c r="N35" s="5"/>
      <c r="P35" s="49" t="s">
        <v>44</v>
      </c>
      <c r="Q35" s="50">
        <v>8.7477</v>
      </c>
      <c r="R35" s="51" t="s">
        <v>44</v>
      </c>
      <c r="S35" s="51">
        <f t="shared" si="30"/>
        <v>962</v>
      </c>
      <c r="T35" s="50">
        <f t="shared" si="31"/>
        <v>1.70782536382536</v>
      </c>
      <c r="U35" s="50">
        <f>SUM($E$27:$E$31)+40%</f>
        <v>2.06</v>
      </c>
      <c r="V35" s="52">
        <f t="shared" si="33"/>
        <v>2.61968</v>
      </c>
      <c r="W35" s="53">
        <f t="shared" si="34"/>
        <v>0</v>
      </c>
      <c r="X35" s="52">
        <f t="shared" si="37"/>
        <v>0.582139232997858</v>
      </c>
      <c r="Y35" s="51">
        <f t="shared" si="35"/>
        <v>0.9</v>
      </c>
      <c r="Z35" s="54"/>
      <c r="AA35" s="54"/>
      <c r="AB35" s="54"/>
      <c r="AC35" s="55">
        <f t="shared" si="36"/>
        <v>95703.6836778866</v>
      </c>
    </row>
    <row r="36" s="1" customFormat="1" ht="20" customHeight="1" spans="2:29">
      <c r="B36" s="60" t="s">
        <v>85</v>
      </c>
      <c r="C36" s="60" t="s">
        <v>86</v>
      </c>
      <c r="D36" s="60" t="s">
        <v>87</v>
      </c>
      <c r="E36" s="60" t="s">
        <v>88</v>
      </c>
      <c r="F36" s="61"/>
      <c r="G36" s="6"/>
      <c r="H36" s="5"/>
      <c r="I36" s="5"/>
      <c r="J36" s="5"/>
      <c r="K36" s="5"/>
      <c r="L36" s="5"/>
      <c r="M36" s="5"/>
      <c r="N36" s="5"/>
      <c r="P36" s="56" t="s">
        <v>69</v>
      </c>
      <c r="Q36" s="57">
        <v>0.9635</v>
      </c>
      <c r="R36" s="58" t="s">
        <v>69</v>
      </c>
      <c r="S36" s="51">
        <f t="shared" si="30"/>
        <v>962</v>
      </c>
      <c r="T36" s="50">
        <f t="shared" si="31"/>
        <v>1.70782536382536</v>
      </c>
      <c r="U36" s="50">
        <f t="shared" si="32"/>
        <v>1.66</v>
      </c>
      <c r="V36" s="52">
        <f t="shared" si="33"/>
        <v>2.61968</v>
      </c>
      <c r="W36" s="53">
        <f t="shared" si="34"/>
        <v>0</v>
      </c>
      <c r="X36" s="52">
        <f t="shared" si="37"/>
        <v>0.582139232997858</v>
      </c>
      <c r="Y36" s="51">
        <f t="shared" si="35"/>
        <v>0.9</v>
      </c>
      <c r="Z36" s="54"/>
      <c r="AA36" s="54"/>
      <c r="AB36" s="54"/>
      <c r="AC36" s="55">
        <f t="shared" si="36"/>
        <v>9163.1902322221</v>
      </c>
    </row>
    <row r="37" s="1" customFormat="1" ht="20" customHeight="1" spans="2:29">
      <c r="B37" s="62" t="s">
        <v>0</v>
      </c>
      <c r="C37" s="62">
        <f>SUM(AC3:AC13)</f>
        <v>380096.509643579</v>
      </c>
      <c r="D37" s="62">
        <f>C37/E37</f>
        <v>15203.8603857432</v>
      </c>
      <c r="E37" s="61">
        <v>25</v>
      </c>
      <c r="F37" s="61"/>
      <c r="G37" s="6"/>
      <c r="H37" s="5"/>
      <c r="I37" s="5"/>
      <c r="J37" s="5"/>
      <c r="K37" s="5"/>
      <c r="L37" s="5"/>
      <c r="M37" s="5"/>
      <c r="N37" s="5"/>
      <c r="P37" s="49" t="s">
        <v>69</v>
      </c>
      <c r="Q37" s="50">
        <v>0.7605</v>
      </c>
      <c r="R37" s="51" t="s">
        <v>69</v>
      </c>
      <c r="S37" s="51">
        <f t="shared" si="30"/>
        <v>962</v>
      </c>
      <c r="T37" s="50">
        <f t="shared" si="31"/>
        <v>1.70782536382536</v>
      </c>
      <c r="U37" s="50">
        <f t="shared" si="32"/>
        <v>1.66</v>
      </c>
      <c r="V37" s="52">
        <f t="shared" si="33"/>
        <v>2.61968</v>
      </c>
      <c r="W37" s="53">
        <f t="shared" si="34"/>
        <v>0</v>
      </c>
      <c r="X37" s="52">
        <f t="shared" si="37"/>
        <v>0.582139232997858</v>
      </c>
      <c r="Y37" s="51">
        <f t="shared" si="35"/>
        <v>0.9</v>
      </c>
      <c r="Z37" s="54"/>
      <c r="AA37" s="54"/>
      <c r="AB37" s="54"/>
      <c r="AC37" s="55">
        <f t="shared" si="36"/>
        <v>7232.59592278662</v>
      </c>
    </row>
    <row r="38" s="1" customFormat="1" ht="20" customHeight="1" spans="2:29">
      <c r="B38" s="62" t="s">
        <v>63</v>
      </c>
      <c r="C38" s="62">
        <f>SUM(AC16:AC29)</f>
        <v>1102462.12677597</v>
      </c>
      <c r="D38" s="62">
        <f>C38/E37</f>
        <v>44098.4850710387</v>
      </c>
      <c r="E38" s="6"/>
      <c r="F38" s="5"/>
      <c r="G38" s="6"/>
      <c r="H38" s="5"/>
      <c r="I38" s="5"/>
      <c r="J38" s="5"/>
      <c r="K38" s="5"/>
      <c r="L38" s="5"/>
      <c r="M38" s="5"/>
      <c r="N38" s="5"/>
      <c r="P38" s="56" t="s">
        <v>69</v>
      </c>
      <c r="Q38" s="57">
        <v>1.2675</v>
      </c>
      <c r="R38" s="58" t="s">
        <v>69</v>
      </c>
      <c r="S38" s="51">
        <f t="shared" si="30"/>
        <v>962</v>
      </c>
      <c r="T38" s="50">
        <f t="shared" si="31"/>
        <v>1.70782536382536</v>
      </c>
      <c r="U38" s="50">
        <f t="shared" si="32"/>
        <v>1.66</v>
      </c>
      <c r="V38" s="52">
        <f t="shared" si="33"/>
        <v>2.61968</v>
      </c>
      <c r="W38" s="53">
        <f t="shared" si="34"/>
        <v>0</v>
      </c>
      <c r="X38" s="52">
        <f t="shared" si="37"/>
        <v>0.582139232997858</v>
      </c>
      <c r="Y38" s="51">
        <f t="shared" si="35"/>
        <v>0.9</v>
      </c>
      <c r="Z38" s="54"/>
      <c r="AA38" s="54"/>
      <c r="AB38" s="54"/>
      <c r="AC38" s="55">
        <f t="shared" si="36"/>
        <v>12054.3265379777</v>
      </c>
    </row>
    <row r="39" s="1" customFormat="1" ht="20" customHeight="1" spans="2:29">
      <c r="B39" s="62" t="s">
        <v>79</v>
      </c>
      <c r="C39" s="62">
        <f>SUM(AC31:AC40)</f>
        <v>252508.843116881</v>
      </c>
      <c r="D39" s="62">
        <f>C39/E37</f>
        <v>10100.3537246753</v>
      </c>
      <c r="E39" s="5"/>
      <c r="F39" s="5"/>
      <c r="G39" s="6"/>
      <c r="H39" s="5"/>
      <c r="I39" s="5"/>
      <c r="J39" s="5"/>
      <c r="K39" s="5"/>
      <c r="L39" s="5"/>
      <c r="M39" s="5"/>
      <c r="N39" s="5"/>
      <c r="P39" s="49" t="s">
        <v>30</v>
      </c>
      <c r="Q39" s="50">
        <v>2.9793</v>
      </c>
      <c r="R39" s="51" t="s">
        <v>30</v>
      </c>
      <c r="S39" s="51">
        <f t="shared" si="30"/>
        <v>962</v>
      </c>
      <c r="T39" s="50">
        <f t="shared" si="31"/>
        <v>1.70782536382536</v>
      </c>
      <c r="U39" s="50">
        <f t="shared" si="32"/>
        <v>1.66</v>
      </c>
      <c r="V39" s="52">
        <f t="shared" si="33"/>
        <v>2.61968</v>
      </c>
      <c r="W39" s="53">
        <f t="shared" si="34"/>
        <v>0</v>
      </c>
      <c r="X39" s="52">
        <f t="shared" si="37"/>
        <v>0.582139232997858</v>
      </c>
      <c r="Y39" s="51">
        <f t="shared" si="35"/>
        <v>0.9</v>
      </c>
      <c r="Z39" s="54"/>
      <c r="AA39" s="54"/>
      <c r="AB39" s="54"/>
      <c r="AC39" s="55">
        <f t="shared" si="36"/>
        <v>28334.0868280844</v>
      </c>
    </row>
    <row r="40" s="1" customFormat="1" ht="20" customHeight="1" spans="2:29">
      <c r="B40" s="62" t="s">
        <v>89</v>
      </c>
      <c r="C40" s="62">
        <f>D40*E37</f>
        <v>52100</v>
      </c>
      <c r="D40" s="62">
        <v>2084</v>
      </c>
      <c r="E40" s="5"/>
      <c r="F40" s="5"/>
      <c r="G40" s="6"/>
      <c r="H40" s="5"/>
      <c r="I40" s="5"/>
      <c r="J40" s="5"/>
      <c r="K40" s="5"/>
      <c r="L40" s="5"/>
      <c r="M40" s="5"/>
      <c r="N40" s="5"/>
      <c r="P40" s="56" t="s">
        <v>30</v>
      </c>
      <c r="Q40" s="57">
        <v>2.3858</v>
      </c>
      <c r="R40" s="58" t="s">
        <v>30</v>
      </c>
      <c r="S40" s="51">
        <f t="shared" si="30"/>
        <v>962</v>
      </c>
      <c r="T40" s="50">
        <f t="shared" si="31"/>
        <v>1.70782536382536</v>
      </c>
      <c r="U40" s="50">
        <f>SUM($E$27:$E$31)+60%</f>
        <v>2.26</v>
      </c>
      <c r="V40" s="52">
        <f t="shared" si="33"/>
        <v>2.61968</v>
      </c>
      <c r="W40" s="53">
        <f t="shared" si="34"/>
        <v>0</v>
      </c>
      <c r="X40" s="52">
        <f t="shared" si="37"/>
        <v>0.582139232997858</v>
      </c>
      <c r="Y40" s="51">
        <f t="shared" si="35"/>
        <v>0.9</v>
      </c>
      <c r="Z40" s="54"/>
      <c r="AA40" s="54"/>
      <c r="AB40" s="54"/>
      <c r="AC40" s="55">
        <f t="shared" si="36"/>
        <v>27807.6943687744</v>
      </c>
    </row>
    <row r="41" s="1" customFormat="1" ht="20" customHeight="1" spans="2:29">
      <c r="B41" s="62" t="s">
        <v>90</v>
      </c>
      <c r="C41" s="62">
        <f>C37+C38+C39+C40+61803</f>
        <v>1848970.47953643</v>
      </c>
      <c r="D41" s="62">
        <f>C41/E37</f>
        <v>73958.8191814571</v>
      </c>
      <c r="E41" s="5"/>
      <c r="F41" s="5"/>
      <c r="G41" s="6"/>
      <c r="H41" s="5"/>
      <c r="I41" s="5"/>
      <c r="J41" s="5"/>
      <c r="K41" s="5"/>
      <c r="L41" s="5"/>
      <c r="M41" s="5"/>
      <c r="N41" s="5"/>
      <c r="Q41" s="2"/>
      <c r="U41" s="2"/>
      <c r="V41" s="3"/>
      <c r="AB41" s="4"/>
      <c r="AC41" s="4"/>
    </row>
    <row r="42" s="1" customFormat="1" ht="20" customHeight="1" spans="2:29">
      <c r="B42" s="62"/>
      <c r="C42" s="62"/>
      <c r="D42" s="62"/>
      <c r="E42" s="5"/>
      <c r="F42" s="5"/>
      <c r="G42" s="6"/>
      <c r="I42" s="5"/>
      <c r="J42" s="5"/>
      <c r="K42" s="5"/>
      <c r="L42" s="5"/>
      <c r="M42" s="5"/>
      <c r="N42" s="5"/>
      <c r="Q42" s="2"/>
      <c r="U42" s="2"/>
      <c r="V42" s="3"/>
      <c r="AB42" s="4"/>
      <c r="AC42" s="4"/>
    </row>
    <row r="43" s="1" customFormat="1" spans="2:29">
      <c r="B43" s="62"/>
      <c r="C43" s="6" t="s">
        <v>91</v>
      </c>
      <c r="D43" s="5">
        <v>57205</v>
      </c>
      <c r="E43" s="5"/>
      <c r="F43" s="5"/>
      <c r="G43" s="6"/>
      <c r="H43" s="5"/>
      <c r="I43" s="5"/>
      <c r="J43" s="5"/>
      <c r="K43" s="5"/>
      <c r="L43" s="5"/>
      <c r="M43" s="5"/>
      <c r="N43" s="5"/>
      <c r="Q43" s="2"/>
      <c r="U43" s="2"/>
      <c r="V43" s="3"/>
      <c r="AB43" s="4"/>
      <c r="AC43" s="4"/>
    </row>
    <row r="44" s="1" customFormat="1" spans="2:29">
      <c r="B44" s="5"/>
      <c r="C44" s="6" t="s">
        <v>92</v>
      </c>
      <c r="D44" s="5"/>
      <c r="E44" s="5"/>
      <c r="G44" s="6"/>
      <c r="H44" s="5"/>
      <c r="I44" s="5"/>
      <c r="J44" s="5"/>
      <c r="K44" s="5"/>
      <c r="L44" s="5"/>
      <c r="M44" s="5"/>
      <c r="N44" s="5"/>
      <c r="Q44" s="2"/>
      <c r="U44" s="2"/>
      <c r="V44" s="3"/>
      <c r="AB44" s="4"/>
      <c r="AC44" s="4"/>
    </row>
    <row r="45" s="1" customFormat="1" spans="2:29">
      <c r="B45" s="5"/>
      <c r="C45" s="5"/>
      <c r="D45" s="5"/>
      <c r="E45" s="5"/>
      <c r="F45" s="62"/>
      <c r="G45" s="2"/>
      <c r="N45" s="5"/>
      <c r="Q45" s="2"/>
      <c r="U45" s="2"/>
      <c r="V45" s="3"/>
      <c r="AB45" s="4"/>
      <c r="AC45" s="4"/>
    </row>
    <row r="46" s="1" customFormat="1" spans="2:29">
      <c r="B46" s="62"/>
      <c r="C46" s="62"/>
      <c r="D46" s="62"/>
      <c r="E46" s="5"/>
      <c r="F46" s="62"/>
      <c r="N46" s="5"/>
      <c r="Q46" s="2"/>
      <c r="U46" s="2"/>
      <c r="V46" s="3"/>
      <c r="AB46" s="4"/>
      <c r="AC46" s="4"/>
    </row>
    <row r="47" s="1" customFormat="1" spans="2:29">
      <c r="B47" s="62"/>
      <c r="C47" s="62"/>
      <c r="D47" s="62"/>
      <c r="E47" s="5"/>
      <c r="F47" s="5"/>
      <c r="G47" s="2"/>
      <c r="N47" s="5"/>
      <c r="Q47" s="2"/>
      <c r="U47" s="2"/>
      <c r="V47" s="3"/>
      <c r="AB47" s="4"/>
      <c r="AC47" s="4"/>
    </row>
    <row r="48" s="1" customFormat="1" spans="2:29">
      <c r="B48" s="5"/>
      <c r="C48" s="5"/>
      <c r="D48" s="5"/>
      <c r="E48" s="5"/>
      <c r="F48" s="62"/>
      <c r="G48" s="2"/>
      <c r="N48" s="5"/>
      <c r="Q48" s="2"/>
      <c r="U48" s="2"/>
      <c r="V48" s="3"/>
      <c r="AB48" s="4"/>
      <c r="AC48" s="4"/>
    </row>
    <row r="49" s="1" customFormat="1" spans="2:29">
      <c r="B49" s="62"/>
      <c r="C49" s="62"/>
      <c r="D49" s="62"/>
      <c r="E49" s="5"/>
      <c r="F49" s="62"/>
      <c r="G49" s="2"/>
      <c r="N49" s="5"/>
      <c r="Q49" s="2"/>
      <c r="U49" s="2"/>
      <c r="V49" s="3"/>
      <c r="AB49" s="4"/>
      <c r="AC49" s="4"/>
    </row>
    <row r="50" s="1" customFormat="1" spans="2:29">
      <c r="B50" s="62"/>
      <c r="C50" s="62"/>
      <c r="D50" s="62"/>
      <c r="E50" s="5"/>
      <c r="F50" s="5"/>
      <c r="G50" s="2"/>
      <c r="N50" s="5"/>
      <c r="Q50" s="2"/>
      <c r="U50" s="2"/>
      <c r="V50" s="3"/>
      <c r="AB50" s="4"/>
      <c r="AC50" s="4"/>
    </row>
    <row r="51" s="1" customFormat="1" spans="2:29">
      <c r="B51" s="5"/>
      <c r="C51" s="5"/>
      <c r="D51" s="5"/>
      <c r="E51" s="5"/>
      <c r="F51" s="62"/>
      <c r="G51" s="2"/>
      <c r="N51" s="5"/>
      <c r="Q51" s="2"/>
      <c r="U51" s="2"/>
      <c r="V51" s="3"/>
      <c r="AB51" s="4"/>
      <c r="AC51" s="4"/>
    </row>
    <row r="52" s="1" customFormat="1" spans="2:29">
      <c r="B52" s="62"/>
      <c r="C52" s="62"/>
      <c r="D52" s="62"/>
      <c r="E52" s="5"/>
      <c r="F52" s="62"/>
      <c r="G52" s="2"/>
      <c r="N52" s="5"/>
      <c r="Q52" s="2"/>
      <c r="U52" s="2"/>
      <c r="V52" s="3"/>
      <c r="AB52" s="4"/>
      <c r="AC52" s="4"/>
    </row>
    <row r="53" s="1" customFormat="1" spans="2:29">
      <c r="B53" s="62"/>
      <c r="C53" s="62"/>
      <c r="D53" s="62"/>
      <c r="E53" s="5"/>
      <c r="F53" s="5"/>
      <c r="G53" s="2"/>
      <c r="N53" s="5"/>
      <c r="Q53" s="2"/>
      <c r="U53" s="2"/>
      <c r="V53" s="3"/>
      <c r="AB53" s="4"/>
      <c r="AC53" s="4"/>
    </row>
    <row r="54" s="1" customFormat="1" spans="2:29">
      <c r="B54" s="5"/>
      <c r="C54" s="5"/>
      <c r="D54" s="5"/>
      <c r="E54" s="5"/>
      <c r="F54" s="62"/>
      <c r="G54" s="2"/>
      <c r="N54" s="5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2:29">
      <c r="B55" s="62"/>
      <c r="C55" s="62"/>
      <c r="D55" s="62"/>
      <c r="E55" s="5"/>
      <c r="G55" s="2"/>
      <c r="N55" s="5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2:29">
      <c r="G56" s="2"/>
      <c r="N56" s="5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2:29">
      <c r="G57" s="2"/>
      <c r="N57" s="5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57"/>
  <sheetViews>
    <sheetView workbookViewId="0">
      <selection activeCell="I28" sqref="I2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5.1818181818182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11.8181818181818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4" width="9.69090909090909" style="1"/>
  </cols>
  <sheetData>
    <row r="1" ht="14.75"/>
    <row r="2" s="1" customFormat="1" ht="15" spans="2:32"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4" t="s">
        <v>9</v>
      </c>
      <c r="AF2" s="14" t="s">
        <v>17</v>
      </c>
    </row>
    <row r="3" s="1" customFormat="1" spans="2:32">
      <c r="B3" s="64" t="s">
        <v>18</v>
      </c>
      <c r="C3" s="65"/>
      <c r="D3" s="64" t="s">
        <v>6</v>
      </c>
      <c r="E3" s="65"/>
      <c r="F3" s="64" t="s">
        <v>19</v>
      </c>
      <c r="G3" s="65"/>
      <c r="H3" s="64" t="s">
        <v>20</v>
      </c>
      <c r="I3" s="65"/>
      <c r="J3" s="64" t="s">
        <v>8</v>
      </c>
      <c r="K3" s="65"/>
      <c r="L3" s="64" t="s">
        <v>21</v>
      </c>
      <c r="M3" s="65"/>
      <c r="N3" s="5"/>
      <c r="P3" s="89" t="s">
        <v>22</v>
      </c>
      <c r="Q3" s="83">
        <v>2</v>
      </c>
      <c r="R3" s="84" t="s">
        <v>23</v>
      </c>
      <c r="S3" s="84">
        <f t="shared" ref="S3:S13" si="0">$C$4</f>
        <v>937</v>
      </c>
      <c r="T3" s="83">
        <f t="shared" ref="T3:T13" si="1">($C$5+$C$6+$C$7+$C$8)+($C$9+$C$10)/S3</f>
        <v>1.7355325506937</v>
      </c>
      <c r="U3" s="83">
        <f t="shared" ref="U3:U6" si="2">SUM($E$4:$E$7)</f>
        <v>1.51</v>
      </c>
      <c r="V3" s="85">
        <f t="shared" ref="V3:V13" si="3">1+$G$9*($I$9-1)</f>
        <v>2.7954</v>
      </c>
      <c r="W3" s="86">
        <f t="shared" ref="W3:W13" si="4">$K$4</f>
        <v>0.15</v>
      </c>
      <c r="X3" s="85">
        <f t="shared" ref="X3:X13" si="5">$AE$4</f>
        <v>0.569476082004556</v>
      </c>
      <c r="Y3" s="84">
        <v>0.8</v>
      </c>
      <c r="Z3" s="87">
        <v>0</v>
      </c>
      <c r="AA3" s="87">
        <v>0</v>
      </c>
      <c r="AB3" s="87">
        <v>0</v>
      </c>
      <c r="AC3" s="88">
        <f t="shared" ref="AC3:AC13" si="6">Q3*S3*(1+T3)*(1+U3)*V3*(1+W3)*X3*Y3*(1+Z3)*(1+AA3)*(1+AB3)</f>
        <v>18844.8407409452</v>
      </c>
      <c r="AD3" s="13">
        <v>0</v>
      </c>
      <c r="AE3" s="14">
        <f t="shared" ref="AE3:AE8" si="7">1520/(1520+(792+8*AF3)*(1-AD3/100))</f>
        <v>0.50131926121372</v>
      </c>
      <c r="AF3" s="24">
        <v>90</v>
      </c>
    </row>
    <row r="4" s="1" customFormat="1" spans="2:32">
      <c r="B4" s="66" t="s">
        <v>24</v>
      </c>
      <c r="C4" s="67">
        <v>937</v>
      </c>
      <c r="D4" s="66" t="s">
        <v>25</v>
      </c>
      <c r="E4" s="68">
        <v>0.6</v>
      </c>
      <c r="F4" s="66" t="s">
        <v>26</v>
      </c>
      <c r="G4" s="69">
        <v>0.05</v>
      </c>
      <c r="H4" s="66" t="s">
        <v>26</v>
      </c>
      <c r="I4" s="68">
        <f>150%+16%</f>
        <v>1.66</v>
      </c>
      <c r="J4" s="70" t="s">
        <v>27</v>
      </c>
      <c r="K4" s="68">
        <f>15%</f>
        <v>0.15</v>
      </c>
      <c r="L4" s="66" t="s">
        <v>28</v>
      </c>
      <c r="M4" s="69">
        <f>8.6%*2</f>
        <v>0.172</v>
      </c>
      <c r="N4" s="5"/>
      <c r="P4" s="82" t="s">
        <v>93</v>
      </c>
      <c r="Q4" s="83">
        <f>9.55%+19.09%+66.81%</f>
        <v>0.9545</v>
      </c>
      <c r="R4" s="84" t="s">
        <v>38</v>
      </c>
      <c r="S4" s="84">
        <f t="shared" si="0"/>
        <v>937</v>
      </c>
      <c r="T4" s="83">
        <f t="shared" si="1"/>
        <v>1.7355325506937</v>
      </c>
      <c r="U4" s="83">
        <f t="shared" si="2"/>
        <v>1.51</v>
      </c>
      <c r="V4" s="85">
        <f t="shared" si="3"/>
        <v>2.7954</v>
      </c>
      <c r="W4" s="86">
        <f t="shared" si="4"/>
        <v>0.15</v>
      </c>
      <c r="X4" s="85">
        <f t="shared" si="5"/>
        <v>0.569476082004556</v>
      </c>
      <c r="Y4" s="84">
        <v>0.8</v>
      </c>
      <c r="Z4" s="87">
        <v>0</v>
      </c>
      <c r="AA4" s="87">
        <v>0</v>
      </c>
      <c r="AB4" s="87">
        <v>0</v>
      </c>
      <c r="AC4" s="88">
        <f t="shared" si="6"/>
        <v>8993.7002436161</v>
      </c>
      <c r="AD4" s="13">
        <v>24</v>
      </c>
      <c r="AE4" s="14">
        <f t="shared" si="7"/>
        <v>0.569476082004556</v>
      </c>
      <c r="AF4" s="24">
        <v>90</v>
      </c>
    </row>
    <row r="5" s="1" customFormat="1" spans="2:32">
      <c r="B5" s="66" t="s">
        <v>31</v>
      </c>
      <c r="C5" s="68">
        <f>12%+12%</f>
        <v>0.24</v>
      </c>
      <c r="D5" s="66" t="s">
        <v>32</v>
      </c>
      <c r="E5" s="68">
        <f>35%+12%</f>
        <v>0.47</v>
      </c>
      <c r="F5" s="66" t="s">
        <v>33</v>
      </c>
      <c r="G5" s="69">
        <v>0.36</v>
      </c>
      <c r="H5" s="66" t="s">
        <v>34</v>
      </c>
      <c r="I5" s="69">
        <f>M7+44%</f>
        <v>1.25</v>
      </c>
      <c r="J5" s="71" t="s">
        <v>35</v>
      </c>
      <c r="K5" s="69"/>
      <c r="L5" s="66" t="s">
        <v>36</v>
      </c>
      <c r="M5" s="69">
        <f>8.6%*2</f>
        <v>0.172</v>
      </c>
      <c r="N5" s="5"/>
      <c r="P5" s="82" t="s">
        <v>29</v>
      </c>
      <c r="Q5" s="83">
        <v>0.3937</v>
      </c>
      <c r="R5" s="84" t="s">
        <v>30</v>
      </c>
      <c r="S5" s="84">
        <f t="shared" si="0"/>
        <v>937</v>
      </c>
      <c r="T5" s="83">
        <f t="shared" si="1"/>
        <v>1.7355325506937</v>
      </c>
      <c r="U5" s="83">
        <f t="shared" si="2"/>
        <v>1.51</v>
      </c>
      <c r="V5" s="85">
        <f t="shared" si="3"/>
        <v>2.7954</v>
      </c>
      <c r="W5" s="86">
        <f t="shared" si="4"/>
        <v>0.15</v>
      </c>
      <c r="X5" s="85">
        <f t="shared" si="5"/>
        <v>0.569476082004556</v>
      </c>
      <c r="Y5" s="84">
        <v>0.8</v>
      </c>
      <c r="Z5" s="87">
        <v>0</v>
      </c>
      <c r="AA5" s="87">
        <v>0</v>
      </c>
      <c r="AB5" s="87">
        <v>0</v>
      </c>
      <c r="AC5" s="88">
        <f t="shared" si="6"/>
        <v>3709.60689985507</v>
      </c>
      <c r="AD5" s="13">
        <v>14.4</v>
      </c>
      <c r="AE5" s="14">
        <f t="shared" si="7"/>
        <v>0.540104154822277</v>
      </c>
      <c r="AF5" s="24">
        <v>90</v>
      </c>
    </row>
    <row r="6" s="1" customFormat="1" spans="2:32">
      <c r="B6" s="66" t="s">
        <v>39</v>
      </c>
      <c r="C6" s="68">
        <f>18%+18%+M4</f>
        <v>0.532</v>
      </c>
      <c r="D6" s="66" t="s">
        <v>40</v>
      </c>
      <c r="E6" s="68"/>
      <c r="F6" s="66" t="s">
        <v>41</v>
      </c>
      <c r="G6" s="69"/>
      <c r="H6" s="66" t="s">
        <v>41</v>
      </c>
      <c r="I6" s="69"/>
      <c r="J6" s="71" t="s">
        <v>42</v>
      </c>
      <c r="K6" s="69"/>
      <c r="L6" s="66" t="s">
        <v>19</v>
      </c>
      <c r="M6" s="69">
        <f>8.1%*5</f>
        <v>0.405</v>
      </c>
      <c r="N6" s="5"/>
      <c r="P6" s="82" t="s">
        <v>37</v>
      </c>
      <c r="Q6" s="83">
        <f>15.11%*4+90.66%</f>
        <v>1.511</v>
      </c>
      <c r="R6" s="84" t="s">
        <v>38</v>
      </c>
      <c r="S6" s="84">
        <f t="shared" si="0"/>
        <v>937</v>
      </c>
      <c r="T6" s="83">
        <f t="shared" si="1"/>
        <v>1.7355325506937</v>
      </c>
      <c r="U6" s="83">
        <f t="shared" si="2"/>
        <v>1.51</v>
      </c>
      <c r="V6" s="85">
        <f t="shared" si="3"/>
        <v>2.7954</v>
      </c>
      <c r="W6" s="86">
        <f t="shared" si="4"/>
        <v>0.15</v>
      </c>
      <c r="X6" s="85">
        <f t="shared" si="5"/>
        <v>0.569476082004556</v>
      </c>
      <c r="Y6" s="84">
        <v>0.8</v>
      </c>
      <c r="Z6" s="87">
        <v>0</v>
      </c>
      <c r="AA6" s="87">
        <v>0</v>
      </c>
      <c r="AB6" s="87">
        <v>0</v>
      </c>
      <c r="AC6" s="88">
        <f t="shared" si="6"/>
        <v>14237.2771797841</v>
      </c>
      <c r="AD6" s="13">
        <v>21.6</v>
      </c>
      <c r="AE6" s="14">
        <f t="shared" si="7"/>
        <v>0.561837623012869</v>
      </c>
      <c r="AF6" s="24">
        <v>90</v>
      </c>
    </row>
    <row r="7" s="1" customFormat="1" spans="2:32">
      <c r="B7" s="66" t="s">
        <v>45</v>
      </c>
      <c r="C7" s="72">
        <f>20%</f>
        <v>0.2</v>
      </c>
      <c r="D7" s="66" t="s">
        <v>45</v>
      </c>
      <c r="E7" s="68">
        <f>24%+20%</f>
        <v>0.44</v>
      </c>
      <c r="F7" s="66" t="s">
        <v>34</v>
      </c>
      <c r="G7" s="69">
        <f>M6</f>
        <v>0.405</v>
      </c>
      <c r="H7" s="66"/>
      <c r="I7" s="69"/>
      <c r="J7" s="71"/>
      <c r="K7" s="69"/>
      <c r="L7" s="66" t="s">
        <v>46</v>
      </c>
      <c r="M7" s="68">
        <f>16.2%*5</f>
        <v>0.81</v>
      </c>
      <c r="N7" s="5"/>
      <c r="P7" s="82" t="s">
        <v>43</v>
      </c>
      <c r="Q7" s="83">
        <f>39.75%+19.88%+139.12%+63.7%</f>
        <v>2.6245</v>
      </c>
      <c r="R7" s="84" t="s">
        <v>44</v>
      </c>
      <c r="S7" s="84">
        <f t="shared" si="0"/>
        <v>937</v>
      </c>
      <c r="T7" s="83">
        <f t="shared" si="1"/>
        <v>1.7355325506937</v>
      </c>
      <c r="U7" s="83">
        <f t="shared" ref="U7:U12" si="8">SUM($E$4:$E$8)</f>
        <v>2.042</v>
      </c>
      <c r="V7" s="85">
        <f t="shared" si="3"/>
        <v>2.7954</v>
      </c>
      <c r="W7" s="86">
        <f t="shared" si="4"/>
        <v>0.15</v>
      </c>
      <c r="X7" s="85">
        <f t="shared" si="5"/>
        <v>0.569476082004556</v>
      </c>
      <c r="Y7" s="84">
        <v>0.8</v>
      </c>
      <c r="Z7" s="87">
        <v>0</v>
      </c>
      <c r="AA7" s="87">
        <v>0</v>
      </c>
      <c r="AB7" s="87">
        <v>0</v>
      </c>
      <c r="AC7" s="88">
        <f t="shared" si="6"/>
        <v>29970.5381521645</v>
      </c>
      <c r="AD7" s="13">
        <v>0</v>
      </c>
      <c r="AE7" s="14">
        <f t="shared" si="7"/>
        <v>0.50131926121372</v>
      </c>
      <c r="AF7" s="24">
        <v>90</v>
      </c>
    </row>
    <row r="8" s="1" customFormat="1" spans="2:32">
      <c r="B8" s="66" t="s">
        <v>50</v>
      </c>
      <c r="C8" s="72">
        <v>0.39</v>
      </c>
      <c r="D8" s="66" t="s">
        <v>49</v>
      </c>
      <c r="E8" s="68">
        <f>24%+M5+12%</f>
        <v>0.532</v>
      </c>
      <c r="F8" s="66" t="s">
        <v>50</v>
      </c>
      <c r="G8" s="69">
        <v>0.125</v>
      </c>
      <c r="H8" s="66" t="s">
        <v>50</v>
      </c>
      <c r="I8" s="69"/>
      <c r="J8" s="71"/>
      <c r="K8" s="69"/>
      <c r="L8" s="66"/>
      <c r="M8" s="67"/>
      <c r="N8" s="5"/>
      <c r="P8" s="82" t="s">
        <v>47</v>
      </c>
      <c r="Q8" s="83">
        <f>20.3%+47.35%</f>
        <v>0.6765</v>
      </c>
      <c r="R8" s="84" t="s">
        <v>38</v>
      </c>
      <c r="S8" s="84">
        <f t="shared" si="0"/>
        <v>937</v>
      </c>
      <c r="T8" s="83">
        <f t="shared" si="1"/>
        <v>1.7355325506937</v>
      </c>
      <c r="U8" s="83">
        <f t="shared" ref="U8:U13" si="9">SUM($E$4:$E$7)</f>
        <v>1.51</v>
      </c>
      <c r="V8" s="85">
        <f t="shared" si="3"/>
        <v>2.7954</v>
      </c>
      <c r="W8" s="86">
        <f t="shared" si="4"/>
        <v>0.15</v>
      </c>
      <c r="X8" s="85">
        <f t="shared" si="5"/>
        <v>0.569476082004556</v>
      </c>
      <c r="Y8" s="84">
        <v>0.8</v>
      </c>
      <c r="Z8" s="87">
        <v>0</v>
      </c>
      <c r="AA8" s="87">
        <v>0</v>
      </c>
      <c r="AB8" s="87">
        <v>0</v>
      </c>
      <c r="AC8" s="88">
        <f t="shared" si="6"/>
        <v>6374.26738062472</v>
      </c>
      <c r="AD8" s="13">
        <v>36</v>
      </c>
      <c r="AE8" s="14">
        <f t="shared" si="7"/>
        <v>0.611011062516079</v>
      </c>
      <c r="AF8" s="24">
        <v>90</v>
      </c>
    </row>
    <row r="9" s="1" customFormat="1" spans="2:32">
      <c r="B9" s="66" t="s">
        <v>52</v>
      </c>
      <c r="C9" s="67">
        <v>350</v>
      </c>
      <c r="D9" s="66"/>
      <c r="E9" s="68"/>
      <c r="F9" s="74" t="s">
        <v>53</v>
      </c>
      <c r="G9" s="75">
        <f>MIN(100%,SUM(G4:G8))</f>
        <v>0.94</v>
      </c>
      <c r="H9" s="74" t="s">
        <v>54</v>
      </c>
      <c r="I9" s="76">
        <f>SUM(I4:I8)</f>
        <v>2.91</v>
      </c>
      <c r="J9" s="71"/>
      <c r="K9" s="69"/>
      <c r="L9" s="66"/>
      <c r="M9" s="67"/>
      <c r="N9" s="5"/>
      <c r="P9" s="82" t="s">
        <v>51</v>
      </c>
      <c r="Q9" s="83">
        <f>21.48%*2+25.06%*4</f>
        <v>1.432</v>
      </c>
      <c r="R9" s="84" t="s">
        <v>30</v>
      </c>
      <c r="S9" s="84">
        <f t="shared" si="0"/>
        <v>937</v>
      </c>
      <c r="T9" s="83">
        <f t="shared" si="1"/>
        <v>1.7355325506937</v>
      </c>
      <c r="U9" s="83">
        <f t="shared" si="9"/>
        <v>1.51</v>
      </c>
      <c r="V9" s="85">
        <f t="shared" si="3"/>
        <v>2.7954</v>
      </c>
      <c r="W9" s="86">
        <f t="shared" si="4"/>
        <v>0.15</v>
      </c>
      <c r="X9" s="85">
        <f t="shared" si="5"/>
        <v>0.569476082004556</v>
      </c>
      <c r="Y9" s="84">
        <v>0.8</v>
      </c>
      <c r="Z9" s="87">
        <v>0</v>
      </c>
      <c r="AA9" s="87">
        <v>0</v>
      </c>
      <c r="AB9" s="87">
        <v>0</v>
      </c>
      <c r="AC9" s="88">
        <f t="shared" si="6"/>
        <v>13492.9059705168</v>
      </c>
    </row>
    <row r="10" s="1" customFormat="1" spans="2:32">
      <c r="B10" s="77" t="s">
        <v>56</v>
      </c>
      <c r="C10" s="78"/>
      <c r="D10" s="77"/>
      <c r="E10" s="79"/>
      <c r="F10" s="77"/>
      <c r="G10" s="80"/>
      <c r="H10" s="77"/>
      <c r="I10" s="78"/>
      <c r="J10" s="81"/>
      <c r="K10" s="80"/>
      <c r="L10" s="77"/>
      <c r="M10" s="78"/>
      <c r="N10" s="5"/>
      <c r="P10" s="82" t="s">
        <v>55</v>
      </c>
      <c r="Q10" s="83">
        <f>954.29%</f>
        <v>9.5429</v>
      </c>
      <c r="R10" s="84" t="s">
        <v>44</v>
      </c>
      <c r="S10" s="84">
        <f t="shared" si="0"/>
        <v>937</v>
      </c>
      <c r="T10" s="83">
        <f t="shared" si="1"/>
        <v>1.7355325506937</v>
      </c>
      <c r="U10" s="83">
        <f t="shared" si="8"/>
        <v>2.042</v>
      </c>
      <c r="V10" s="85">
        <f t="shared" si="3"/>
        <v>2.7954</v>
      </c>
      <c r="W10" s="86">
        <f t="shared" si="4"/>
        <v>0.15</v>
      </c>
      <c r="X10" s="85">
        <f t="shared" si="5"/>
        <v>0.569476082004556</v>
      </c>
      <c r="Y10" s="84">
        <v>0.8</v>
      </c>
      <c r="Z10" s="87">
        <v>0</v>
      </c>
      <c r="AA10" s="87">
        <v>0</v>
      </c>
      <c r="AB10" s="87">
        <v>0</v>
      </c>
      <c r="AC10" s="88">
        <f t="shared" si="6"/>
        <v>108975.366177287</v>
      </c>
    </row>
    <row r="11" s="1" customFormat="1" spans="2:32">
      <c r="B11" s="5"/>
      <c r="C11" s="5"/>
      <c r="D11" s="5"/>
      <c r="E11" s="5"/>
      <c r="F11" s="5" t="s">
        <v>58</v>
      </c>
      <c r="G11" s="6"/>
      <c r="H11" s="5"/>
      <c r="I11" s="5"/>
      <c r="J11" s="5"/>
      <c r="K11" s="5"/>
      <c r="L11" s="5"/>
      <c r="M11" s="5"/>
      <c r="N11" s="5"/>
      <c r="P11" s="82" t="s">
        <v>57</v>
      </c>
      <c r="Q11" s="83">
        <f>15.31%*6+19.46%*6+15.7%*13</f>
        <v>4.1272</v>
      </c>
      <c r="R11" s="84" t="s">
        <v>44</v>
      </c>
      <c r="S11" s="84">
        <f t="shared" si="0"/>
        <v>937</v>
      </c>
      <c r="T11" s="83">
        <f t="shared" si="1"/>
        <v>1.7355325506937</v>
      </c>
      <c r="U11" s="83">
        <f t="shared" si="8"/>
        <v>2.042</v>
      </c>
      <c r="V11" s="85">
        <f t="shared" si="3"/>
        <v>2.7954</v>
      </c>
      <c r="W11" s="86">
        <f t="shared" si="4"/>
        <v>0.15</v>
      </c>
      <c r="X11" s="85">
        <f t="shared" si="5"/>
        <v>0.569476082004556</v>
      </c>
      <c r="Y11" s="84">
        <v>0.8</v>
      </c>
      <c r="Z11" s="87">
        <v>1.2</v>
      </c>
      <c r="AA11" s="87">
        <v>0</v>
      </c>
      <c r="AB11" s="87"/>
      <c r="AC11" s="88">
        <f t="shared" si="6"/>
        <v>103687.441850085</v>
      </c>
    </row>
    <row r="12" s="1" customFormat="1" spans="2:32"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P12" s="82" t="s">
        <v>59</v>
      </c>
      <c r="Q12" s="83">
        <f>240.96%+100*2.41%</f>
        <v>4.8196</v>
      </c>
      <c r="R12" s="84" t="s">
        <v>44</v>
      </c>
      <c r="S12" s="84">
        <f t="shared" si="0"/>
        <v>937</v>
      </c>
      <c r="T12" s="83">
        <f t="shared" si="1"/>
        <v>1.7355325506937</v>
      </c>
      <c r="U12" s="83">
        <f t="shared" si="8"/>
        <v>2.042</v>
      </c>
      <c r="V12" s="85">
        <f t="shared" si="3"/>
        <v>2.7954</v>
      </c>
      <c r="W12" s="86">
        <f t="shared" si="4"/>
        <v>0.15</v>
      </c>
      <c r="X12" s="85">
        <f t="shared" si="5"/>
        <v>0.569476082004556</v>
      </c>
      <c r="Y12" s="84">
        <v>0.8</v>
      </c>
      <c r="Z12" s="87">
        <v>1.2</v>
      </c>
      <c r="AA12" s="87">
        <v>0</v>
      </c>
      <c r="AB12" s="87"/>
      <c r="AC12" s="88">
        <f t="shared" si="6"/>
        <v>121082.572867967</v>
      </c>
    </row>
    <row r="13" s="1" customFormat="1" spans="2:32"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P13" s="82" t="s">
        <v>61</v>
      </c>
      <c r="Q13" s="83">
        <f>131.04%*2+24.57%*8*2</f>
        <v>6.552</v>
      </c>
      <c r="R13" s="84" t="s">
        <v>61</v>
      </c>
      <c r="S13" s="84">
        <f t="shared" si="0"/>
        <v>937</v>
      </c>
      <c r="T13" s="83">
        <f t="shared" si="1"/>
        <v>1.7355325506937</v>
      </c>
      <c r="U13" s="83">
        <f t="shared" si="9"/>
        <v>1.51</v>
      </c>
      <c r="V13" s="85">
        <f t="shared" si="3"/>
        <v>2.7954</v>
      </c>
      <c r="W13" s="86">
        <f t="shared" si="4"/>
        <v>0.15</v>
      </c>
      <c r="X13" s="85">
        <f t="shared" si="5"/>
        <v>0.569476082004556</v>
      </c>
      <c r="Y13" s="84">
        <v>0.8</v>
      </c>
      <c r="Z13" s="87">
        <v>0</v>
      </c>
      <c r="AA13" s="87">
        <v>0</v>
      </c>
      <c r="AB13" s="87">
        <v>0</v>
      </c>
      <c r="AC13" s="88">
        <f t="shared" si="6"/>
        <v>61735.6982673365</v>
      </c>
    </row>
    <row r="14" s="1" customFormat="1" ht="15" spans="2:32">
      <c r="B14" s="25" t="s">
        <v>63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5"/>
      <c r="P14" s="82"/>
      <c r="Q14" s="83"/>
      <c r="R14" s="84"/>
      <c r="S14" s="84"/>
      <c r="T14" s="83"/>
      <c r="U14" s="83"/>
      <c r="V14" s="85"/>
      <c r="W14" s="86"/>
      <c r="X14" s="85"/>
      <c r="Y14" s="84"/>
      <c r="Z14" s="87"/>
      <c r="AA14" s="87"/>
      <c r="AB14" s="87"/>
      <c r="AC14" s="88"/>
    </row>
    <row r="15" s="1" customFormat="1" spans="2:32">
      <c r="B15" s="26" t="s">
        <v>18</v>
      </c>
      <c r="C15" s="27"/>
      <c r="D15" s="26" t="s">
        <v>6</v>
      </c>
      <c r="E15" s="27"/>
      <c r="F15" s="26" t="s">
        <v>19</v>
      </c>
      <c r="G15" s="27"/>
      <c r="H15" s="26" t="s">
        <v>20</v>
      </c>
      <c r="I15" s="27"/>
      <c r="J15" s="26" t="s">
        <v>8</v>
      </c>
      <c r="K15" s="27"/>
      <c r="L15" s="26" t="s">
        <v>21</v>
      </c>
      <c r="M15" s="27"/>
      <c r="N15" s="5"/>
      <c r="P15" s="82"/>
      <c r="Q15" s="83"/>
      <c r="R15" s="84"/>
      <c r="S15" s="84"/>
      <c r="T15" s="83"/>
      <c r="U15" s="83"/>
      <c r="V15" s="85"/>
      <c r="W15" s="86"/>
      <c r="X15" s="85"/>
      <c r="Y15" s="84"/>
      <c r="Z15" s="87"/>
      <c r="AA15" s="87"/>
      <c r="AB15" s="87"/>
      <c r="AC15" s="88"/>
    </row>
    <row r="16" s="1" customFormat="1" spans="2:32">
      <c r="B16" s="28" t="s">
        <v>24</v>
      </c>
      <c r="C16" s="29">
        <f>412+587</f>
        <v>999</v>
      </c>
      <c r="D16" s="28" t="s">
        <v>25</v>
      </c>
      <c r="E16" s="30">
        <v>0.6</v>
      </c>
      <c r="F16" s="28" t="s">
        <v>26</v>
      </c>
      <c r="G16" s="31">
        <v>0.05</v>
      </c>
      <c r="H16" s="28" t="s">
        <v>26</v>
      </c>
      <c r="I16" s="30">
        <f>150%+16%</f>
        <v>1.66</v>
      </c>
      <c r="J16" s="32" t="s">
        <v>27</v>
      </c>
      <c r="K16" s="30">
        <f>15%</f>
        <v>0.15</v>
      </c>
      <c r="L16" s="28" t="s">
        <v>28</v>
      </c>
      <c r="M16" s="31">
        <f>8.6%*2</f>
        <v>0.172</v>
      </c>
      <c r="N16" s="5"/>
      <c r="P16" s="82"/>
      <c r="Q16" s="83"/>
      <c r="R16" s="84"/>
      <c r="S16" s="84"/>
      <c r="T16" s="83"/>
      <c r="U16" s="83"/>
      <c r="V16" s="85"/>
      <c r="W16" s="86"/>
      <c r="X16" s="85"/>
      <c r="Y16" s="84"/>
      <c r="Z16" s="87"/>
      <c r="AA16" s="87"/>
      <c r="AB16" s="87"/>
      <c r="AC16" s="88"/>
    </row>
    <row r="17" s="1" customFormat="1" spans="2:31">
      <c r="B17" s="28" t="s">
        <v>31</v>
      </c>
      <c r="C17" s="30">
        <f>12%+12%</f>
        <v>0.24</v>
      </c>
      <c r="D17" s="28" t="s">
        <v>66</v>
      </c>
      <c r="E17" s="30">
        <f>12%+10%+15%+12%</f>
        <v>0.49</v>
      </c>
      <c r="F17" s="28" t="s">
        <v>33</v>
      </c>
      <c r="G17" s="31">
        <v>0.22</v>
      </c>
      <c r="H17" s="28" t="s">
        <v>34</v>
      </c>
      <c r="I17" s="31">
        <f>48.6%+M19</f>
        <v>1.296</v>
      </c>
      <c r="J17" s="33"/>
      <c r="K17" s="31"/>
      <c r="L17" s="28" t="s">
        <v>67</v>
      </c>
      <c r="M17" s="31">
        <f>8.6%*2</f>
        <v>0.172</v>
      </c>
      <c r="N17" s="5"/>
      <c r="P17" s="15" t="s">
        <v>65</v>
      </c>
      <c r="Q17" s="16">
        <v>1.9881</v>
      </c>
      <c r="R17" s="17" t="s">
        <v>23</v>
      </c>
      <c r="S17" s="18">
        <f t="shared" ref="S17:S32" si="10">$C$16</f>
        <v>999</v>
      </c>
      <c r="T17" s="19">
        <f t="shared" ref="T17:T32" si="11">($C$17+$C$18+$C$19+$C$20)+($C$21+$C$22)/S17</f>
        <v>1.73735035035035</v>
      </c>
      <c r="U17" s="19">
        <f>SUM($E$16:$E$20)</f>
        <v>1.21</v>
      </c>
      <c r="V17" s="20">
        <f t="shared" ref="V17:V32" si="12">1+$G$21*($I$21-1)</f>
        <v>3.206</v>
      </c>
      <c r="W17" s="21">
        <f t="shared" ref="W17:W20" si="13">$K$16</f>
        <v>0.15</v>
      </c>
      <c r="X17" s="20">
        <f t="shared" ref="X17:X32" si="14">$AE$7</f>
        <v>0.50131926121372</v>
      </c>
      <c r="Y17" s="18">
        <v>0.9</v>
      </c>
      <c r="Z17" s="22"/>
      <c r="AA17" s="22"/>
      <c r="AB17" s="22"/>
      <c r="AC17" s="23">
        <f t="shared" ref="AC17:AC32" si="15">Q17*S17*(1+T17)*(1+U17)*V17*(1+W17)*X17*Y17*(1+Z17)*(1+AA17)*(1+AB17)</f>
        <v>19986.8628268165</v>
      </c>
      <c r="AD17" s="48"/>
      <c r="AE17" s="48"/>
    </row>
    <row r="18" s="1" customFormat="1" spans="2:31">
      <c r="B18" s="28" t="s">
        <v>39</v>
      </c>
      <c r="C18" s="30">
        <f>18%+18%+M16</f>
        <v>0.532</v>
      </c>
      <c r="D18" s="28" t="s">
        <v>0</v>
      </c>
      <c r="E18" s="30">
        <v>0.12</v>
      </c>
      <c r="F18" s="28" t="s">
        <v>41</v>
      </c>
      <c r="G18" s="31">
        <v>0.2</v>
      </c>
      <c r="H18" s="28"/>
      <c r="I18" s="31"/>
      <c r="J18" s="33"/>
      <c r="K18" s="31"/>
      <c r="L18" s="28" t="s">
        <v>19</v>
      </c>
      <c r="M18" s="31">
        <f>8.1*5%</f>
        <v>0.405</v>
      </c>
      <c r="N18" s="5"/>
      <c r="P18" s="15" t="s">
        <v>68</v>
      </c>
      <c r="Q18" s="16">
        <v>6.3819</v>
      </c>
      <c r="R18" s="17" t="s">
        <v>69</v>
      </c>
      <c r="S18" s="18">
        <f t="shared" si="10"/>
        <v>999</v>
      </c>
      <c r="T18" s="19">
        <f t="shared" si="11"/>
        <v>1.73735035035035</v>
      </c>
      <c r="U18" s="19">
        <f t="shared" ref="U18:U22" si="16">SUM($E$16:$E$20)+$E$21</f>
        <v>1.502</v>
      </c>
      <c r="V18" s="20">
        <f t="shared" si="12"/>
        <v>3.206</v>
      </c>
      <c r="W18" s="21">
        <f t="shared" si="13"/>
        <v>0.15</v>
      </c>
      <c r="X18" s="20">
        <f t="shared" si="14"/>
        <v>0.50131926121372</v>
      </c>
      <c r="Y18" s="18">
        <v>0.9</v>
      </c>
      <c r="Z18" s="22"/>
      <c r="AA18" s="22"/>
      <c r="AB18" s="22"/>
      <c r="AC18" s="23">
        <f t="shared" si="15"/>
        <v>72635.918558386</v>
      </c>
    </row>
    <row r="19" s="1" customFormat="1" spans="2:31">
      <c r="B19" s="28" t="s">
        <v>50</v>
      </c>
      <c r="C19" s="34">
        <f>25%+14%</f>
        <v>0.39</v>
      </c>
      <c r="D19" s="28" t="s">
        <v>73</v>
      </c>
      <c r="E19" s="30"/>
      <c r="F19" s="28" t="s">
        <v>34</v>
      </c>
      <c r="G19" s="31">
        <f>M18</f>
        <v>0.405</v>
      </c>
      <c r="H19" s="28"/>
      <c r="I19" s="31"/>
      <c r="J19" s="33"/>
      <c r="K19" s="31"/>
      <c r="L19" s="28" t="s">
        <v>46</v>
      </c>
      <c r="M19" s="30">
        <f>16.2%*5</f>
        <v>0.81</v>
      </c>
      <c r="N19" s="5"/>
      <c r="P19" s="15" t="s">
        <v>94</v>
      </c>
      <c r="Q19" s="16">
        <f>62.63%*2</f>
        <v>1.2526</v>
      </c>
      <c r="R19" s="17" t="s">
        <v>30</v>
      </c>
      <c r="S19" s="18">
        <f t="shared" si="10"/>
        <v>999</v>
      </c>
      <c r="T19" s="19">
        <f t="shared" si="11"/>
        <v>1.73735035035035</v>
      </c>
      <c r="U19" s="19">
        <f>SUM($E$16:$E$20)</f>
        <v>1.21</v>
      </c>
      <c r="V19" s="20">
        <f t="shared" si="12"/>
        <v>3.206</v>
      </c>
      <c r="W19" s="21">
        <f t="shared" si="13"/>
        <v>0.15</v>
      </c>
      <c r="X19" s="20">
        <f t="shared" si="14"/>
        <v>0.50131926121372</v>
      </c>
      <c r="Y19" s="18">
        <v>0.9</v>
      </c>
      <c r="Z19" s="22"/>
      <c r="AA19" s="22"/>
      <c r="AB19" s="22"/>
      <c r="AC19" s="23">
        <f t="shared" si="15"/>
        <v>12592.6987459737</v>
      </c>
    </row>
    <row r="20" s="1" customFormat="1" spans="2:31">
      <c r="B20" s="28" t="s">
        <v>48</v>
      </c>
      <c r="C20" s="34">
        <v>0.225</v>
      </c>
      <c r="D20" s="28"/>
      <c r="E20" s="35"/>
      <c r="F20" s="28" t="s">
        <v>50</v>
      </c>
      <c r="G20" s="31">
        <v>0.125</v>
      </c>
      <c r="H20" s="28" t="s">
        <v>50</v>
      </c>
      <c r="I20" s="31">
        <v>0.25</v>
      </c>
      <c r="J20" s="33"/>
      <c r="K20" s="31"/>
      <c r="L20" s="28"/>
      <c r="M20" s="29"/>
      <c r="N20" s="5"/>
      <c r="P20" s="15" t="s">
        <v>74</v>
      </c>
      <c r="Q20" s="16">
        <f>59.35%+39.77%*2</f>
        <v>1.3889</v>
      </c>
      <c r="R20" s="17" t="s">
        <v>38</v>
      </c>
      <c r="S20" s="18">
        <f t="shared" si="10"/>
        <v>999</v>
      </c>
      <c r="T20" s="19">
        <f t="shared" si="11"/>
        <v>1.73735035035035</v>
      </c>
      <c r="U20" s="19">
        <f>SUM($E$16:$E$20)+$E$22</f>
        <v>1.21</v>
      </c>
      <c r="V20" s="20">
        <f t="shared" si="12"/>
        <v>3.206</v>
      </c>
      <c r="W20" s="21">
        <f t="shared" si="13"/>
        <v>0.15</v>
      </c>
      <c r="X20" s="20">
        <f t="shared" si="14"/>
        <v>0.50131926121372</v>
      </c>
      <c r="Y20" s="18">
        <v>0.9</v>
      </c>
      <c r="Z20" s="22"/>
      <c r="AA20" s="22"/>
      <c r="AB20" s="22"/>
      <c r="AC20" s="23">
        <f t="shared" si="15"/>
        <v>13962.9564811455</v>
      </c>
    </row>
    <row r="21" s="1" customFormat="1" spans="2:31">
      <c r="B21" s="28" t="s">
        <v>52</v>
      </c>
      <c r="C21" s="29">
        <v>350</v>
      </c>
      <c r="D21" s="28" t="s">
        <v>76</v>
      </c>
      <c r="E21" s="30">
        <f>12%+M17</f>
        <v>0.292</v>
      </c>
      <c r="F21" s="36" t="s">
        <v>53</v>
      </c>
      <c r="G21" s="37">
        <f>MIN(100%,SUM(G16:G20))</f>
        <v>1</v>
      </c>
      <c r="H21" s="36" t="s">
        <v>54</v>
      </c>
      <c r="I21" s="38">
        <f>SUM(I16:I20)</f>
        <v>3.206</v>
      </c>
      <c r="J21" s="33"/>
      <c r="K21" s="31"/>
      <c r="L21" s="28"/>
      <c r="M21" s="29"/>
      <c r="N21" s="5"/>
      <c r="P21" s="15" t="s">
        <v>75</v>
      </c>
      <c r="Q21" s="16">
        <f>82.69%*3</f>
        <v>2.4807</v>
      </c>
      <c r="R21" s="17" t="s">
        <v>69</v>
      </c>
      <c r="S21" s="18">
        <f t="shared" si="10"/>
        <v>999</v>
      </c>
      <c r="T21" s="19">
        <f t="shared" si="11"/>
        <v>1.73735035035035</v>
      </c>
      <c r="U21" s="19">
        <f t="shared" si="16"/>
        <v>1.502</v>
      </c>
      <c r="V21" s="20">
        <f t="shared" si="12"/>
        <v>3.206</v>
      </c>
      <c r="W21" s="21">
        <f>$K$16+256%</f>
        <v>2.71</v>
      </c>
      <c r="X21" s="20">
        <f t="shared" si="14"/>
        <v>0.50131926121372</v>
      </c>
      <c r="Y21" s="18">
        <v>0.9</v>
      </c>
      <c r="Z21" s="22"/>
      <c r="AA21" s="22"/>
      <c r="AB21" s="22"/>
      <c r="AC21" s="23">
        <f t="shared" si="15"/>
        <v>91086.0258942232</v>
      </c>
    </row>
    <row r="22" s="1" customFormat="1" spans="2:31">
      <c r="B22" s="39" t="s">
        <v>56</v>
      </c>
      <c r="C22" s="40"/>
      <c r="D22" s="39" t="s">
        <v>77</v>
      </c>
      <c r="E22" s="41"/>
      <c r="F22" s="39"/>
      <c r="G22" s="42"/>
      <c r="H22" s="39"/>
      <c r="I22" s="40"/>
      <c r="J22" s="43"/>
      <c r="K22" s="42"/>
      <c r="L22" s="39"/>
      <c r="M22" s="40"/>
      <c r="N22" s="5"/>
      <c r="P22" s="15" t="s">
        <v>61</v>
      </c>
      <c r="Q22" s="16">
        <f>118.8%+59.4%*4</f>
        <v>3.564</v>
      </c>
      <c r="R22" s="17" t="s">
        <v>61</v>
      </c>
      <c r="S22" s="18">
        <f t="shared" si="10"/>
        <v>999</v>
      </c>
      <c r="T22" s="19">
        <f t="shared" si="11"/>
        <v>1.73735035035035</v>
      </c>
      <c r="U22" s="19">
        <f t="shared" si="16"/>
        <v>1.502</v>
      </c>
      <c r="V22" s="20">
        <f t="shared" si="12"/>
        <v>3.206</v>
      </c>
      <c r="W22" s="21">
        <f>$K$16</f>
        <v>0.15</v>
      </c>
      <c r="X22" s="20">
        <f t="shared" si="14"/>
        <v>0.50131926121372</v>
      </c>
      <c r="Y22" s="18">
        <v>0.9</v>
      </c>
      <c r="Z22" s="22"/>
      <c r="AA22" s="22"/>
      <c r="AB22" s="22"/>
      <c r="AC22" s="23">
        <f t="shared" si="15"/>
        <v>40563.8467763656</v>
      </c>
    </row>
    <row r="23" s="1" customFormat="1" spans="2:31">
      <c r="B23" s="5"/>
      <c r="C23" s="5"/>
      <c r="D23" s="5"/>
      <c r="E23" s="5"/>
      <c r="F23" s="5"/>
      <c r="G23" s="6"/>
      <c r="H23" s="5"/>
      <c r="I23" s="5"/>
      <c r="J23" s="5"/>
      <c r="K23" s="5"/>
      <c r="L23" s="5"/>
      <c r="M23" s="5"/>
      <c r="N23" s="5"/>
      <c r="P23" s="15" t="s">
        <v>74</v>
      </c>
      <c r="Q23" s="16">
        <f t="shared" ref="Q23:Q28" si="17">59.35%+39.77%*2</f>
        <v>1.3889</v>
      </c>
      <c r="R23" s="17" t="s">
        <v>38</v>
      </c>
      <c r="S23" s="18">
        <f t="shared" si="10"/>
        <v>999</v>
      </c>
      <c r="T23" s="19">
        <f t="shared" si="11"/>
        <v>1.73735035035035</v>
      </c>
      <c r="U23" s="19">
        <f t="shared" ref="U23:U28" si="18">SUM($E$16:$E$20)+$E$22</f>
        <v>1.21</v>
      </c>
      <c r="V23" s="20">
        <f t="shared" si="12"/>
        <v>3.206</v>
      </c>
      <c r="W23" s="21">
        <f t="shared" ref="W22:W26" si="19">$K$16</f>
        <v>0.15</v>
      </c>
      <c r="X23" s="20">
        <f t="shared" si="14"/>
        <v>0.50131926121372</v>
      </c>
      <c r="Y23" s="18">
        <v>0.9</v>
      </c>
      <c r="Z23" s="22"/>
      <c r="AA23" s="22"/>
      <c r="AB23" s="22"/>
      <c r="AC23" s="23">
        <f t="shared" si="15"/>
        <v>13962.9564811455</v>
      </c>
    </row>
    <row r="24" s="1" customFormat="1" ht="15" spans="2:31">
      <c r="B24" s="59" t="s">
        <v>84</v>
      </c>
      <c r="C24" s="5"/>
      <c r="D24" s="5"/>
      <c r="E24" s="5"/>
      <c r="F24" s="5"/>
      <c r="G24" s="6"/>
      <c r="H24" s="5"/>
      <c r="I24" s="5"/>
      <c r="J24" s="5"/>
      <c r="K24" s="5"/>
      <c r="L24" s="5"/>
      <c r="M24" s="5"/>
      <c r="N24" s="5"/>
      <c r="P24" s="15" t="s">
        <v>75</v>
      </c>
      <c r="Q24" s="16">
        <f>82.69%*3</f>
        <v>2.4807</v>
      </c>
      <c r="R24" s="17" t="s">
        <v>69</v>
      </c>
      <c r="S24" s="18">
        <f t="shared" si="10"/>
        <v>999</v>
      </c>
      <c r="T24" s="19">
        <f t="shared" si="11"/>
        <v>1.73735035035035</v>
      </c>
      <c r="U24" s="19">
        <f>SUM($E$16:$E$20)+$E$21</f>
        <v>1.502</v>
      </c>
      <c r="V24" s="20">
        <f t="shared" si="12"/>
        <v>3.206</v>
      </c>
      <c r="W24" s="21">
        <f>$K$16+256%</f>
        <v>2.71</v>
      </c>
      <c r="X24" s="20">
        <f t="shared" si="14"/>
        <v>0.50131926121372</v>
      </c>
      <c r="Y24" s="18">
        <v>0.9</v>
      </c>
      <c r="Z24" s="22"/>
      <c r="AA24" s="22"/>
      <c r="AB24" s="22"/>
      <c r="AC24" s="23">
        <f t="shared" si="15"/>
        <v>91086.0258942232</v>
      </c>
    </row>
    <row r="25" s="1" customFormat="1" spans="2:31">
      <c r="B25" s="60" t="s">
        <v>85</v>
      </c>
      <c r="C25" s="60" t="s">
        <v>86</v>
      </c>
      <c r="D25" s="60" t="s">
        <v>87</v>
      </c>
      <c r="E25" s="60" t="s">
        <v>88</v>
      </c>
      <c r="F25" s="61"/>
      <c r="G25" s="6"/>
      <c r="H25" s="5"/>
      <c r="I25" s="5"/>
      <c r="J25" s="5"/>
      <c r="K25" s="5"/>
      <c r="L25" s="5"/>
      <c r="M25" s="5"/>
      <c r="N25" s="5"/>
      <c r="P25" s="15" t="s">
        <v>78</v>
      </c>
      <c r="Q25" s="16">
        <v>4.016</v>
      </c>
      <c r="R25" s="17" t="s">
        <v>44</v>
      </c>
      <c r="S25" s="18">
        <f t="shared" si="10"/>
        <v>999</v>
      </c>
      <c r="T25" s="19">
        <f t="shared" si="11"/>
        <v>1.73735035035035</v>
      </c>
      <c r="U25" s="19">
        <f t="shared" ref="U25:U30" si="20">SUM($E$16:$E$20)</f>
        <v>1.21</v>
      </c>
      <c r="V25" s="20">
        <f t="shared" si="12"/>
        <v>3.206</v>
      </c>
      <c r="W25" s="21">
        <f t="shared" si="19"/>
        <v>0.15</v>
      </c>
      <c r="X25" s="20">
        <f t="shared" si="14"/>
        <v>0.50131926121372</v>
      </c>
      <c r="Y25" s="18">
        <v>0.9</v>
      </c>
      <c r="Z25" s="22">
        <v>2.55</v>
      </c>
      <c r="AA25" s="22"/>
      <c r="AB25" s="22"/>
      <c r="AC25" s="23">
        <f t="shared" si="15"/>
        <v>143327.149514289</v>
      </c>
    </row>
    <row r="26" s="1" customFormat="1" spans="2:31">
      <c r="B26" s="62" t="s">
        <v>79</v>
      </c>
      <c r="C26" s="62">
        <v>282182</v>
      </c>
      <c r="D26" s="62">
        <f>C26/E26</f>
        <v>11287.28</v>
      </c>
      <c r="E26" s="61">
        <v>25</v>
      </c>
      <c r="F26" s="61"/>
      <c r="G26" s="6"/>
      <c r="H26" s="5"/>
      <c r="I26" s="5"/>
      <c r="J26" s="5"/>
      <c r="K26" s="5"/>
      <c r="L26" s="5"/>
      <c r="M26" s="5"/>
      <c r="N26" s="5"/>
      <c r="P26" s="15" t="s">
        <v>74</v>
      </c>
      <c r="Q26" s="16">
        <f t="shared" si="17"/>
        <v>1.3889</v>
      </c>
      <c r="R26" s="17" t="s">
        <v>38</v>
      </c>
      <c r="S26" s="18">
        <f t="shared" si="10"/>
        <v>999</v>
      </c>
      <c r="T26" s="19">
        <f t="shared" si="11"/>
        <v>1.73735035035035</v>
      </c>
      <c r="U26" s="19">
        <f t="shared" si="18"/>
        <v>1.21</v>
      </c>
      <c r="V26" s="20">
        <f t="shared" si="12"/>
        <v>3.206</v>
      </c>
      <c r="W26" s="21">
        <f t="shared" si="19"/>
        <v>0.15</v>
      </c>
      <c r="X26" s="20">
        <f t="shared" si="14"/>
        <v>0.50131926121372</v>
      </c>
      <c r="Y26" s="18">
        <v>0.9</v>
      </c>
      <c r="Z26" s="22"/>
      <c r="AA26" s="22"/>
      <c r="AB26" s="22"/>
      <c r="AC26" s="23">
        <f t="shared" si="15"/>
        <v>13962.9564811455</v>
      </c>
    </row>
    <row r="27" s="1" customFormat="1" spans="2:31">
      <c r="B27" s="62" t="s">
        <v>63</v>
      </c>
      <c r="C27" s="62">
        <f>SUM(AC17:AC32)</f>
        <v>923072.213462178</v>
      </c>
      <c r="D27" s="62">
        <f>C27/E26</f>
        <v>36922.8885384871</v>
      </c>
      <c r="E27" s="6"/>
      <c r="F27" s="5"/>
      <c r="G27" s="6"/>
      <c r="H27" s="5"/>
      <c r="I27" s="5"/>
      <c r="J27" s="5"/>
      <c r="K27" s="5">
        <v>36937</v>
      </c>
      <c r="L27" s="5"/>
      <c r="M27" s="5"/>
      <c r="N27" s="5"/>
      <c r="P27" s="15" t="s">
        <v>75</v>
      </c>
      <c r="Q27" s="16">
        <f>82.69%*3</f>
        <v>2.4807</v>
      </c>
      <c r="R27" s="17" t="s">
        <v>69</v>
      </c>
      <c r="S27" s="18">
        <f t="shared" si="10"/>
        <v>999</v>
      </c>
      <c r="T27" s="19">
        <f t="shared" si="11"/>
        <v>1.73735035035035</v>
      </c>
      <c r="U27" s="19">
        <f>SUM($E$16:$E$20)+$E$21</f>
        <v>1.502</v>
      </c>
      <c r="V27" s="20">
        <f t="shared" si="12"/>
        <v>3.206</v>
      </c>
      <c r="W27" s="21">
        <f>$K$16+256%</f>
        <v>2.71</v>
      </c>
      <c r="X27" s="20">
        <f t="shared" si="14"/>
        <v>0.50131926121372</v>
      </c>
      <c r="Y27" s="18">
        <v>0.9</v>
      </c>
      <c r="Z27" s="22"/>
      <c r="AA27" s="22"/>
      <c r="AB27" s="22"/>
      <c r="AC27" s="23">
        <f t="shared" si="15"/>
        <v>91086.0258942232</v>
      </c>
    </row>
    <row r="28" s="1" customFormat="1" spans="2:31">
      <c r="B28" s="62" t="s">
        <v>50</v>
      </c>
      <c r="C28" s="62">
        <v>50000</v>
      </c>
      <c r="D28" s="62">
        <f>C28/E26</f>
        <v>2000</v>
      </c>
      <c r="E28" s="5"/>
      <c r="F28" s="5"/>
      <c r="G28" s="6"/>
      <c r="H28" s="5"/>
      <c r="I28" s="5"/>
      <c r="J28" s="5"/>
      <c r="K28" s="5">
        <v>38593</v>
      </c>
      <c r="L28" s="5">
        <f>K28/K27</f>
        <v>1.0448330941874</v>
      </c>
      <c r="M28" s="5"/>
      <c r="N28" s="5"/>
      <c r="P28" s="15" t="s">
        <v>74</v>
      </c>
      <c r="Q28" s="16">
        <f t="shared" si="17"/>
        <v>1.3889</v>
      </c>
      <c r="R28" s="17" t="s">
        <v>38</v>
      </c>
      <c r="S28" s="18">
        <f t="shared" si="10"/>
        <v>999</v>
      </c>
      <c r="T28" s="19">
        <f t="shared" si="11"/>
        <v>1.73735035035035</v>
      </c>
      <c r="U28" s="19">
        <f t="shared" si="18"/>
        <v>1.21</v>
      </c>
      <c r="V28" s="20">
        <f t="shared" si="12"/>
        <v>3.206</v>
      </c>
      <c r="W28" s="21">
        <f>$K$16</f>
        <v>0.15</v>
      </c>
      <c r="X28" s="20">
        <f t="shared" si="14"/>
        <v>0.50131926121372</v>
      </c>
      <c r="Y28" s="18">
        <v>0.9</v>
      </c>
      <c r="Z28" s="22"/>
      <c r="AA28" s="22"/>
      <c r="AB28" s="22"/>
      <c r="AC28" s="23">
        <f t="shared" si="15"/>
        <v>13962.9564811455</v>
      </c>
    </row>
    <row r="29" s="1" customFormat="1" spans="2:31">
      <c r="B29" s="62" t="s">
        <v>89</v>
      </c>
      <c r="C29" s="62">
        <f>D29*E26</f>
        <v>44775</v>
      </c>
      <c r="D29" s="62">
        <v>1791</v>
      </c>
      <c r="E29" s="5"/>
      <c r="F29" s="5"/>
      <c r="G29" s="6"/>
      <c r="H29" s="5"/>
      <c r="I29" s="5"/>
      <c r="J29" s="5"/>
      <c r="K29" s="5">
        <v>36923</v>
      </c>
      <c r="L29" s="5">
        <f>K29/K27</f>
        <v>0.99962097625687</v>
      </c>
      <c r="M29" s="5"/>
      <c r="N29" s="5"/>
      <c r="P29" s="15" t="s">
        <v>95</v>
      </c>
      <c r="Q29" s="16">
        <f>62.63%*2</f>
        <v>1.2526</v>
      </c>
      <c r="R29" s="17" t="s">
        <v>30</v>
      </c>
      <c r="S29" s="18">
        <f t="shared" si="10"/>
        <v>999</v>
      </c>
      <c r="T29" s="19">
        <f t="shared" si="11"/>
        <v>1.73735035035035</v>
      </c>
      <c r="U29" s="19">
        <f t="shared" si="20"/>
        <v>1.21</v>
      </c>
      <c r="V29" s="20">
        <f t="shared" si="12"/>
        <v>3.206</v>
      </c>
      <c r="W29" s="21">
        <f>$K$16</f>
        <v>0.15</v>
      </c>
      <c r="X29" s="20">
        <f t="shared" si="14"/>
        <v>0.50131926121372</v>
      </c>
      <c r="Y29" s="18">
        <v>0.9</v>
      </c>
      <c r="Z29" s="22"/>
      <c r="AA29" s="22"/>
      <c r="AB29" s="22"/>
      <c r="AC29" s="23">
        <f t="shared" si="15"/>
        <v>12592.6987459737</v>
      </c>
    </row>
    <row r="30" s="1" customFormat="1" spans="2:31">
      <c r="B30" s="62" t="s">
        <v>90</v>
      </c>
      <c r="C30" s="62">
        <f>C26+C27+C28+C29</f>
        <v>1300029.21346218</v>
      </c>
      <c r="D30" s="62">
        <f>C30/E26</f>
        <v>52001.1685384871</v>
      </c>
      <c r="E30" s="5"/>
      <c r="F30" s="5"/>
      <c r="G30" s="6"/>
      <c r="H30" s="5"/>
      <c r="I30" s="5"/>
      <c r="J30" s="5"/>
      <c r="K30" s="5"/>
      <c r="L30" s="5"/>
      <c r="M30" s="5"/>
      <c r="N30" s="5"/>
      <c r="P30" s="15" t="s">
        <v>94</v>
      </c>
      <c r="Q30" s="16">
        <f>62.63%*2</f>
        <v>1.2526</v>
      </c>
      <c r="R30" s="17" t="s">
        <v>30</v>
      </c>
      <c r="S30" s="18">
        <f t="shared" si="10"/>
        <v>999</v>
      </c>
      <c r="T30" s="19">
        <f t="shared" si="11"/>
        <v>1.73735035035035</v>
      </c>
      <c r="U30" s="19">
        <f t="shared" si="20"/>
        <v>1.21</v>
      </c>
      <c r="V30" s="20">
        <f t="shared" si="12"/>
        <v>3.206</v>
      </c>
      <c r="W30" s="21">
        <f>$K$16</f>
        <v>0.15</v>
      </c>
      <c r="X30" s="20">
        <f t="shared" si="14"/>
        <v>0.50131926121372</v>
      </c>
      <c r="Y30" s="18">
        <v>0.9</v>
      </c>
      <c r="Z30" s="22"/>
      <c r="AA30" s="22"/>
      <c r="AB30" s="22"/>
      <c r="AC30" s="23">
        <f t="shared" si="15"/>
        <v>12592.6987459737</v>
      </c>
    </row>
    <row r="31" s="1" customFormat="1" spans="2:31">
      <c r="B31" s="62"/>
      <c r="C31" s="62"/>
      <c r="D31" s="62"/>
      <c r="E31" s="5"/>
      <c r="F31" s="5"/>
      <c r="G31" s="6"/>
      <c r="H31" s="5">
        <v>334890</v>
      </c>
      <c r="I31" s="5"/>
      <c r="J31" s="5"/>
      <c r="K31" s="5"/>
      <c r="L31" s="5"/>
      <c r="M31" s="5"/>
      <c r="N31" s="5"/>
      <c r="P31" s="15" t="s">
        <v>75</v>
      </c>
      <c r="Q31" s="16">
        <f>82.69%*3</f>
        <v>2.4807</v>
      </c>
      <c r="R31" s="17" t="s">
        <v>69</v>
      </c>
      <c r="S31" s="18">
        <f t="shared" si="10"/>
        <v>999</v>
      </c>
      <c r="T31" s="19">
        <f t="shared" si="11"/>
        <v>1.73735035035035</v>
      </c>
      <c r="U31" s="19">
        <f>SUM($E$16:$E$20)+$E$21</f>
        <v>1.502</v>
      </c>
      <c r="V31" s="20">
        <f t="shared" si="12"/>
        <v>3.206</v>
      </c>
      <c r="W31" s="21">
        <f>$K$16+256%</f>
        <v>2.71</v>
      </c>
      <c r="X31" s="20">
        <f t="shared" si="14"/>
        <v>0.50131926121372</v>
      </c>
      <c r="Y31" s="18">
        <v>0.9</v>
      </c>
      <c r="Z31" s="22"/>
      <c r="AA31" s="22"/>
      <c r="AB31" s="22"/>
      <c r="AC31" s="23">
        <f t="shared" si="15"/>
        <v>91086.0258942232</v>
      </c>
    </row>
    <row r="32" s="1" customFormat="1" spans="2:31">
      <c r="B32" s="62"/>
      <c r="C32" s="62"/>
      <c r="D32" s="62"/>
      <c r="E32" s="5"/>
      <c r="F32" s="5"/>
      <c r="G32" s="6"/>
      <c r="H32" s="5"/>
      <c r="I32" s="5"/>
      <c r="J32" s="5"/>
      <c r="K32" s="5"/>
      <c r="L32" s="5"/>
      <c r="M32" s="5"/>
      <c r="N32" s="5"/>
      <c r="P32" s="47" t="s">
        <v>81</v>
      </c>
      <c r="Q32" s="19">
        <f>528.41%</f>
        <v>5.2841</v>
      </c>
      <c r="R32" s="18" t="s">
        <v>82</v>
      </c>
      <c r="S32" s="18">
        <f t="shared" si="10"/>
        <v>999</v>
      </c>
      <c r="T32" s="19">
        <f t="shared" si="11"/>
        <v>1.73735035035035</v>
      </c>
      <c r="U32" s="19">
        <f>SUM($E$16:$E$20)</f>
        <v>1.21</v>
      </c>
      <c r="V32" s="20">
        <f t="shared" si="12"/>
        <v>3.206</v>
      </c>
      <c r="W32" s="21">
        <f>$K$16</f>
        <v>0.15</v>
      </c>
      <c r="X32" s="20">
        <f t="shared" si="14"/>
        <v>0.50131926121372</v>
      </c>
      <c r="Y32" s="18">
        <v>0.9</v>
      </c>
      <c r="Z32" s="22">
        <v>2.55</v>
      </c>
      <c r="AA32" s="22"/>
      <c r="AB32" s="22"/>
      <c r="AC32" s="23">
        <f t="shared" si="15"/>
        <v>188584.410046925</v>
      </c>
    </row>
    <row r="33" s="1" customFormat="1" spans="2:29">
      <c r="B33" s="5"/>
      <c r="C33" s="5"/>
      <c r="D33" s="5"/>
      <c r="E33" s="5"/>
      <c r="G33" s="6"/>
      <c r="H33" s="5"/>
      <c r="I33" s="5"/>
      <c r="J33" s="5"/>
      <c r="K33" s="5"/>
      <c r="L33" s="5"/>
      <c r="M33" s="5"/>
      <c r="N33" s="5"/>
      <c r="P33" s="5"/>
      <c r="Q33" s="5"/>
      <c r="R33" s="5"/>
      <c r="S33" s="5"/>
      <c r="T33" s="5"/>
      <c r="U33" s="6"/>
      <c r="V33" s="99"/>
      <c r="W33" s="5"/>
      <c r="X33" s="5"/>
      <c r="Y33" s="5"/>
      <c r="Z33" s="5"/>
      <c r="AA33" s="5"/>
      <c r="AB33" s="62"/>
      <c r="AC33" s="62"/>
    </row>
    <row r="34" s="1" customFormat="1" spans="2:29">
      <c r="B34" s="5"/>
      <c r="C34" s="5"/>
      <c r="D34" s="5"/>
      <c r="E34" s="5"/>
      <c r="F34" s="62"/>
      <c r="G34" s="2"/>
      <c r="N34" s="5"/>
      <c r="P34" s="100"/>
      <c r="Q34" s="100"/>
      <c r="R34" s="100"/>
      <c r="S34" s="100"/>
      <c r="T34" s="100"/>
      <c r="U34" s="101"/>
      <c r="V34" s="102"/>
      <c r="W34" s="100"/>
      <c r="X34" s="100"/>
      <c r="Y34" s="100"/>
      <c r="Z34" s="100"/>
      <c r="AA34" s="100"/>
      <c r="AB34" s="62"/>
      <c r="AC34" s="62"/>
    </row>
    <row r="35" s="1" customFormat="1" spans="2:29">
      <c r="B35" s="62"/>
      <c r="C35" s="62"/>
      <c r="D35" s="62"/>
      <c r="E35" s="5"/>
      <c r="F35" s="62"/>
      <c r="N35" s="5"/>
      <c r="U35" s="2"/>
      <c r="V35" s="3"/>
      <c r="AB35" s="4"/>
      <c r="AC35" s="4"/>
    </row>
    <row r="36" s="1" customFormat="1" ht="20" customHeight="1" spans="2:29">
      <c r="B36" s="62"/>
      <c r="C36" s="62"/>
      <c r="D36" s="62"/>
      <c r="E36" s="5"/>
      <c r="F36" s="5"/>
      <c r="G36" s="2"/>
      <c r="N36" s="5"/>
      <c r="Q36" s="2"/>
      <c r="U36" s="2"/>
      <c r="V36" s="3"/>
      <c r="AB36" s="4"/>
      <c r="AC36" s="4"/>
    </row>
    <row r="37" s="1" customFormat="1" ht="20" customHeight="1" spans="2:29">
      <c r="B37" s="5"/>
      <c r="C37" s="5"/>
      <c r="D37" s="5"/>
      <c r="E37" s="5"/>
      <c r="F37" s="62"/>
      <c r="G37" s="2"/>
      <c r="N37" s="5"/>
      <c r="Q37" s="2"/>
      <c r="U37" s="2"/>
      <c r="V37" s="3"/>
      <c r="AB37" s="4"/>
      <c r="AC37" s="4"/>
    </row>
    <row r="38" s="1" customFormat="1" ht="20" customHeight="1" spans="2:29">
      <c r="B38" s="62"/>
      <c r="C38" s="62"/>
      <c r="D38" s="62"/>
      <c r="E38" s="5"/>
      <c r="F38" s="62"/>
      <c r="G38" s="2"/>
      <c r="N38" s="5"/>
      <c r="Q38" s="103"/>
      <c r="U38" s="2"/>
      <c r="V38" s="103"/>
      <c r="AB38" s="4"/>
      <c r="AC38" s="4"/>
    </row>
    <row r="39" s="1" customFormat="1" ht="20" customHeight="1" spans="2:29">
      <c r="B39" s="62"/>
      <c r="C39" s="62"/>
      <c r="D39" s="62"/>
      <c r="E39" s="5"/>
      <c r="F39" s="5"/>
      <c r="G39" s="2"/>
      <c r="N39" s="5"/>
      <c r="Q39" s="103"/>
      <c r="U39" s="2"/>
      <c r="V39" s="103"/>
      <c r="AB39" s="4"/>
      <c r="AC39" s="4"/>
    </row>
    <row r="40" s="1" customFormat="1" ht="20" customHeight="1" spans="2:29">
      <c r="B40" s="5"/>
      <c r="C40" s="5"/>
      <c r="D40" s="5"/>
      <c r="E40" s="5"/>
      <c r="F40" s="62"/>
      <c r="G40" s="2"/>
      <c r="N40" s="5"/>
      <c r="Q40" s="103"/>
      <c r="V40" s="103"/>
      <c r="AB40" s="4"/>
      <c r="AC40" s="4"/>
    </row>
    <row r="41" s="1" customFormat="1" ht="20" customHeight="1" spans="2:29">
      <c r="B41" s="62"/>
      <c r="C41" s="62"/>
      <c r="D41" s="62"/>
      <c r="E41" s="5"/>
      <c r="F41" s="62"/>
      <c r="G41" s="2"/>
      <c r="N41" s="5"/>
      <c r="Q41" s="104"/>
      <c r="U41" s="2"/>
      <c r="V41" s="2"/>
      <c r="AB41" s="4"/>
      <c r="AC41" s="4"/>
    </row>
    <row r="42" s="1" customFormat="1" ht="20" customHeight="1" spans="2:29">
      <c r="B42" s="62"/>
      <c r="C42" s="62"/>
      <c r="D42" s="62"/>
      <c r="E42" s="5"/>
      <c r="F42" s="5"/>
      <c r="G42" s="2"/>
      <c r="N42" s="5"/>
      <c r="Q42" s="2"/>
      <c r="U42" s="2"/>
      <c r="V42" s="3"/>
      <c r="AB42" s="4"/>
      <c r="AC42" s="4"/>
    </row>
    <row r="43" s="1" customFormat="1" spans="2:29">
      <c r="B43" s="5"/>
      <c r="C43" s="5"/>
      <c r="D43" s="5"/>
      <c r="E43" s="5"/>
      <c r="F43" s="62"/>
      <c r="G43" s="2"/>
      <c r="N43" s="5"/>
      <c r="Q43" s="2"/>
      <c r="U43" s="2"/>
      <c r="V43" s="3"/>
      <c r="AB43" s="4"/>
      <c r="AC43" s="4"/>
    </row>
    <row r="44" s="1" customFormat="1" spans="2:29">
      <c r="B44" s="62"/>
      <c r="C44" s="62"/>
      <c r="D44" s="62"/>
      <c r="E44" s="5"/>
      <c r="G44" s="2"/>
      <c r="N44" s="5"/>
      <c r="Q44" s="2"/>
      <c r="U44" s="2"/>
      <c r="V44" s="3"/>
      <c r="AB44" s="4"/>
      <c r="AC44" s="4"/>
    </row>
    <row r="45" s="1" customFormat="1" spans="2:29">
      <c r="G45" s="2"/>
      <c r="N45" s="5"/>
      <c r="Q45" s="2"/>
      <c r="U45" s="2"/>
      <c r="V45" s="3"/>
      <c r="AB45" s="4"/>
      <c r="AC45" s="4"/>
    </row>
    <row r="46" s="1" customFormat="1" spans="2:29">
      <c r="G46" s="2"/>
      <c r="N46" s="5"/>
      <c r="Q46" s="2"/>
      <c r="U46" s="2"/>
      <c r="V46" s="3"/>
      <c r="AB46" s="4"/>
      <c r="AC46" s="4"/>
    </row>
    <row r="47" s="1" customFormat="1" spans="2:29">
      <c r="G47" s="2"/>
      <c r="N47" s="5"/>
      <c r="Q47" s="2"/>
      <c r="U47" s="2"/>
      <c r="V47" s="3"/>
      <c r="AB47" s="4"/>
      <c r="AC47" s="4"/>
    </row>
    <row r="48" s="1" customFormat="1" spans="2:29">
      <c r="G48" s="2"/>
      <c r="N48" s="5"/>
      <c r="Q48" s="2"/>
      <c r="U48" s="2"/>
      <c r="V48" s="3"/>
      <c r="AB48" s="4"/>
      <c r="AC48" s="4"/>
    </row>
    <row r="49" s="1" customFormat="1" spans="7:29">
      <c r="G49" s="2"/>
      <c r="N49" s="5"/>
      <c r="Q49" s="2"/>
      <c r="U49" s="2"/>
      <c r="V49" s="3"/>
      <c r="AB49" s="4"/>
      <c r="AC49" s="4"/>
    </row>
    <row r="50" s="1" customFormat="1" spans="7:29">
      <c r="G50" s="2"/>
      <c r="N50" s="5"/>
      <c r="Q50" s="2"/>
      <c r="U50" s="2"/>
      <c r="V50" s="3"/>
      <c r="AB50" s="4"/>
      <c r="AC50" s="4"/>
    </row>
    <row r="51" s="1" customFormat="1" spans="7:29">
      <c r="G51" s="2"/>
      <c r="N51" s="5"/>
      <c r="Q51" s="2"/>
      <c r="U51" s="2"/>
      <c r="V51" s="3"/>
      <c r="AB51" s="4"/>
      <c r="AC51" s="4"/>
    </row>
    <row r="52" s="1" customFormat="1" spans="7:29">
      <c r="G52" s="2"/>
      <c r="N52" s="5"/>
      <c r="Q52" s="2"/>
      <c r="U52" s="2"/>
      <c r="V52" s="3"/>
      <c r="AB52" s="4"/>
      <c r="AC52" s="4"/>
    </row>
    <row r="53" s="1" customFormat="1" spans="7:29">
      <c r="G53" s="2"/>
      <c r="N53" s="5"/>
      <c r="Q53" s="2"/>
      <c r="U53" s="2"/>
      <c r="V53" s="3"/>
      <c r="AB53" s="4"/>
      <c r="AC53" s="4"/>
    </row>
    <row r="54" s="1" customFormat="1" spans="7:29">
      <c r="G54" s="2"/>
      <c r="N54" s="5"/>
      <c r="Q54" s="2"/>
      <c r="U54" s="2"/>
      <c r="V54" s="3"/>
      <c r="AB54" s="4"/>
      <c r="AC54" s="4"/>
    </row>
    <row r="55" s="1" customFormat="1" spans="7:29">
      <c r="G55" s="2"/>
      <c r="N55" s="5"/>
      <c r="Q55" s="2"/>
      <c r="U55" s="2"/>
      <c r="V55" s="3"/>
      <c r="AB55" s="4"/>
      <c r="AC55" s="4"/>
    </row>
    <row r="56" s="1" customFormat="1" spans="7:29">
      <c r="G56" s="2"/>
      <c r="N56" s="5"/>
      <c r="Q56" s="2"/>
      <c r="U56" s="2"/>
      <c r="V56" s="3"/>
      <c r="AB56" s="4"/>
      <c r="AC56" s="4"/>
    </row>
    <row r="57" s="1" customFormat="1" spans="7:29">
      <c r="G57" s="2"/>
      <c r="N57" s="5"/>
      <c r="Q57" s="2"/>
      <c r="U57" s="2"/>
      <c r="V57" s="3"/>
      <c r="AB57" s="4"/>
      <c r="AC57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57"/>
  <sheetViews>
    <sheetView topLeftCell="A7" workbookViewId="0">
      <selection activeCell="F38" sqref="F3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5.1818181818182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11.8181818181818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4" width="9.69090909090909" style="1"/>
  </cols>
  <sheetData>
    <row r="1" ht="14.75"/>
    <row r="2" s="1" customFormat="1" ht="15" spans="2:32"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4" t="s">
        <v>9</v>
      </c>
      <c r="AF2" s="14" t="s">
        <v>17</v>
      </c>
    </row>
    <row r="3" s="1" customFormat="1" spans="2:32">
      <c r="B3" s="64" t="s">
        <v>18</v>
      </c>
      <c r="C3" s="65"/>
      <c r="D3" s="64" t="s">
        <v>6</v>
      </c>
      <c r="E3" s="65"/>
      <c r="F3" s="64" t="s">
        <v>19</v>
      </c>
      <c r="G3" s="65"/>
      <c r="H3" s="64" t="s">
        <v>20</v>
      </c>
      <c r="I3" s="65"/>
      <c r="J3" s="64" t="s">
        <v>8</v>
      </c>
      <c r="K3" s="65"/>
      <c r="L3" s="64" t="s">
        <v>21</v>
      </c>
      <c r="M3" s="65"/>
      <c r="N3" s="5"/>
      <c r="P3" s="89" t="s">
        <v>22</v>
      </c>
      <c r="Q3" s="83">
        <v>2</v>
      </c>
      <c r="R3" s="84" t="s">
        <v>23</v>
      </c>
      <c r="S3" s="84">
        <f t="shared" ref="S3:S13" si="0">$C$4</f>
        <v>937</v>
      </c>
      <c r="T3" s="83">
        <f t="shared" ref="T3:T13" si="1">($C$5+$C$6+$C$7+$C$8)+($C$9+$C$10)/S3</f>
        <v>1.7355325506937</v>
      </c>
      <c r="U3" s="83">
        <f t="shared" ref="U3:U6" si="2">SUM($E$4:$E$7)</f>
        <v>1.51</v>
      </c>
      <c r="V3" s="85">
        <f t="shared" ref="V3:V13" si="3">1+$G$9*($I$9-1)</f>
        <v>2.7954</v>
      </c>
      <c r="W3" s="86">
        <f t="shared" ref="W3:W13" si="4">$K$4</f>
        <v>0.15</v>
      </c>
      <c r="X3" s="85">
        <f t="shared" ref="X3:X13" si="5">$AE$4</f>
        <v>0.569476082004556</v>
      </c>
      <c r="Y3" s="84">
        <v>0.8</v>
      </c>
      <c r="Z3" s="87">
        <v>0</v>
      </c>
      <c r="AA3" s="87">
        <v>0</v>
      </c>
      <c r="AB3" s="87">
        <v>0</v>
      </c>
      <c r="AC3" s="88">
        <f t="shared" ref="AC3:AC13" si="6">Q3*S3*(1+T3)*(1+U3)*V3*(1+W3)*X3*Y3*(1+Z3)*(1+AA3)*(1+AB3)</f>
        <v>18844.8407409452</v>
      </c>
      <c r="AD3" s="13">
        <v>0</v>
      </c>
      <c r="AE3" s="14">
        <f t="shared" ref="AE3:AE8" si="7">1520/(1520+(792+8*AF3)*(1-AD3/100))</f>
        <v>0.50131926121372</v>
      </c>
      <c r="AF3" s="24">
        <v>90</v>
      </c>
    </row>
    <row r="4" s="1" customFormat="1" spans="2:32">
      <c r="B4" s="66" t="s">
        <v>24</v>
      </c>
      <c r="C4" s="67">
        <v>937</v>
      </c>
      <c r="D4" s="66" t="s">
        <v>25</v>
      </c>
      <c r="E4" s="68">
        <v>0.6</v>
      </c>
      <c r="F4" s="66" t="s">
        <v>26</v>
      </c>
      <c r="G4" s="69">
        <v>0.05</v>
      </c>
      <c r="H4" s="66" t="s">
        <v>26</v>
      </c>
      <c r="I4" s="68">
        <f>150%+16%</f>
        <v>1.66</v>
      </c>
      <c r="J4" s="70" t="s">
        <v>27</v>
      </c>
      <c r="K4" s="68">
        <f>15%</f>
        <v>0.15</v>
      </c>
      <c r="L4" s="66" t="s">
        <v>28</v>
      </c>
      <c r="M4" s="69">
        <f>8.6%*2</f>
        <v>0.172</v>
      </c>
      <c r="N4" s="5"/>
      <c r="P4" s="82" t="s">
        <v>93</v>
      </c>
      <c r="Q4" s="83">
        <f>9.55%+19.09%+66.81%</f>
        <v>0.9545</v>
      </c>
      <c r="R4" s="84" t="s">
        <v>38</v>
      </c>
      <c r="S4" s="84">
        <f t="shared" si="0"/>
        <v>937</v>
      </c>
      <c r="T4" s="83">
        <f t="shared" si="1"/>
        <v>1.7355325506937</v>
      </c>
      <c r="U4" s="83">
        <f t="shared" si="2"/>
        <v>1.51</v>
      </c>
      <c r="V4" s="85">
        <f t="shared" si="3"/>
        <v>2.7954</v>
      </c>
      <c r="W4" s="86">
        <f t="shared" si="4"/>
        <v>0.15</v>
      </c>
      <c r="X4" s="85">
        <f t="shared" si="5"/>
        <v>0.569476082004556</v>
      </c>
      <c r="Y4" s="84">
        <v>0.8</v>
      </c>
      <c r="Z4" s="87">
        <v>0</v>
      </c>
      <c r="AA4" s="87">
        <v>0</v>
      </c>
      <c r="AB4" s="87">
        <v>0</v>
      </c>
      <c r="AC4" s="88">
        <f t="shared" si="6"/>
        <v>8993.70024361611</v>
      </c>
      <c r="AD4" s="13">
        <v>24</v>
      </c>
      <c r="AE4" s="14">
        <f t="shared" si="7"/>
        <v>0.569476082004556</v>
      </c>
      <c r="AF4" s="24">
        <v>90</v>
      </c>
    </row>
    <row r="5" s="1" customFormat="1" spans="2:32">
      <c r="B5" s="66" t="s">
        <v>31</v>
      </c>
      <c r="C5" s="68">
        <f>12%+12%</f>
        <v>0.24</v>
      </c>
      <c r="D5" s="66" t="s">
        <v>32</v>
      </c>
      <c r="E5" s="68">
        <f>35%+12%</f>
        <v>0.47</v>
      </c>
      <c r="F5" s="66" t="s">
        <v>33</v>
      </c>
      <c r="G5" s="69">
        <v>0.36</v>
      </c>
      <c r="H5" s="66" t="s">
        <v>34</v>
      </c>
      <c r="I5" s="69">
        <f>M7+44%</f>
        <v>1.25</v>
      </c>
      <c r="J5" s="71" t="s">
        <v>35</v>
      </c>
      <c r="K5" s="69"/>
      <c r="L5" s="66" t="s">
        <v>36</v>
      </c>
      <c r="M5" s="69">
        <f>8.6%*2</f>
        <v>0.172</v>
      </c>
      <c r="N5" s="5"/>
      <c r="P5" s="82" t="s">
        <v>29</v>
      </c>
      <c r="Q5" s="83">
        <v>0.3937</v>
      </c>
      <c r="R5" s="84" t="s">
        <v>30</v>
      </c>
      <c r="S5" s="84">
        <f t="shared" si="0"/>
        <v>937</v>
      </c>
      <c r="T5" s="83">
        <f t="shared" si="1"/>
        <v>1.7355325506937</v>
      </c>
      <c r="U5" s="83">
        <f t="shared" si="2"/>
        <v>1.51</v>
      </c>
      <c r="V5" s="85">
        <f t="shared" si="3"/>
        <v>2.7954</v>
      </c>
      <c r="W5" s="86">
        <f t="shared" si="4"/>
        <v>0.15</v>
      </c>
      <c r="X5" s="85">
        <f t="shared" si="5"/>
        <v>0.569476082004556</v>
      </c>
      <c r="Y5" s="84">
        <v>0.8</v>
      </c>
      <c r="Z5" s="87">
        <v>0</v>
      </c>
      <c r="AA5" s="87">
        <v>0</v>
      </c>
      <c r="AB5" s="87">
        <v>0</v>
      </c>
      <c r="AC5" s="88">
        <f t="shared" si="6"/>
        <v>3709.60689985507</v>
      </c>
      <c r="AD5" s="13">
        <v>14.4</v>
      </c>
      <c r="AE5" s="14">
        <f t="shared" si="7"/>
        <v>0.540104154822277</v>
      </c>
      <c r="AF5" s="24">
        <v>90</v>
      </c>
    </row>
    <row r="6" s="1" customFormat="1" spans="2:32">
      <c r="B6" s="66" t="s">
        <v>39</v>
      </c>
      <c r="C6" s="68">
        <f>18%+18%+M4</f>
        <v>0.532</v>
      </c>
      <c r="D6" s="66" t="s">
        <v>40</v>
      </c>
      <c r="E6" s="68"/>
      <c r="F6" s="66" t="s">
        <v>41</v>
      </c>
      <c r="G6" s="69"/>
      <c r="H6" s="66" t="s">
        <v>41</v>
      </c>
      <c r="I6" s="69"/>
      <c r="J6" s="71" t="s">
        <v>42</v>
      </c>
      <c r="K6" s="69"/>
      <c r="L6" s="66" t="s">
        <v>19</v>
      </c>
      <c r="M6" s="69">
        <f>8.1%*5</f>
        <v>0.405</v>
      </c>
      <c r="N6" s="5"/>
      <c r="P6" s="82" t="s">
        <v>37</v>
      </c>
      <c r="Q6" s="83">
        <f>15.11%*4+90.66%</f>
        <v>1.511</v>
      </c>
      <c r="R6" s="84" t="s">
        <v>38</v>
      </c>
      <c r="S6" s="84">
        <f t="shared" si="0"/>
        <v>937</v>
      </c>
      <c r="T6" s="83">
        <f t="shared" si="1"/>
        <v>1.7355325506937</v>
      </c>
      <c r="U6" s="83">
        <f t="shared" si="2"/>
        <v>1.51</v>
      </c>
      <c r="V6" s="85">
        <f t="shared" si="3"/>
        <v>2.7954</v>
      </c>
      <c r="W6" s="86">
        <f t="shared" si="4"/>
        <v>0.15</v>
      </c>
      <c r="X6" s="85">
        <f t="shared" si="5"/>
        <v>0.569476082004556</v>
      </c>
      <c r="Y6" s="84">
        <v>0.8</v>
      </c>
      <c r="Z6" s="87">
        <v>0</v>
      </c>
      <c r="AA6" s="87">
        <v>0</v>
      </c>
      <c r="AB6" s="87">
        <v>0</v>
      </c>
      <c r="AC6" s="88">
        <f t="shared" si="6"/>
        <v>14237.2771797841</v>
      </c>
      <c r="AD6" s="13">
        <v>21.6</v>
      </c>
      <c r="AE6" s="14">
        <f t="shared" si="7"/>
        <v>0.561837623012869</v>
      </c>
      <c r="AF6" s="24">
        <v>90</v>
      </c>
    </row>
    <row r="7" s="1" customFormat="1" spans="2:32">
      <c r="B7" s="66" t="s">
        <v>45</v>
      </c>
      <c r="C7" s="72">
        <f>20%</f>
        <v>0.2</v>
      </c>
      <c r="D7" s="66" t="s">
        <v>45</v>
      </c>
      <c r="E7" s="68">
        <f>24%+20%</f>
        <v>0.44</v>
      </c>
      <c r="F7" s="66" t="s">
        <v>34</v>
      </c>
      <c r="G7" s="69">
        <f>M6</f>
        <v>0.405</v>
      </c>
      <c r="H7" s="66"/>
      <c r="I7" s="69"/>
      <c r="J7" s="71"/>
      <c r="K7" s="69"/>
      <c r="L7" s="66" t="s">
        <v>46</v>
      </c>
      <c r="M7" s="68">
        <f>16.2%*5</f>
        <v>0.81</v>
      </c>
      <c r="N7" s="5"/>
      <c r="P7" s="82" t="s">
        <v>43</v>
      </c>
      <c r="Q7" s="83">
        <f>39.75%+19.88%+139.12%+63.7%</f>
        <v>2.6245</v>
      </c>
      <c r="R7" s="84" t="s">
        <v>44</v>
      </c>
      <c r="S7" s="84">
        <f t="shared" si="0"/>
        <v>937</v>
      </c>
      <c r="T7" s="83">
        <f t="shared" si="1"/>
        <v>1.7355325506937</v>
      </c>
      <c r="U7" s="83">
        <f t="shared" ref="U7:U12" si="8">SUM($E$4:$E$8)</f>
        <v>2.042</v>
      </c>
      <c r="V7" s="85">
        <f t="shared" si="3"/>
        <v>2.7954</v>
      </c>
      <c r="W7" s="86">
        <f t="shared" si="4"/>
        <v>0.15</v>
      </c>
      <c r="X7" s="85">
        <f t="shared" si="5"/>
        <v>0.569476082004556</v>
      </c>
      <c r="Y7" s="84">
        <v>0.8</v>
      </c>
      <c r="Z7" s="87">
        <v>0</v>
      </c>
      <c r="AA7" s="87">
        <v>0</v>
      </c>
      <c r="AB7" s="87">
        <v>0</v>
      </c>
      <c r="AC7" s="88">
        <f t="shared" si="6"/>
        <v>29970.5381521645</v>
      </c>
      <c r="AD7" s="13">
        <v>8</v>
      </c>
      <c r="AE7" s="14">
        <f t="shared" si="7"/>
        <v>0.522150159393207</v>
      </c>
      <c r="AF7" s="24">
        <v>90</v>
      </c>
    </row>
    <row r="8" s="1" customFormat="1" spans="2:32">
      <c r="B8" s="66" t="s">
        <v>50</v>
      </c>
      <c r="C8" s="72">
        <v>0.39</v>
      </c>
      <c r="D8" s="66" t="s">
        <v>49</v>
      </c>
      <c r="E8" s="68">
        <f>24%+M5+12%</f>
        <v>0.532</v>
      </c>
      <c r="F8" s="66" t="s">
        <v>50</v>
      </c>
      <c r="G8" s="69">
        <v>0.125</v>
      </c>
      <c r="H8" s="66" t="s">
        <v>50</v>
      </c>
      <c r="I8" s="69"/>
      <c r="J8" s="71"/>
      <c r="K8" s="69"/>
      <c r="L8" s="66"/>
      <c r="M8" s="67"/>
      <c r="N8" s="5"/>
      <c r="P8" s="82" t="s">
        <v>47</v>
      </c>
      <c r="Q8" s="83">
        <f>20.3%+47.35%</f>
        <v>0.6765</v>
      </c>
      <c r="R8" s="84" t="s">
        <v>38</v>
      </c>
      <c r="S8" s="84">
        <f t="shared" si="0"/>
        <v>937</v>
      </c>
      <c r="T8" s="83">
        <f t="shared" si="1"/>
        <v>1.7355325506937</v>
      </c>
      <c r="U8" s="83">
        <f t="shared" ref="U8:U13" si="9">SUM($E$4:$E$7)</f>
        <v>1.51</v>
      </c>
      <c r="V8" s="85">
        <f t="shared" si="3"/>
        <v>2.7954</v>
      </c>
      <c r="W8" s="86">
        <f t="shared" si="4"/>
        <v>0.15</v>
      </c>
      <c r="X8" s="85">
        <f t="shared" si="5"/>
        <v>0.569476082004556</v>
      </c>
      <c r="Y8" s="84">
        <v>0.8</v>
      </c>
      <c r="Z8" s="87">
        <v>0</v>
      </c>
      <c r="AA8" s="87">
        <v>0</v>
      </c>
      <c r="AB8" s="87">
        <v>0</v>
      </c>
      <c r="AC8" s="88">
        <f t="shared" si="6"/>
        <v>6374.26738062473</v>
      </c>
      <c r="AD8" s="13">
        <v>36</v>
      </c>
      <c r="AE8" s="14">
        <f t="shared" si="7"/>
        <v>0.611011062516079</v>
      </c>
      <c r="AF8" s="24">
        <v>90</v>
      </c>
    </row>
    <row r="9" s="1" customFormat="1" spans="2:32">
      <c r="B9" s="66" t="s">
        <v>52</v>
      </c>
      <c r="C9" s="67">
        <v>350</v>
      </c>
      <c r="D9" s="66"/>
      <c r="E9" s="68"/>
      <c r="F9" s="74" t="s">
        <v>53</v>
      </c>
      <c r="G9" s="75">
        <f>MIN(100%,SUM(G4:G8))</f>
        <v>0.94</v>
      </c>
      <c r="H9" s="74" t="s">
        <v>54</v>
      </c>
      <c r="I9" s="76">
        <f>SUM(I4:I8)</f>
        <v>2.91</v>
      </c>
      <c r="J9" s="71"/>
      <c r="K9" s="69"/>
      <c r="L9" s="66"/>
      <c r="M9" s="67"/>
      <c r="N9" s="5"/>
      <c r="P9" s="82" t="s">
        <v>51</v>
      </c>
      <c r="Q9" s="83">
        <f>21.48%*2+25.06%*4</f>
        <v>1.432</v>
      </c>
      <c r="R9" s="84" t="s">
        <v>30</v>
      </c>
      <c r="S9" s="84">
        <f t="shared" si="0"/>
        <v>937</v>
      </c>
      <c r="T9" s="83">
        <f t="shared" si="1"/>
        <v>1.7355325506937</v>
      </c>
      <c r="U9" s="83">
        <f t="shared" si="9"/>
        <v>1.51</v>
      </c>
      <c r="V9" s="85">
        <f t="shared" si="3"/>
        <v>2.7954</v>
      </c>
      <c r="W9" s="86">
        <f t="shared" si="4"/>
        <v>0.15</v>
      </c>
      <c r="X9" s="85">
        <f t="shared" si="5"/>
        <v>0.569476082004556</v>
      </c>
      <c r="Y9" s="84">
        <v>0.8</v>
      </c>
      <c r="Z9" s="87">
        <v>0</v>
      </c>
      <c r="AA9" s="87">
        <v>0</v>
      </c>
      <c r="AB9" s="87">
        <v>0</v>
      </c>
      <c r="AC9" s="88">
        <f t="shared" si="6"/>
        <v>13492.9059705168</v>
      </c>
    </row>
    <row r="10" s="1" customFormat="1" spans="2:32">
      <c r="B10" s="77" t="s">
        <v>56</v>
      </c>
      <c r="C10" s="78"/>
      <c r="D10" s="77"/>
      <c r="E10" s="79"/>
      <c r="F10" s="77"/>
      <c r="G10" s="80"/>
      <c r="H10" s="77"/>
      <c r="I10" s="78"/>
      <c r="J10" s="81"/>
      <c r="K10" s="80"/>
      <c r="L10" s="77"/>
      <c r="M10" s="78"/>
      <c r="N10" s="5"/>
      <c r="P10" s="82" t="s">
        <v>55</v>
      </c>
      <c r="Q10" s="83">
        <f>954.29%</f>
        <v>9.5429</v>
      </c>
      <c r="R10" s="84" t="s">
        <v>44</v>
      </c>
      <c r="S10" s="84">
        <f t="shared" si="0"/>
        <v>937</v>
      </c>
      <c r="T10" s="83">
        <f t="shared" si="1"/>
        <v>1.7355325506937</v>
      </c>
      <c r="U10" s="83">
        <f t="shared" si="8"/>
        <v>2.042</v>
      </c>
      <c r="V10" s="85">
        <f t="shared" si="3"/>
        <v>2.7954</v>
      </c>
      <c r="W10" s="86">
        <f t="shared" si="4"/>
        <v>0.15</v>
      </c>
      <c r="X10" s="85">
        <f t="shared" si="5"/>
        <v>0.569476082004556</v>
      </c>
      <c r="Y10" s="84">
        <v>0.8</v>
      </c>
      <c r="Z10" s="87">
        <v>0</v>
      </c>
      <c r="AA10" s="87">
        <v>0</v>
      </c>
      <c r="AB10" s="87">
        <v>0</v>
      </c>
      <c r="AC10" s="88">
        <f t="shared" si="6"/>
        <v>108975.366177287</v>
      </c>
    </row>
    <row r="11" s="1" customFormat="1" spans="2:32">
      <c r="B11" s="5"/>
      <c r="C11" s="5"/>
      <c r="D11" s="5"/>
      <c r="E11" s="5"/>
      <c r="F11" s="5" t="s">
        <v>58</v>
      </c>
      <c r="G11" s="6"/>
      <c r="H11" s="5"/>
      <c r="I11" s="5"/>
      <c r="J11" s="5"/>
      <c r="K11" s="5"/>
      <c r="L11" s="5"/>
      <c r="M11" s="5"/>
      <c r="N11" s="5"/>
      <c r="P11" s="82" t="s">
        <v>57</v>
      </c>
      <c r="Q11" s="83">
        <f>15.31%*6+19.46%*6+15.7%*13</f>
        <v>4.1272</v>
      </c>
      <c r="R11" s="84" t="s">
        <v>44</v>
      </c>
      <c r="S11" s="84">
        <f t="shared" si="0"/>
        <v>937</v>
      </c>
      <c r="T11" s="83">
        <f t="shared" si="1"/>
        <v>1.7355325506937</v>
      </c>
      <c r="U11" s="83">
        <f t="shared" si="8"/>
        <v>2.042</v>
      </c>
      <c r="V11" s="85">
        <f t="shared" si="3"/>
        <v>2.7954</v>
      </c>
      <c r="W11" s="86">
        <f t="shared" si="4"/>
        <v>0.15</v>
      </c>
      <c r="X11" s="85">
        <f t="shared" si="5"/>
        <v>0.569476082004556</v>
      </c>
      <c r="Y11" s="84">
        <v>0.8</v>
      </c>
      <c r="Z11" s="87">
        <v>1.2</v>
      </c>
      <c r="AA11" s="87">
        <v>0</v>
      </c>
      <c r="AB11" s="87"/>
      <c r="AC11" s="88">
        <f t="shared" si="6"/>
        <v>103687.441850086</v>
      </c>
    </row>
    <row r="12" s="1" customFormat="1" spans="2:32"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P12" s="82" t="s">
        <v>59</v>
      </c>
      <c r="Q12" s="83">
        <f>240.96%+100*2.41%</f>
        <v>4.8196</v>
      </c>
      <c r="R12" s="84" t="s">
        <v>44</v>
      </c>
      <c r="S12" s="84">
        <f t="shared" si="0"/>
        <v>937</v>
      </c>
      <c r="T12" s="83">
        <f t="shared" si="1"/>
        <v>1.7355325506937</v>
      </c>
      <c r="U12" s="83">
        <f t="shared" si="8"/>
        <v>2.042</v>
      </c>
      <c r="V12" s="85">
        <f t="shared" si="3"/>
        <v>2.7954</v>
      </c>
      <c r="W12" s="86">
        <f t="shared" si="4"/>
        <v>0.15</v>
      </c>
      <c r="X12" s="85">
        <f t="shared" si="5"/>
        <v>0.569476082004556</v>
      </c>
      <c r="Y12" s="84">
        <v>0.8</v>
      </c>
      <c r="Z12" s="87">
        <v>1.2</v>
      </c>
      <c r="AA12" s="87">
        <v>0</v>
      </c>
      <c r="AB12" s="87"/>
      <c r="AC12" s="88">
        <f t="shared" si="6"/>
        <v>121082.572867967</v>
      </c>
    </row>
    <row r="13" s="1" customFormat="1" spans="2:32"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P13" s="82" t="s">
        <v>61</v>
      </c>
      <c r="Q13" s="83">
        <f>131.04%*2+24.57%*8*2</f>
        <v>6.552</v>
      </c>
      <c r="R13" s="84" t="s">
        <v>61</v>
      </c>
      <c r="S13" s="84">
        <f t="shared" si="0"/>
        <v>937</v>
      </c>
      <c r="T13" s="83">
        <f t="shared" si="1"/>
        <v>1.7355325506937</v>
      </c>
      <c r="U13" s="83">
        <f t="shared" si="9"/>
        <v>1.51</v>
      </c>
      <c r="V13" s="85">
        <f t="shared" si="3"/>
        <v>2.7954</v>
      </c>
      <c r="W13" s="86">
        <f t="shared" si="4"/>
        <v>0.15</v>
      </c>
      <c r="X13" s="85">
        <f t="shared" si="5"/>
        <v>0.569476082004556</v>
      </c>
      <c r="Y13" s="84">
        <v>0.8</v>
      </c>
      <c r="Z13" s="87">
        <v>0</v>
      </c>
      <c r="AA13" s="87">
        <v>0</v>
      </c>
      <c r="AB13" s="87">
        <v>0</v>
      </c>
      <c r="AC13" s="88">
        <f t="shared" si="6"/>
        <v>61735.6982673366</v>
      </c>
    </row>
    <row r="14" s="1" customFormat="1" ht="15" spans="2:32">
      <c r="B14" s="25" t="s">
        <v>63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5"/>
      <c r="P14" s="82"/>
      <c r="Q14" s="83"/>
      <c r="R14" s="84"/>
      <c r="S14" s="84"/>
      <c r="T14" s="83"/>
      <c r="U14" s="83"/>
      <c r="V14" s="85"/>
      <c r="W14" s="86"/>
      <c r="X14" s="85"/>
      <c r="Y14" s="84"/>
      <c r="Z14" s="87"/>
      <c r="AA14" s="87"/>
      <c r="AB14" s="87"/>
      <c r="AC14" s="88"/>
    </row>
    <row r="15" s="1" customFormat="1" spans="2:32">
      <c r="B15" s="26" t="s">
        <v>18</v>
      </c>
      <c r="C15" s="27"/>
      <c r="D15" s="26" t="s">
        <v>6</v>
      </c>
      <c r="E15" s="27"/>
      <c r="F15" s="26" t="s">
        <v>19</v>
      </c>
      <c r="G15" s="27"/>
      <c r="H15" s="26" t="s">
        <v>20</v>
      </c>
      <c r="I15" s="27"/>
      <c r="J15" s="26" t="s">
        <v>8</v>
      </c>
      <c r="K15" s="27"/>
      <c r="L15" s="26" t="s">
        <v>21</v>
      </c>
      <c r="M15" s="27"/>
      <c r="N15" s="5"/>
      <c r="P15" s="82"/>
      <c r="Q15" s="83"/>
      <c r="R15" s="84"/>
      <c r="S15" s="84"/>
      <c r="T15" s="83"/>
      <c r="U15" s="83"/>
      <c r="V15" s="85"/>
      <c r="W15" s="86"/>
      <c r="X15" s="85"/>
      <c r="Y15" s="84"/>
      <c r="Z15" s="87"/>
      <c r="AA15" s="87"/>
      <c r="AB15" s="87"/>
      <c r="AC15" s="88"/>
    </row>
    <row r="16" s="1" customFormat="1" spans="2:32">
      <c r="B16" s="28" t="s">
        <v>24</v>
      </c>
      <c r="C16" s="29">
        <f>412+587</f>
        <v>999</v>
      </c>
      <c r="D16" s="28" t="s">
        <v>25</v>
      </c>
      <c r="E16" s="30">
        <v>0.6</v>
      </c>
      <c r="F16" s="28" t="s">
        <v>26</v>
      </c>
      <c r="G16" s="31">
        <v>0.05</v>
      </c>
      <c r="H16" s="28" t="s">
        <v>26</v>
      </c>
      <c r="I16" s="30">
        <f>150%+16%</f>
        <v>1.66</v>
      </c>
      <c r="J16" s="32" t="s">
        <v>27</v>
      </c>
      <c r="K16" s="30">
        <f>15%</f>
        <v>0.15</v>
      </c>
      <c r="L16" s="28" t="s">
        <v>28</v>
      </c>
      <c r="M16" s="31">
        <f>8.6%*2</f>
        <v>0.172</v>
      </c>
      <c r="N16" s="5"/>
      <c r="P16" s="82"/>
      <c r="Q16" s="83"/>
      <c r="R16" s="84"/>
      <c r="S16" s="84"/>
      <c r="T16" s="83"/>
      <c r="U16" s="83"/>
      <c r="V16" s="85"/>
      <c r="W16" s="86"/>
      <c r="X16" s="85"/>
      <c r="Y16" s="84"/>
      <c r="Z16" s="87"/>
      <c r="AA16" s="87"/>
      <c r="AB16" s="87"/>
      <c r="AC16" s="88"/>
    </row>
    <row r="17" s="1" customFormat="1" spans="2:31">
      <c r="B17" s="28" t="s">
        <v>31</v>
      </c>
      <c r="C17" s="30">
        <f>12%+12%</f>
        <v>0.24</v>
      </c>
      <c r="D17" s="28" t="s">
        <v>66</v>
      </c>
      <c r="E17" s="30">
        <f>12%+10%+15%+12%</f>
        <v>0.49</v>
      </c>
      <c r="F17" s="28" t="s">
        <v>33</v>
      </c>
      <c r="G17" s="31">
        <v>0.243</v>
      </c>
      <c r="H17" s="28" t="s">
        <v>34</v>
      </c>
      <c r="I17" s="31">
        <f>44%+M19</f>
        <v>1.25</v>
      </c>
      <c r="J17" s="33"/>
      <c r="K17" s="31"/>
      <c r="L17" s="28" t="s">
        <v>67</v>
      </c>
      <c r="M17" s="31">
        <f>8.6%*2</f>
        <v>0.172</v>
      </c>
      <c r="N17" s="5"/>
      <c r="P17" s="15" t="s">
        <v>65</v>
      </c>
      <c r="Q17" s="16">
        <v>1.9881</v>
      </c>
      <c r="R17" s="17" t="s">
        <v>23</v>
      </c>
      <c r="S17" s="18">
        <f t="shared" ref="S17:S32" si="10">$C$16</f>
        <v>999</v>
      </c>
      <c r="T17" s="19">
        <f t="shared" ref="T17:T32" si="11">($C$17+$C$18+$C$19+$C$20)+($C$21+$C$22)/S17</f>
        <v>1.83735035035035</v>
      </c>
      <c r="U17" s="19">
        <f>SUM($E$16:$E$20)</f>
        <v>1.33</v>
      </c>
      <c r="V17" s="20">
        <f t="shared" ref="V17:V32" si="12">1+$G$21*($I$21-1)</f>
        <v>3.16</v>
      </c>
      <c r="W17" s="21">
        <f t="shared" ref="W17:W20" si="13">$K$16</f>
        <v>0.15</v>
      </c>
      <c r="X17" s="20">
        <f t="shared" ref="X17:X32" si="14">$AE$7</f>
        <v>0.522150159393207</v>
      </c>
      <c r="Y17" s="18">
        <v>1</v>
      </c>
      <c r="Z17" s="22"/>
      <c r="AA17" s="22"/>
      <c r="AB17" s="22"/>
      <c r="AC17" s="23">
        <f t="shared" ref="AC17:AC32" si="15">Q17*S17*(1+T17)*(1+U17)*V17*(1+W17)*X17*Y17*(1+Z17)*(1+AA17)*(1+AB17)</f>
        <v>24914.5436840478</v>
      </c>
      <c r="AD17" s="48"/>
      <c r="AE17" s="48"/>
    </row>
    <row r="18" s="1" customFormat="1" spans="2:31">
      <c r="B18" s="28" t="s">
        <v>39</v>
      </c>
      <c r="C18" s="30">
        <f>18%+18%+M16</f>
        <v>0.532</v>
      </c>
      <c r="D18" s="28" t="s">
        <v>40</v>
      </c>
      <c r="E18" s="30">
        <f>12%+12%</f>
        <v>0.24</v>
      </c>
      <c r="F18" s="28" t="s">
        <v>41</v>
      </c>
      <c r="G18" s="31">
        <v>0.2</v>
      </c>
      <c r="H18" s="28"/>
      <c r="I18" s="31"/>
      <c r="J18" s="33"/>
      <c r="K18" s="31"/>
      <c r="L18" s="28" t="s">
        <v>19</v>
      </c>
      <c r="M18" s="31">
        <f>8.1*5%</f>
        <v>0.405</v>
      </c>
      <c r="N18" s="5"/>
      <c r="P18" s="15" t="s">
        <v>68</v>
      </c>
      <c r="Q18" s="16">
        <v>6.3819</v>
      </c>
      <c r="R18" s="17" t="s">
        <v>69</v>
      </c>
      <c r="S18" s="18">
        <f t="shared" si="10"/>
        <v>999</v>
      </c>
      <c r="T18" s="19">
        <f t="shared" si="11"/>
        <v>1.83735035035035</v>
      </c>
      <c r="U18" s="19">
        <f t="shared" ref="U18:U22" si="16">SUM($E$16:$E$20)+$E$21</f>
        <v>1.622</v>
      </c>
      <c r="V18" s="20">
        <f t="shared" si="12"/>
        <v>3.16</v>
      </c>
      <c r="W18" s="21">
        <f t="shared" si="13"/>
        <v>0.15</v>
      </c>
      <c r="X18" s="20">
        <f t="shared" si="14"/>
        <v>0.522150159393207</v>
      </c>
      <c r="Y18" s="18">
        <v>1</v>
      </c>
      <c r="Z18" s="22"/>
      <c r="AA18" s="22"/>
      <c r="AB18" s="22"/>
      <c r="AC18" s="23">
        <f t="shared" si="15"/>
        <v>89999.7852579507</v>
      </c>
    </row>
    <row r="19" s="1" customFormat="1" spans="2:31">
      <c r="B19" s="28" t="s">
        <v>50</v>
      </c>
      <c r="C19" s="34">
        <f>25%+14%</f>
        <v>0.39</v>
      </c>
      <c r="D19" s="28" t="s">
        <v>73</v>
      </c>
      <c r="E19" s="30"/>
      <c r="F19" s="28" t="s">
        <v>34</v>
      </c>
      <c r="G19" s="31">
        <f>M18</f>
        <v>0.405</v>
      </c>
      <c r="H19" s="28"/>
      <c r="I19" s="31"/>
      <c r="J19" s="33"/>
      <c r="K19" s="31"/>
      <c r="L19" s="28" t="s">
        <v>46</v>
      </c>
      <c r="M19" s="30">
        <f>16.2%*5</f>
        <v>0.81</v>
      </c>
      <c r="N19" s="5"/>
      <c r="P19" s="15" t="s">
        <v>94</v>
      </c>
      <c r="Q19" s="16">
        <f>62.63%*2</f>
        <v>1.2526</v>
      </c>
      <c r="R19" s="17" t="s">
        <v>30</v>
      </c>
      <c r="S19" s="18">
        <f t="shared" si="10"/>
        <v>999</v>
      </c>
      <c r="T19" s="19">
        <f t="shared" si="11"/>
        <v>1.83735035035035</v>
      </c>
      <c r="U19" s="19">
        <f>SUM($E$16:$E$20)+32%</f>
        <v>1.65</v>
      </c>
      <c r="V19" s="20">
        <f t="shared" si="12"/>
        <v>3.16</v>
      </c>
      <c r="W19" s="21">
        <f t="shared" si="13"/>
        <v>0.15</v>
      </c>
      <c r="X19" s="20">
        <f t="shared" si="14"/>
        <v>0.522150159393207</v>
      </c>
      <c r="Y19" s="18">
        <v>1</v>
      </c>
      <c r="Z19" s="22"/>
      <c r="AA19" s="22"/>
      <c r="AB19" s="22"/>
      <c r="AC19" s="23">
        <f t="shared" si="15"/>
        <v>17853.2411970088</v>
      </c>
    </row>
    <row r="20" s="1" customFormat="1" spans="2:31">
      <c r="B20" s="28" t="s">
        <v>48</v>
      </c>
      <c r="C20" s="34">
        <f>22.5%+10%</f>
        <v>0.325</v>
      </c>
      <c r="D20" s="28"/>
      <c r="E20" s="35"/>
      <c r="F20" s="28" t="s">
        <v>50</v>
      </c>
      <c r="G20" s="31">
        <v>0.125</v>
      </c>
      <c r="H20" s="28" t="s">
        <v>50</v>
      </c>
      <c r="I20" s="31">
        <v>0.25</v>
      </c>
      <c r="J20" s="33"/>
      <c r="K20" s="31"/>
      <c r="L20" s="28"/>
      <c r="M20" s="29"/>
      <c r="N20" s="5"/>
      <c r="P20" s="15" t="s">
        <v>74</v>
      </c>
      <c r="Q20" s="16">
        <f>59.35%+39.77%*2</f>
        <v>1.3889</v>
      </c>
      <c r="R20" s="17" t="s">
        <v>38</v>
      </c>
      <c r="S20" s="18">
        <f t="shared" si="10"/>
        <v>999</v>
      </c>
      <c r="T20" s="19">
        <f t="shared" si="11"/>
        <v>1.83735035035035</v>
      </c>
      <c r="U20" s="19">
        <f>SUM($E$16:$E$20)+$E$22</f>
        <v>1.33</v>
      </c>
      <c r="V20" s="20">
        <f t="shared" si="12"/>
        <v>3.16</v>
      </c>
      <c r="W20" s="21">
        <f t="shared" si="13"/>
        <v>0.15</v>
      </c>
      <c r="X20" s="20">
        <f t="shared" si="14"/>
        <v>0.522150159393207</v>
      </c>
      <c r="Y20" s="18">
        <v>1</v>
      </c>
      <c r="Z20" s="22"/>
      <c r="AA20" s="22"/>
      <c r="AB20" s="22"/>
      <c r="AC20" s="23">
        <f t="shared" si="15"/>
        <v>17405.4673923716</v>
      </c>
    </row>
    <row r="21" s="1" customFormat="1" spans="2:31">
      <c r="B21" s="28" t="s">
        <v>52</v>
      </c>
      <c r="C21" s="29">
        <v>350</v>
      </c>
      <c r="D21" s="28" t="s">
        <v>76</v>
      </c>
      <c r="E21" s="30">
        <f>12%+M17</f>
        <v>0.292</v>
      </c>
      <c r="F21" s="36" t="s">
        <v>53</v>
      </c>
      <c r="G21" s="37">
        <f>MIN(100%,SUM(G16:G20))</f>
        <v>1</v>
      </c>
      <c r="H21" s="36" t="s">
        <v>54</v>
      </c>
      <c r="I21" s="38">
        <f>SUM(I16:I20)</f>
        <v>3.16</v>
      </c>
      <c r="J21" s="33"/>
      <c r="K21" s="31"/>
      <c r="L21" s="28"/>
      <c r="M21" s="29"/>
      <c r="N21" s="5"/>
      <c r="P21" s="15" t="s">
        <v>75</v>
      </c>
      <c r="Q21" s="16">
        <f>82.69%*3</f>
        <v>2.4807</v>
      </c>
      <c r="R21" s="17" t="s">
        <v>69</v>
      </c>
      <c r="S21" s="18">
        <f t="shared" si="10"/>
        <v>999</v>
      </c>
      <c r="T21" s="19">
        <f t="shared" si="11"/>
        <v>1.83735035035035</v>
      </c>
      <c r="U21" s="19">
        <f t="shared" si="16"/>
        <v>1.622</v>
      </c>
      <c r="V21" s="20">
        <f t="shared" si="12"/>
        <v>3.16</v>
      </c>
      <c r="W21" s="21">
        <f>$K$16+256%</f>
        <v>2.71</v>
      </c>
      <c r="X21" s="20">
        <f t="shared" si="14"/>
        <v>0.522150159393207</v>
      </c>
      <c r="Y21" s="18">
        <v>1</v>
      </c>
      <c r="Z21" s="22">
        <v>0.91</v>
      </c>
      <c r="AA21" s="22"/>
      <c r="AB21" s="22">
        <v>2</v>
      </c>
      <c r="AC21" s="23">
        <f t="shared" si="15"/>
        <v>646690.40341376</v>
      </c>
    </row>
    <row r="22" s="1" customFormat="1" spans="2:31">
      <c r="B22" s="39" t="s">
        <v>56</v>
      </c>
      <c r="C22" s="40"/>
      <c r="D22" s="39" t="s">
        <v>77</v>
      </c>
      <c r="E22" s="41"/>
      <c r="F22" s="39"/>
      <c r="G22" s="42"/>
      <c r="H22" s="39"/>
      <c r="I22" s="40"/>
      <c r="J22" s="43"/>
      <c r="K22" s="42"/>
      <c r="L22" s="39"/>
      <c r="M22" s="40"/>
      <c r="N22" s="5"/>
      <c r="P22" s="15" t="s">
        <v>61</v>
      </c>
      <c r="Q22" s="16">
        <f>118.8%+59.4%*4</f>
        <v>3.564</v>
      </c>
      <c r="R22" s="17" t="s">
        <v>61</v>
      </c>
      <c r="S22" s="18">
        <f t="shared" si="10"/>
        <v>999</v>
      </c>
      <c r="T22" s="19">
        <f t="shared" si="11"/>
        <v>1.83735035035035</v>
      </c>
      <c r="U22" s="19">
        <f t="shared" si="16"/>
        <v>1.622</v>
      </c>
      <c r="V22" s="20">
        <f t="shared" si="12"/>
        <v>3.16</v>
      </c>
      <c r="W22" s="21">
        <f>$K$16+32%</f>
        <v>0.47</v>
      </c>
      <c r="X22" s="20">
        <f t="shared" si="14"/>
        <v>0.522150159393207</v>
      </c>
      <c r="Y22" s="18">
        <v>1</v>
      </c>
      <c r="Z22" s="22"/>
      <c r="AA22" s="22"/>
      <c r="AB22" s="22"/>
      <c r="AC22" s="23">
        <f t="shared" si="15"/>
        <v>64246.3808923231</v>
      </c>
    </row>
    <row r="23" s="1" customFormat="1" spans="2:31">
      <c r="B23" s="5"/>
      <c r="C23" s="5"/>
      <c r="D23" s="5"/>
      <c r="E23" s="5"/>
      <c r="F23" s="5"/>
      <c r="G23" s="6"/>
      <c r="H23" s="5"/>
      <c r="I23" s="5"/>
      <c r="J23" s="5"/>
      <c r="K23" s="5"/>
      <c r="L23" s="5"/>
      <c r="M23" s="5"/>
      <c r="N23" s="5"/>
      <c r="P23" s="15" t="s">
        <v>74</v>
      </c>
      <c r="Q23" s="16">
        <f t="shared" ref="Q23:Q28" si="17">59.35%+39.77%*2</f>
        <v>1.3889</v>
      </c>
      <c r="R23" s="17" t="s">
        <v>38</v>
      </c>
      <c r="S23" s="18">
        <f t="shared" si="10"/>
        <v>999</v>
      </c>
      <c r="T23" s="19">
        <f t="shared" si="11"/>
        <v>1.83735035035035</v>
      </c>
      <c r="U23" s="19">
        <f t="shared" ref="U23:U28" si="18">SUM($E$16:$E$20)+$E$22</f>
        <v>1.33</v>
      </c>
      <c r="V23" s="20">
        <f t="shared" si="12"/>
        <v>3.16</v>
      </c>
      <c r="W23" s="21">
        <f t="shared" ref="W23:W26" si="19">$K$16</f>
        <v>0.15</v>
      </c>
      <c r="X23" s="20">
        <f t="shared" si="14"/>
        <v>0.522150159393207</v>
      </c>
      <c r="Y23" s="18">
        <v>1</v>
      </c>
      <c r="Z23" s="22"/>
      <c r="AA23" s="22"/>
      <c r="AB23" s="22"/>
      <c r="AC23" s="23">
        <f t="shared" si="15"/>
        <v>17405.4673923716</v>
      </c>
    </row>
    <row r="24" s="1" customFormat="1" ht="15" spans="2:31">
      <c r="B24" s="59" t="s">
        <v>84</v>
      </c>
      <c r="C24" s="5"/>
      <c r="D24" s="5"/>
      <c r="E24" s="5"/>
      <c r="F24" s="5"/>
      <c r="G24" s="6"/>
      <c r="H24" s="5"/>
      <c r="I24" s="5"/>
      <c r="J24" s="5"/>
      <c r="K24" s="5"/>
      <c r="L24" s="5"/>
      <c r="M24" s="5"/>
      <c r="N24" s="5"/>
      <c r="P24" s="15" t="s">
        <v>75</v>
      </c>
      <c r="Q24" s="16">
        <f>82.69%*3</f>
        <v>2.4807</v>
      </c>
      <c r="R24" s="17" t="s">
        <v>69</v>
      </c>
      <c r="S24" s="18">
        <f t="shared" si="10"/>
        <v>999</v>
      </c>
      <c r="T24" s="19">
        <f t="shared" si="11"/>
        <v>1.83735035035035</v>
      </c>
      <c r="U24" s="19">
        <f>SUM($E$16:$E$20)+$E$21</f>
        <v>1.622</v>
      </c>
      <c r="V24" s="20">
        <f t="shared" si="12"/>
        <v>3.16</v>
      </c>
      <c r="W24" s="21">
        <f>$K$16+256%</f>
        <v>2.71</v>
      </c>
      <c r="X24" s="20">
        <f t="shared" si="14"/>
        <v>0.522150159393207</v>
      </c>
      <c r="Y24" s="18">
        <v>1</v>
      </c>
      <c r="Z24" s="22">
        <v>0.91</v>
      </c>
      <c r="AA24" s="22"/>
      <c r="AB24" s="22"/>
      <c r="AC24" s="23">
        <f t="shared" si="15"/>
        <v>215563.467804587</v>
      </c>
    </row>
    <row r="25" s="1" customFormat="1" spans="2:31">
      <c r="B25" s="60" t="s">
        <v>85</v>
      </c>
      <c r="C25" s="60" t="s">
        <v>86</v>
      </c>
      <c r="D25" s="60" t="s">
        <v>87</v>
      </c>
      <c r="E25" s="60" t="s">
        <v>88</v>
      </c>
      <c r="F25" s="61"/>
      <c r="G25" s="6"/>
      <c r="H25" s="5"/>
      <c r="I25" s="5"/>
      <c r="J25" s="5"/>
      <c r="K25" s="5"/>
      <c r="L25" s="5"/>
      <c r="M25" s="5"/>
      <c r="N25" s="5"/>
      <c r="P25" s="15" t="s">
        <v>78</v>
      </c>
      <c r="Q25" s="16">
        <v>4.016</v>
      </c>
      <c r="R25" s="17" t="s">
        <v>44</v>
      </c>
      <c r="S25" s="18">
        <f t="shared" si="10"/>
        <v>999</v>
      </c>
      <c r="T25" s="19">
        <f t="shared" si="11"/>
        <v>1.83735035035035</v>
      </c>
      <c r="U25" s="19">
        <f>SUM($E$16:$E$20)</f>
        <v>1.33</v>
      </c>
      <c r="V25" s="20">
        <f t="shared" si="12"/>
        <v>3.16</v>
      </c>
      <c r="W25" s="21">
        <f t="shared" si="19"/>
        <v>0.15</v>
      </c>
      <c r="X25" s="20">
        <f t="shared" si="14"/>
        <v>0.522150159393207</v>
      </c>
      <c r="Y25" s="18">
        <v>1</v>
      </c>
      <c r="Z25" s="22">
        <v>4.8</v>
      </c>
      <c r="AA25" s="22"/>
      <c r="AB25" s="22"/>
      <c r="AC25" s="23">
        <f t="shared" si="15"/>
        <v>291901.555819017</v>
      </c>
    </row>
    <row r="26" s="1" customFormat="1" spans="2:31">
      <c r="B26" s="62" t="s">
        <v>79</v>
      </c>
      <c r="C26" s="62">
        <f>282182/0.9</f>
        <v>313535.555555556</v>
      </c>
      <c r="D26" s="62">
        <f>C26/E26</f>
        <v>12541.4222222222</v>
      </c>
      <c r="E26" s="61">
        <v>25</v>
      </c>
      <c r="F26" s="61"/>
      <c r="G26" s="6"/>
      <c r="H26" s="5"/>
      <c r="I26" s="5"/>
      <c r="J26" s="5"/>
      <c r="K26" s="5"/>
      <c r="L26" s="5"/>
      <c r="M26" s="5"/>
      <c r="N26" s="5"/>
      <c r="P26" s="15" t="s">
        <v>74</v>
      </c>
      <c r="Q26" s="16">
        <f t="shared" si="17"/>
        <v>1.3889</v>
      </c>
      <c r="R26" s="17" t="s">
        <v>38</v>
      </c>
      <c r="S26" s="18">
        <f t="shared" si="10"/>
        <v>999</v>
      </c>
      <c r="T26" s="19">
        <f t="shared" si="11"/>
        <v>1.83735035035035</v>
      </c>
      <c r="U26" s="19">
        <f t="shared" si="18"/>
        <v>1.33</v>
      </c>
      <c r="V26" s="20">
        <f t="shared" si="12"/>
        <v>3.16</v>
      </c>
      <c r="W26" s="21">
        <f t="shared" si="19"/>
        <v>0.15</v>
      </c>
      <c r="X26" s="20">
        <f t="shared" si="14"/>
        <v>0.522150159393207</v>
      </c>
      <c r="Y26" s="18">
        <v>1</v>
      </c>
      <c r="Z26" s="22"/>
      <c r="AA26" s="22"/>
      <c r="AB26" s="22"/>
      <c r="AC26" s="23">
        <f t="shared" si="15"/>
        <v>17405.4673923716</v>
      </c>
    </row>
    <row r="27" s="1" customFormat="1" spans="2:31">
      <c r="B27" s="62" t="s">
        <v>63</v>
      </c>
      <c r="C27" s="62">
        <f>SUM(AC17:AC32)</f>
        <v>2368003.7775718</v>
      </c>
      <c r="D27" s="62">
        <f>C27/E26</f>
        <v>94720.151102872</v>
      </c>
      <c r="E27" s="6"/>
      <c r="F27" s="5"/>
      <c r="G27" s="6"/>
      <c r="H27" s="5"/>
      <c r="I27" s="5"/>
      <c r="J27" s="5"/>
      <c r="K27" s="5">
        <v>36937</v>
      </c>
      <c r="L27" s="5"/>
      <c r="M27" s="5"/>
      <c r="N27" s="5"/>
      <c r="P27" s="15" t="s">
        <v>75</v>
      </c>
      <c r="Q27" s="16">
        <f>82.69%*3</f>
        <v>2.4807</v>
      </c>
      <c r="R27" s="17" t="s">
        <v>69</v>
      </c>
      <c r="S27" s="18">
        <f t="shared" si="10"/>
        <v>999</v>
      </c>
      <c r="T27" s="19">
        <f t="shared" si="11"/>
        <v>1.83735035035035</v>
      </c>
      <c r="U27" s="19">
        <f>SUM($E$16:$E$20)+$E$21</f>
        <v>1.622</v>
      </c>
      <c r="V27" s="20">
        <f t="shared" si="12"/>
        <v>3.16</v>
      </c>
      <c r="W27" s="21">
        <f>$K$16+256%</f>
        <v>2.71</v>
      </c>
      <c r="X27" s="20">
        <f t="shared" si="14"/>
        <v>0.522150159393207</v>
      </c>
      <c r="Y27" s="18">
        <v>1</v>
      </c>
      <c r="Z27" s="22">
        <v>0.91</v>
      </c>
      <c r="AA27" s="22"/>
      <c r="AB27" s="22"/>
      <c r="AC27" s="23">
        <f t="shared" si="15"/>
        <v>215563.467804587</v>
      </c>
    </row>
    <row r="28" s="1" customFormat="1" spans="2:31">
      <c r="B28" s="62" t="s">
        <v>50</v>
      </c>
      <c r="C28" s="62">
        <v>50000</v>
      </c>
      <c r="D28" s="62">
        <f>C28/E26</f>
        <v>2000</v>
      </c>
      <c r="E28" s="5"/>
      <c r="F28" s="5"/>
      <c r="G28" s="6"/>
      <c r="H28" s="5"/>
      <c r="I28" s="5"/>
      <c r="J28" s="5"/>
      <c r="K28" s="5">
        <v>38593</v>
      </c>
      <c r="L28" s="5">
        <f>K28/K27</f>
        <v>1.0448330941874</v>
      </c>
      <c r="M28" s="5"/>
      <c r="N28" s="5"/>
      <c r="P28" s="15" t="s">
        <v>74</v>
      </c>
      <c r="Q28" s="16">
        <f t="shared" si="17"/>
        <v>1.3889</v>
      </c>
      <c r="R28" s="17" t="s">
        <v>38</v>
      </c>
      <c r="S28" s="18">
        <f t="shared" si="10"/>
        <v>999</v>
      </c>
      <c r="T28" s="19">
        <f t="shared" si="11"/>
        <v>1.83735035035035</v>
      </c>
      <c r="U28" s="19">
        <f t="shared" si="18"/>
        <v>1.33</v>
      </c>
      <c r="V28" s="20">
        <f t="shared" si="12"/>
        <v>3.16</v>
      </c>
      <c r="W28" s="21">
        <f t="shared" ref="W28:W30" si="20">$K$16</f>
        <v>0.15</v>
      </c>
      <c r="X28" s="20">
        <f t="shared" si="14"/>
        <v>0.522150159393207</v>
      </c>
      <c r="Y28" s="18">
        <v>1</v>
      </c>
      <c r="Z28" s="22"/>
      <c r="AA28" s="22"/>
      <c r="AB28" s="22"/>
      <c r="AC28" s="23">
        <f t="shared" si="15"/>
        <v>17405.4673923716</v>
      </c>
    </row>
    <row r="29" s="1" customFormat="1" spans="2:31">
      <c r="B29" s="62" t="s">
        <v>89</v>
      </c>
      <c r="C29" s="62">
        <f>D29*E26</f>
        <v>44775</v>
      </c>
      <c r="D29" s="62">
        <v>1791</v>
      </c>
      <c r="E29" s="5"/>
      <c r="F29" s="5"/>
      <c r="G29" s="6"/>
      <c r="H29" s="5"/>
      <c r="I29" s="5"/>
      <c r="J29" s="5"/>
      <c r="K29" s="5"/>
      <c r="L29" s="5"/>
      <c r="M29" s="5"/>
      <c r="N29" s="5"/>
      <c r="P29" s="15" t="s">
        <v>95</v>
      </c>
      <c r="Q29" s="16">
        <f>62.63%*2</f>
        <v>1.2526</v>
      </c>
      <c r="R29" s="17" t="s">
        <v>30</v>
      </c>
      <c r="S29" s="18">
        <f t="shared" si="10"/>
        <v>999</v>
      </c>
      <c r="T29" s="19">
        <f t="shared" si="11"/>
        <v>1.83735035035035</v>
      </c>
      <c r="U29" s="19">
        <f>SUM($E$16:$E$20)+32%</f>
        <v>1.65</v>
      </c>
      <c r="V29" s="20">
        <f t="shared" si="12"/>
        <v>3.16</v>
      </c>
      <c r="W29" s="21">
        <f t="shared" si="20"/>
        <v>0.15</v>
      </c>
      <c r="X29" s="20">
        <f t="shared" si="14"/>
        <v>0.522150159393207</v>
      </c>
      <c r="Y29" s="18">
        <v>1</v>
      </c>
      <c r="Z29" s="22"/>
      <c r="AA29" s="22"/>
      <c r="AB29" s="22"/>
      <c r="AC29" s="23">
        <f t="shared" si="15"/>
        <v>17853.2411970088</v>
      </c>
    </row>
    <row r="30" s="1" customFormat="1" spans="2:31">
      <c r="B30" s="62" t="s">
        <v>90</v>
      </c>
      <c r="C30" s="62">
        <f>C26+C27+C28+C29</f>
        <v>2776314.33312735</v>
      </c>
      <c r="D30" s="62">
        <f>C30/E26</f>
        <v>111052.573325094</v>
      </c>
      <c r="E30" s="5"/>
      <c r="F30" s="5"/>
      <c r="G30" s="50"/>
      <c r="H30" s="51" t="s">
        <v>96</v>
      </c>
      <c r="I30" s="51" t="s">
        <v>97</v>
      </c>
      <c r="J30" s="5"/>
      <c r="K30" s="5"/>
      <c r="L30" s="5"/>
      <c r="M30" s="5"/>
      <c r="N30" s="5"/>
      <c r="P30" s="15" t="s">
        <v>94</v>
      </c>
      <c r="Q30" s="16">
        <f>62.63%*2</f>
        <v>1.2526</v>
      </c>
      <c r="R30" s="17" t="s">
        <v>30</v>
      </c>
      <c r="S30" s="18">
        <f t="shared" si="10"/>
        <v>999</v>
      </c>
      <c r="T30" s="19">
        <f t="shared" si="11"/>
        <v>1.83735035035035</v>
      </c>
      <c r="U30" s="19">
        <f>SUM($E$16:$E$20)+32%</f>
        <v>1.65</v>
      </c>
      <c r="V30" s="20">
        <f t="shared" si="12"/>
        <v>3.16</v>
      </c>
      <c r="W30" s="21">
        <f t="shared" si="20"/>
        <v>0.15</v>
      </c>
      <c r="X30" s="20">
        <f t="shared" si="14"/>
        <v>0.522150159393207</v>
      </c>
      <c r="Y30" s="18">
        <v>1</v>
      </c>
      <c r="Z30" s="22"/>
      <c r="AA30" s="22"/>
      <c r="AB30" s="22"/>
      <c r="AC30" s="23">
        <f t="shared" si="15"/>
        <v>17853.2411970088</v>
      </c>
    </row>
    <row r="31" s="1" customFormat="1" spans="2:31">
      <c r="B31" s="62"/>
      <c r="C31" s="62"/>
      <c r="D31" s="62"/>
      <c r="E31" s="5"/>
      <c r="F31" s="5"/>
      <c r="G31" s="21" t="s">
        <v>98</v>
      </c>
      <c r="H31" s="18">
        <v>53672</v>
      </c>
      <c r="I31" s="19"/>
      <c r="J31" s="5"/>
      <c r="K31" s="5"/>
      <c r="L31" s="5"/>
      <c r="M31" s="5"/>
      <c r="N31" s="5"/>
      <c r="P31" s="15" t="s">
        <v>75</v>
      </c>
      <c r="Q31" s="16">
        <f>82.69%*3</f>
        <v>2.4807</v>
      </c>
      <c r="R31" s="17" t="s">
        <v>69</v>
      </c>
      <c r="S31" s="18">
        <f t="shared" si="10"/>
        <v>999</v>
      </c>
      <c r="T31" s="19">
        <f t="shared" si="11"/>
        <v>1.83735035035035</v>
      </c>
      <c r="U31" s="19">
        <f>SUM($E$16:$E$20)+$E$21</f>
        <v>1.622</v>
      </c>
      <c r="V31" s="20">
        <f t="shared" si="12"/>
        <v>3.16</v>
      </c>
      <c r="W31" s="21">
        <f>$K$16+256%</f>
        <v>2.71</v>
      </c>
      <c r="X31" s="20">
        <f t="shared" si="14"/>
        <v>0.522150159393207</v>
      </c>
      <c r="Y31" s="18">
        <v>1</v>
      </c>
      <c r="Z31" s="22">
        <v>0.91</v>
      </c>
      <c r="AA31" s="22"/>
      <c r="AB31" s="22"/>
      <c r="AC31" s="23">
        <f t="shared" si="15"/>
        <v>215563.467804587</v>
      </c>
    </row>
    <row r="32" s="1" customFormat="1" spans="2:31">
      <c r="B32" s="62"/>
      <c r="C32" s="62"/>
      <c r="D32" s="62"/>
      <c r="E32" s="5"/>
      <c r="F32" s="5"/>
      <c r="G32" s="83" t="s">
        <v>99</v>
      </c>
      <c r="H32" s="84">
        <v>57402</v>
      </c>
      <c r="I32" s="83">
        <f t="shared" ref="I32:I37" si="21">H32/H31-1</f>
        <v>0.0694961991354897</v>
      </c>
      <c r="J32" s="5"/>
      <c r="K32" s="5"/>
      <c r="L32" s="5"/>
      <c r="M32" s="5"/>
      <c r="N32" s="5"/>
      <c r="P32" s="47" t="s">
        <v>81</v>
      </c>
      <c r="Q32" s="19">
        <f>528.41%</f>
        <v>5.2841</v>
      </c>
      <c r="R32" s="18" t="s">
        <v>82</v>
      </c>
      <c r="S32" s="18">
        <f t="shared" si="10"/>
        <v>999</v>
      </c>
      <c r="T32" s="19">
        <f t="shared" si="11"/>
        <v>1.83735035035035</v>
      </c>
      <c r="U32" s="19">
        <f>SUM($E$16:$E$20)</f>
        <v>1.33</v>
      </c>
      <c r="V32" s="20">
        <f t="shared" si="12"/>
        <v>3.16</v>
      </c>
      <c r="W32" s="21">
        <f>$K$16+120%</f>
        <v>1.35</v>
      </c>
      <c r="X32" s="20">
        <f t="shared" si="14"/>
        <v>0.522150159393207</v>
      </c>
      <c r="Y32" s="18">
        <v>1</v>
      </c>
      <c r="Z32" s="22">
        <v>2.55</v>
      </c>
      <c r="AA32" s="22"/>
      <c r="AB32" s="22"/>
      <c r="AC32" s="23">
        <f t="shared" si="15"/>
        <v>480379.111930428</v>
      </c>
    </row>
    <row r="33" s="1" customFormat="1" spans="2:29">
      <c r="B33" s="5"/>
      <c r="C33" s="5"/>
      <c r="D33" s="5"/>
      <c r="E33" s="5"/>
      <c r="G33" s="21" t="s">
        <v>100</v>
      </c>
      <c r="H33" s="18">
        <v>65483</v>
      </c>
      <c r="I33" s="19">
        <f t="shared" si="21"/>
        <v>0.140779066931466</v>
      </c>
      <c r="J33" s="5"/>
      <c r="K33" s="5"/>
      <c r="L33" s="5"/>
      <c r="M33" s="5"/>
      <c r="N33" s="5"/>
      <c r="P33" s="5"/>
      <c r="Q33" s="5"/>
      <c r="R33" s="5"/>
      <c r="S33" s="5"/>
      <c r="T33" s="5"/>
      <c r="U33" s="6"/>
      <c r="V33" s="99"/>
      <c r="W33" s="5"/>
      <c r="X33" s="5"/>
      <c r="Y33" s="5"/>
      <c r="Z33" s="5"/>
      <c r="AA33" s="5"/>
      <c r="AB33" s="62"/>
      <c r="AC33" s="62"/>
    </row>
    <row r="34" s="1" customFormat="1" spans="2:29">
      <c r="B34" s="5"/>
      <c r="C34" s="5"/>
      <c r="D34" s="5"/>
      <c r="E34" s="5"/>
      <c r="F34" s="62"/>
      <c r="G34" s="83" t="s">
        <v>101</v>
      </c>
      <c r="H34" s="84">
        <v>79098</v>
      </c>
      <c r="I34" s="83">
        <f t="shared" si="21"/>
        <v>0.207916558496098</v>
      </c>
      <c r="N34" s="5"/>
      <c r="P34" s="100"/>
      <c r="Q34" s="100"/>
      <c r="R34" s="100"/>
      <c r="S34" s="100"/>
      <c r="T34" s="100"/>
      <c r="U34" s="101"/>
      <c r="V34" s="102"/>
      <c r="W34" s="100"/>
      <c r="X34" s="100"/>
      <c r="Y34" s="100"/>
      <c r="Z34" s="100"/>
      <c r="AA34" s="100"/>
      <c r="AB34" s="62"/>
      <c r="AC34" s="62"/>
    </row>
    <row r="35" s="1" customFormat="1" spans="2:29">
      <c r="B35" s="62"/>
      <c r="C35" s="62"/>
      <c r="D35" s="62"/>
      <c r="E35" s="5"/>
      <c r="F35" s="62"/>
      <c r="G35" s="21" t="s">
        <v>102</v>
      </c>
      <c r="H35" s="18">
        <v>87465</v>
      </c>
      <c r="I35" s="19">
        <f t="shared" si="21"/>
        <v>0.105780171432906</v>
      </c>
      <c r="N35" s="5"/>
      <c r="U35" s="2"/>
      <c r="V35" s="3"/>
      <c r="AB35" s="4"/>
      <c r="AC35" s="4"/>
    </row>
    <row r="36" s="1" customFormat="1" spans="2:29">
      <c r="B36" s="62"/>
      <c r="C36" s="62"/>
      <c r="D36" s="62"/>
      <c r="E36" s="5"/>
      <c r="F36" s="5"/>
      <c r="G36" s="83" t="s">
        <v>103</v>
      </c>
      <c r="H36" s="84">
        <v>91077</v>
      </c>
      <c r="I36" s="83">
        <f t="shared" si="21"/>
        <v>0.041296518607443</v>
      </c>
      <c r="N36" s="5"/>
      <c r="Q36" s="2"/>
      <c r="U36" s="2"/>
      <c r="V36" s="3"/>
      <c r="AB36" s="4"/>
      <c r="AC36" s="4"/>
    </row>
    <row r="37" s="1" customFormat="1" spans="2:29">
      <c r="B37" s="5"/>
      <c r="C37" s="5"/>
      <c r="D37" s="5"/>
      <c r="E37" s="5"/>
      <c r="F37" s="62"/>
      <c r="G37" s="21" t="s">
        <v>104</v>
      </c>
      <c r="H37" s="18">
        <v>111053</v>
      </c>
      <c r="I37" s="19">
        <f t="shared" si="21"/>
        <v>0.219330895835392</v>
      </c>
      <c r="N37" s="5"/>
      <c r="Q37" s="2"/>
      <c r="U37" s="2"/>
      <c r="V37" s="3"/>
      <c r="AB37" s="4"/>
      <c r="AC37" s="4"/>
    </row>
    <row r="38" s="1" customFormat="1" ht="20" customHeight="1" spans="2:29">
      <c r="B38" s="62"/>
      <c r="C38" s="62"/>
      <c r="D38" s="62"/>
      <c r="E38" s="5"/>
      <c r="F38" s="62"/>
      <c r="G38" s="2"/>
      <c r="N38" s="5"/>
      <c r="Q38" s="103"/>
      <c r="U38" s="2"/>
      <c r="V38" s="103"/>
      <c r="AB38" s="4"/>
      <c r="AC38" s="4"/>
    </row>
    <row r="39" s="1" customFormat="1" ht="20" customHeight="1" spans="2:29">
      <c r="B39" s="62"/>
      <c r="C39" s="62"/>
      <c r="D39" s="62"/>
      <c r="E39" s="5"/>
      <c r="F39" s="5"/>
      <c r="G39" s="2"/>
      <c r="N39" s="5"/>
      <c r="Q39" s="103"/>
      <c r="U39" s="2"/>
      <c r="V39" s="103"/>
      <c r="AB39" s="4"/>
      <c r="AC39" s="4"/>
    </row>
    <row r="40" s="1" customFormat="1" ht="20" customHeight="1" spans="2:29">
      <c r="B40" s="5"/>
      <c r="C40" s="5"/>
      <c r="D40" s="5"/>
      <c r="E40" s="5"/>
      <c r="F40" s="62"/>
      <c r="G40" s="2"/>
      <c r="N40" s="5"/>
      <c r="Q40" s="103"/>
      <c r="V40" s="103"/>
      <c r="AB40" s="4"/>
      <c r="AC40" s="4"/>
    </row>
    <row r="41" s="1" customFormat="1" ht="20" customHeight="1" spans="2:29">
      <c r="B41" s="62"/>
      <c r="C41" s="62"/>
      <c r="D41" s="62"/>
      <c r="E41" s="5"/>
      <c r="F41" s="62"/>
      <c r="G41" s="2"/>
      <c r="N41" s="5"/>
      <c r="Q41" s="104"/>
      <c r="U41" s="2"/>
      <c r="V41" s="2"/>
      <c r="AB41" s="4"/>
      <c r="AC41" s="4"/>
    </row>
    <row r="42" s="1" customFormat="1" ht="20" customHeight="1" spans="2:29">
      <c r="B42" s="62"/>
      <c r="C42" s="62"/>
      <c r="D42" s="62"/>
      <c r="E42" s="5"/>
      <c r="F42" s="5"/>
      <c r="G42" s="2"/>
      <c r="N42" s="5"/>
      <c r="Q42" s="2"/>
      <c r="U42" s="2"/>
      <c r="V42" s="3"/>
      <c r="AB42" s="4"/>
      <c r="AC42" s="4"/>
    </row>
    <row r="43" s="1" customFormat="1" spans="2:29">
      <c r="B43" s="5"/>
      <c r="C43" s="5"/>
      <c r="D43" s="5"/>
      <c r="E43" s="5"/>
      <c r="F43" s="62"/>
      <c r="G43" s="2"/>
      <c r="N43" s="5"/>
      <c r="Q43" s="2"/>
      <c r="U43" s="2"/>
      <c r="V43" s="3"/>
      <c r="AB43" s="4"/>
      <c r="AC43" s="4"/>
    </row>
    <row r="44" s="1" customFormat="1" spans="2:29">
      <c r="B44" s="62"/>
      <c r="C44" s="62"/>
      <c r="D44" s="62"/>
      <c r="E44" s="5"/>
      <c r="G44" s="2"/>
      <c r="N44" s="5"/>
      <c r="Q44" s="2"/>
      <c r="U44" s="2"/>
      <c r="V44" s="3"/>
      <c r="AB44" s="4"/>
      <c r="AC44" s="4"/>
    </row>
    <row r="45" s="1" customFormat="1" spans="2:29">
      <c r="G45" s="2"/>
      <c r="N45" s="5"/>
      <c r="Q45" s="2"/>
      <c r="U45" s="2"/>
      <c r="V45" s="3"/>
      <c r="AB45" s="4"/>
      <c r="AC45" s="4"/>
    </row>
    <row r="46" s="1" customFormat="1" spans="2:29">
      <c r="G46" s="2"/>
      <c r="N46" s="5"/>
      <c r="Q46" s="2"/>
      <c r="U46" s="2"/>
      <c r="V46" s="3"/>
      <c r="AB46" s="4"/>
      <c r="AC46" s="4"/>
    </row>
    <row r="47" s="1" customFormat="1" spans="2:29">
      <c r="G47" s="2"/>
      <c r="N47" s="5"/>
      <c r="Q47" s="2"/>
      <c r="U47" s="2"/>
      <c r="V47" s="3"/>
      <c r="AB47" s="4"/>
      <c r="AC47" s="4"/>
    </row>
    <row r="48" s="1" customFormat="1" spans="2:29">
      <c r="G48" s="2"/>
      <c r="N48" s="5"/>
      <c r="Q48" s="2"/>
      <c r="U48" s="2"/>
      <c r="V48" s="3"/>
      <c r="AB48" s="4"/>
      <c r="AC48" s="4"/>
    </row>
    <row r="49" s="1" customFormat="1" spans="7:29">
      <c r="G49" s="2"/>
      <c r="N49" s="5"/>
      <c r="Q49" s="2"/>
      <c r="U49" s="2"/>
      <c r="V49" s="3"/>
      <c r="AB49" s="4"/>
      <c r="AC49" s="4"/>
    </row>
    <row r="50" s="1" customFormat="1" spans="7:29">
      <c r="G50" s="2"/>
      <c r="N50" s="5"/>
      <c r="Q50" s="2"/>
      <c r="U50" s="2"/>
      <c r="V50" s="3"/>
      <c r="AB50" s="4"/>
      <c r="AC50" s="4"/>
    </row>
    <row r="51" s="1" customFormat="1" spans="7:29">
      <c r="G51" s="2"/>
      <c r="N51" s="5"/>
      <c r="Q51" s="2"/>
      <c r="U51" s="2"/>
      <c r="V51" s="3"/>
      <c r="AB51" s="4"/>
      <c r="AC51" s="4"/>
    </row>
    <row r="52" s="1" customFormat="1" spans="7:29">
      <c r="G52" s="2"/>
      <c r="N52" s="5"/>
      <c r="Q52" s="2"/>
      <c r="U52" s="2"/>
      <c r="V52" s="3"/>
      <c r="AB52" s="4"/>
      <c r="AC52" s="4"/>
    </row>
    <row r="53" s="1" customFormat="1" spans="7:29">
      <c r="G53" s="2"/>
      <c r="N53" s="5"/>
      <c r="Q53" s="2"/>
      <c r="U53" s="2"/>
      <c r="V53" s="3"/>
      <c r="AB53" s="4"/>
      <c r="AC53" s="4"/>
    </row>
    <row r="54" s="1" customFormat="1" spans="7:29">
      <c r="G54" s="2"/>
      <c r="N54" s="5"/>
      <c r="Q54" s="2"/>
      <c r="U54" s="2"/>
      <c r="V54" s="3"/>
      <c r="AB54" s="4"/>
      <c r="AC54" s="4"/>
    </row>
    <row r="55" s="1" customFormat="1" spans="7:29">
      <c r="G55" s="2"/>
      <c r="N55" s="5"/>
      <c r="Q55" s="2"/>
      <c r="U55" s="2"/>
      <c r="V55" s="3"/>
      <c r="AB55" s="4"/>
      <c r="AC55" s="4"/>
    </row>
    <row r="56" s="1" customFormat="1" spans="7:29">
      <c r="G56" s="2"/>
      <c r="N56" s="5"/>
      <c r="Q56" s="2"/>
      <c r="U56" s="2"/>
      <c r="V56" s="3"/>
      <c r="AB56" s="4"/>
      <c r="AC56" s="4"/>
    </row>
    <row r="57" s="1" customFormat="1" spans="7:29">
      <c r="G57" s="2"/>
      <c r="N57" s="5"/>
      <c r="Q57" s="2"/>
      <c r="U57" s="2"/>
      <c r="V57" s="3"/>
      <c r="AB57" s="4"/>
      <c r="AC57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conditionalFormatting sqref="I34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{e4982740-6910-4a83-a821-9ee4688f7fbf}</x14:id>
        </ext>
      </extLst>
    </cfRule>
  </conditionalFormatting>
  <conditionalFormatting sqref="I3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{3440a17e-39ea-4924-b29e-5a50464c2f0d}</x14:id>
        </ext>
      </extLst>
    </cfRule>
  </conditionalFormatting>
  <conditionalFormatting sqref="I31:I33 I35 I3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{5ba93f7d-efba-4f5e-9fe1-faf5eed19e8e}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982740-6910-4a83-a821-9ee4688f7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3440a17e-39ea-4924-b29e-5a50464c2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5ba93f7d-efba-4f5e-9fe1-faf5eed19e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I31:I33 I35 I37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7"/>
  <sheetViews>
    <sheetView workbookViewId="0">
      <selection activeCell="A1" sqref="$A1:$XFD104857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54545454545454" style="1" customWidth="1"/>
    <col min="4" max="4" width="8.54545454545454" style="1" customWidth="1"/>
    <col min="5" max="5" width="7.54545454545455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5.1818181818182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11.9363636363636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9.54545454545454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64" t="s">
        <v>18</v>
      </c>
      <c r="C3" s="65"/>
      <c r="D3" s="64" t="s">
        <v>6</v>
      </c>
      <c r="E3" s="65"/>
      <c r="F3" s="64" t="s">
        <v>19</v>
      </c>
      <c r="G3" s="65"/>
      <c r="H3" s="64" t="s">
        <v>20</v>
      </c>
      <c r="I3" s="65"/>
      <c r="J3" s="64" t="s">
        <v>8</v>
      </c>
      <c r="K3" s="65"/>
      <c r="L3" s="64" t="s">
        <v>21</v>
      </c>
      <c r="M3" s="65"/>
      <c r="N3" s="5"/>
      <c r="P3" s="89" t="s">
        <v>22</v>
      </c>
      <c r="Q3" s="83">
        <v>0.9543</v>
      </c>
      <c r="R3" s="84" t="s">
        <v>23</v>
      </c>
      <c r="S3" s="84">
        <f t="shared" ref="S3:S13" si="0">$C$4</f>
        <v>937</v>
      </c>
      <c r="T3" s="83">
        <f t="shared" ref="T3:T13" si="1">($C$5+$C$6+$C$7+$C$8)+($C$9+$C$10)/S3</f>
        <v>1.6955325506937</v>
      </c>
      <c r="U3" s="83">
        <f t="shared" ref="U3:U8" si="2">SUM($E$4:$E$7)</f>
        <v>1.54</v>
      </c>
      <c r="V3" s="85">
        <f t="shared" ref="V3:V13" si="3">1+$G$9*($I$9-1)</f>
        <v>2.55665</v>
      </c>
      <c r="W3" s="86">
        <f t="shared" ref="W3:W13" si="4">$K$4</f>
        <v>0</v>
      </c>
      <c r="X3" s="85">
        <f t="shared" ref="X3:X13" si="5">$AF$4</f>
        <v>0.582139232997858</v>
      </c>
      <c r="Y3" s="84">
        <v>0.9</v>
      </c>
      <c r="Z3" s="87">
        <v>0</v>
      </c>
      <c r="AA3" s="87">
        <v>0</v>
      </c>
      <c r="AB3" s="87">
        <v>0</v>
      </c>
      <c r="AC3" s="88">
        <f t="shared" ref="AC3:AC13" si="6">Q3*S3*(1+T3)*(1+U3)*V3*(1+W3)*X3*Y3*(1+Z3)*(1+AA3)*(1+AB3)</f>
        <v>8200.55921358572</v>
      </c>
      <c r="AD3" s="13">
        <v>0</v>
      </c>
      <c r="AE3" s="13"/>
      <c r="AF3" s="14">
        <f t="shared" ref="AF3:AF8" si="7">1520/(1520+(792+8*AG3)*(1-AD3/100)*(1-AE3/100))</f>
        <v>0.50131926121372</v>
      </c>
      <c r="AG3" s="24">
        <v>90</v>
      </c>
    </row>
    <row r="4" s="1" customFormat="1" spans="2:33">
      <c r="B4" s="66" t="s">
        <v>24</v>
      </c>
      <c r="C4" s="67">
        <v>937</v>
      </c>
      <c r="D4" s="66" t="s">
        <v>25</v>
      </c>
      <c r="E4" s="68">
        <v>0.6</v>
      </c>
      <c r="F4" s="66" t="s">
        <v>26</v>
      </c>
      <c r="G4" s="69">
        <v>0.05</v>
      </c>
      <c r="H4" s="66" t="s">
        <v>26</v>
      </c>
      <c r="I4" s="68">
        <f>150%+16%</f>
        <v>1.66</v>
      </c>
      <c r="J4" s="70" t="s">
        <v>27</v>
      </c>
      <c r="K4" s="68"/>
      <c r="L4" s="66" t="s">
        <v>28</v>
      </c>
      <c r="M4" s="69">
        <f>8.6%*2</f>
        <v>0.172</v>
      </c>
      <c r="N4" s="5"/>
      <c r="P4" s="82" t="s">
        <v>29</v>
      </c>
      <c r="Q4" s="83">
        <v>0.3579</v>
      </c>
      <c r="R4" s="84" t="s">
        <v>30</v>
      </c>
      <c r="S4" s="84">
        <f t="shared" si="0"/>
        <v>937</v>
      </c>
      <c r="T4" s="83">
        <f t="shared" si="1"/>
        <v>1.6955325506937</v>
      </c>
      <c r="U4" s="83">
        <f t="shared" si="2"/>
        <v>1.54</v>
      </c>
      <c r="V4" s="85">
        <f t="shared" si="3"/>
        <v>2.55665</v>
      </c>
      <c r="W4" s="86">
        <f t="shared" si="4"/>
        <v>0</v>
      </c>
      <c r="X4" s="85">
        <f t="shared" si="5"/>
        <v>0.582139232997858</v>
      </c>
      <c r="Y4" s="84">
        <v>0.9</v>
      </c>
      <c r="Z4" s="87">
        <v>0</v>
      </c>
      <c r="AA4" s="87">
        <v>0</v>
      </c>
      <c r="AB4" s="87">
        <v>0</v>
      </c>
      <c r="AC4" s="88">
        <f t="shared" si="6"/>
        <v>3075.53195278459</v>
      </c>
      <c r="AD4" s="13">
        <v>12</v>
      </c>
      <c r="AE4" s="13">
        <v>18</v>
      </c>
      <c r="AF4" s="14">
        <f t="shared" si="7"/>
        <v>0.582139232997858</v>
      </c>
      <c r="AG4" s="24">
        <v>90</v>
      </c>
    </row>
    <row r="5" s="1" customFormat="1" spans="2:33">
      <c r="B5" s="66" t="s">
        <v>31</v>
      </c>
      <c r="C5" s="68">
        <f>12%+12%</f>
        <v>0.24</v>
      </c>
      <c r="D5" s="66" t="s">
        <v>32</v>
      </c>
      <c r="E5" s="68"/>
      <c r="F5" s="66" t="s">
        <v>33</v>
      </c>
      <c r="G5" s="69">
        <v>0.36</v>
      </c>
      <c r="H5" s="66" t="s">
        <v>34</v>
      </c>
      <c r="I5" s="69">
        <f>M7+44%</f>
        <v>1.25</v>
      </c>
      <c r="J5" s="71" t="s">
        <v>35</v>
      </c>
      <c r="K5" s="69"/>
      <c r="L5" s="66" t="s">
        <v>36</v>
      </c>
      <c r="M5" s="69">
        <f>8.6%*2</f>
        <v>0.172</v>
      </c>
      <c r="N5" s="5"/>
      <c r="P5" s="82" t="s">
        <v>37</v>
      </c>
      <c r="Q5" s="83">
        <f>15.11%*4+90.66%</f>
        <v>1.511</v>
      </c>
      <c r="R5" s="84" t="s">
        <v>38</v>
      </c>
      <c r="S5" s="84">
        <f t="shared" si="0"/>
        <v>937</v>
      </c>
      <c r="T5" s="83">
        <f t="shared" si="1"/>
        <v>1.6955325506937</v>
      </c>
      <c r="U5" s="83">
        <f t="shared" si="2"/>
        <v>1.54</v>
      </c>
      <c r="V5" s="85">
        <f t="shared" si="3"/>
        <v>2.55665</v>
      </c>
      <c r="W5" s="86">
        <f t="shared" si="4"/>
        <v>0</v>
      </c>
      <c r="X5" s="85">
        <f t="shared" si="5"/>
        <v>0.582139232997858</v>
      </c>
      <c r="Y5" s="84">
        <v>0.9</v>
      </c>
      <c r="Z5" s="87">
        <v>0</v>
      </c>
      <c r="AA5" s="87">
        <v>0</v>
      </c>
      <c r="AB5" s="87">
        <v>0</v>
      </c>
      <c r="AC5" s="88">
        <f t="shared" si="6"/>
        <v>12984.4335866374</v>
      </c>
      <c r="AD5" s="13">
        <v>14.4</v>
      </c>
      <c r="AE5" s="13"/>
      <c r="AF5" s="14">
        <f t="shared" si="7"/>
        <v>0.540104154822277</v>
      </c>
      <c r="AG5" s="24">
        <v>90</v>
      </c>
    </row>
    <row r="6" s="1" customFormat="1" spans="2:33">
      <c r="B6" s="66" t="s">
        <v>39</v>
      </c>
      <c r="C6" s="68">
        <f>18%+18%+M4</f>
        <v>0.532</v>
      </c>
      <c r="D6" s="66" t="s">
        <v>40</v>
      </c>
      <c r="E6" s="68">
        <v>0.5</v>
      </c>
      <c r="F6" s="66" t="s">
        <v>41</v>
      </c>
      <c r="G6" s="69"/>
      <c r="H6" s="66" t="s">
        <v>41</v>
      </c>
      <c r="I6" s="69"/>
      <c r="J6" s="71" t="s">
        <v>42</v>
      </c>
      <c r="K6" s="69"/>
      <c r="L6" s="66" t="s">
        <v>19</v>
      </c>
      <c r="M6" s="69">
        <f>8.1%*5</f>
        <v>0.405</v>
      </c>
      <c r="N6" s="5"/>
      <c r="P6" s="82" t="s">
        <v>43</v>
      </c>
      <c r="Q6" s="83">
        <f>29.81%+14.91%+104.34%+47.78%</f>
        <v>1.9684</v>
      </c>
      <c r="R6" s="84" t="s">
        <v>44</v>
      </c>
      <c r="S6" s="84">
        <f t="shared" si="0"/>
        <v>937</v>
      </c>
      <c r="T6" s="83">
        <f t="shared" si="1"/>
        <v>1.6955325506937</v>
      </c>
      <c r="U6" s="83">
        <f t="shared" ref="U6:U11" si="8">SUM($E$4:$E$8)</f>
        <v>1.952</v>
      </c>
      <c r="V6" s="85">
        <f t="shared" si="3"/>
        <v>2.55665</v>
      </c>
      <c r="W6" s="86">
        <f t="shared" si="4"/>
        <v>0</v>
      </c>
      <c r="X6" s="85">
        <f t="shared" si="5"/>
        <v>0.582139232997858</v>
      </c>
      <c r="Y6" s="84">
        <v>0.9</v>
      </c>
      <c r="Z6" s="87">
        <v>0</v>
      </c>
      <c r="AA6" s="87">
        <v>0</v>
      </c>
      <c r="AB6" s="87">
        <v>0</v>
      </c>
      <c r="AC6" s="88">
        <f t="shared" si="6"/>
        <v>19658.6883537413</v>
      </c>
      <c r="AD6" s="13">
        <v>21.6</v>
      </c>
      <c r="AE6" s="13"/>
      <c r="AF6" s="14">
        <f t="shared" si="7"/>
        <v>0.561837623012869</v>
      </c>
      <c r="AG6" s="24">
        <v>90</v>
      </c>
    </row>
    <row r="7" s="1" customFormat="1" spans="2:33">
      <c r="B7" s="66" t="s">
        <v>45</v>
      </c>
      <c r="C7" s="72">
        <v>0.3</v>
      </c>
      <c r="D7" s="66" t="s">
        <v>45</v>
      </c>
      <c r="E7" s="68">
        <f>24%+20%</f>
        <v>0.44</v>
      </c>
      <c r="F7" s="66" t="s">
        <v>34</v>
      </c>
      <c r="G7" s="69">
        <f>M6</f>
        <v>0.405</v>
      </c>
      <c r="H7" s="66"/>
      <c r="I7" s="69"/>
      <c r="J7" s="71"/>
      <c r="K7" s="69"/>
      <c r="L7" s="66" t="s">
        <v>46</v>
      </c>
      <c r="M7" s="68">
        <f>16.2%*5</f>
        <v>0.81</v>
      </c>
      <c r="N7" s="5"/>
      <c r="P7" s="82" t="s">
        <v>47</v>
      </c>
      <c r="Q7" s="83">
        <f>10.15%*2+47.35%</f>
        <v>0.6765</v>
      </c>
      <c r="R7" s="84" t="s">
        <v>38</v>
      </c>
      <c r="S7" s="84">
        <f t="shared" si="0"/>
        <v>937</v>
      </c>
      <c r="T7" s="83">
        <f t="shared" si="1"/>
        <v>1.6955325506937</v>
      </c>
      <c r="U7" s="83">
        <f t="shared" si="2"/>
        <v>1.54</v>
      </c>
      <c r="V7" s="85">
        <f t="shared" si="3"/>
        <v>2.55665</v>
      </c>
      <c r="W7" s="86">
        <f t="shared" si="4"/>
        <v>0</v>
      </c>
      <c r="X7" s="85">
        <f t="shared" si="5"/>
        <v>0.582139232997858</v>
      </c>
      <c r="Y7" s="84">
        <v>0.9</v>
      </c>
      <c r="Z7" s="87">
        <v>0</v>
      </c>
      <c r="AA7" s="87">
        <v>0</v>
      </c>
      <c r="AB7" s="87">
        <v>0</v>
      </c>
      <c r="AC7" s="88">
        <f t="shared" si="6"/>
        <v>5813.34832651236</v>
      </c>
      <c r="AD7" s="13">
        <v>12</v>
      </c>
      <c r="AE7" s="13">
        <v>18</v>
      </c>
      <c r="AF7" s="14">
        <f t="shared" si="7"/>
        <v>0.582139232997858</v>
      </c>
      <c r="AG7" s="24">
        <v>90</v>
      </c>
    </row>
    <row r="8" s="1" customFormat="1" spans="2:33">
      <c r="B8" s="66" t="s">
        <v>48</v>
      </c>
      <c r="C8" s="72">
        <v>0.25</v>
      </c>
      <c r="D8" s="66" t="s">
        <v>49</v>
      </c>
      <c r="E8" s="68">
        <f>24%+M5</f>
        <v>0.412</v>
      </c>
      <c r="F8" s="66" t="s">
        <v>50</v>
      </c>
      <c r="G8" s="69"/>
      <c r="H8" s="66" t="s">
        <v>50</v>
      </c>
      <c r="I8" s="69"/>
      <c r="J8" s="71"/>
      <c r="K8" s="69"/>
      <c r="L8" s="66"/>
      <c r="M8" s="67"/>
      <c r="N8" s="5"/>
      <c r="P8" s="82" t="s">
        <v>51</v>
      </c>
      <c r="Q8" s="83">
        <f>16.97%*8</f>
        <v>1.3576</v>
      </c>
      <c r="R8" s="84" t="s">
        <v>30</v>
      </c>
      <c r="S8" s="84">
        <f t="shared" si="0"/>
        <v>937</v>
      </c>
      <c r="T8" s="83">
        <f t="shared" si="1"/>
        <v>1.6955325506937</v>
      </c>
      <c r="U8" s="83">
        <f t="shared" si="2"/>
        <v>1.54</v>
      </c>
      <c r="V8" s="85">
        <f t="shared" si="3"/>
        <v>2.55665</v>
      </c>
      <c r="W8" s="86">
        <f t="shared" si="4"/>
        <v>0</v>
      </c>
      <c r="X8" s="85">
        <f t="shared" si="5"/>
        <v>0.582139232997858</v>
      </c>
      <c r="Y8" s="84">
        <v>0.9</v>
      </c>
      <c r="Z8" s="87">
        <v>0</v>
      </c>
      <c r="AA8" s="87">
        <v>0</v>
      </c>
      <c r="AB8" s="87">
        <v>0</v>
      </c>
      <c r="AC8" s="88">
        <f t="shared" si="6"/>
        <v>11666.2257029907</v>
      </c>
      <c r="AD8" s="13">
        <v>12</v>
      </c>
      <c r="AE8" s="13">
        <f>18+8</f>
        <v>26</v>
      </c>
      <c r="AF8" s="14">
        <f t="shared" si="7"/>
        <v>0.60687984545645</v>
      </c>
      <c r="AG8" s="24">
        <v>90</v>
      </c>
    </row>
    <row r="9" s="1" customFormat="1" spans="2:33">
      <c r="B9" s="66" t="s">
        <v>52</v>
      </c>
      <c r="C9" s="67">
        <v>350</v>
      </c>
      <c r="D9" s="66"/>
      <c r="E9" s="68"/>
      <c r="F9" s="74" t="s">
        <v>53</v>
      </c>
      <c r="G9" s="75">
        <f>MIN(100%,SUM(G4:G8))</f>
        <v>0.815</v>
      </c>
      <c r="H9" s="74" t="s">
        <v>54</v>
      </c>
      <c r="I9" s="76">
        <f>SUM(I4:I8)</f>
        <v>2.91</v>
      </c>
      <c r="J9" s="71"/>
      <c r="K9" s="69"/>
      <c r="L9" s="66"/>
      <c r="M9" s="67"/>
      <c r="N9" s="5"/>
      <c r="P9" s="82" t="s">
        <v>55</v>
      </c>
      <c r="Q9" s="83">
        <f>954.29%</f>
        <v>9.5429</v>
      </c>
      <c r="R9" s="84" t="s">
        <v>44</v>
      </c>
      <c r="S9" s="84">
        <f t="shared" si="0"/>
        <v>937</v>
      </c>
      <c r="T9" s="83">
        <f t="shared" si="1"/>
        <v>1.6955325506937</v>
      </c>
      <c r="U9" s="83">
        <f t="shared" si="8"/>
        <v>1.952</v>
      </c>
      <c r="V9" s="85">
        <f t="shared" si="3"/>
        <v>2.55665</v>
      </c>
      <c r="W9" s="86">
        <f t="shared" si="4"/>
        <v>0</v>
      </c>
      <c r="X9" s="85">
        <f t="shared" si="5"/>
        <v>0.582139232997858</v>
      </c>
      <c r="Y9" s="84">
        <v>0.9</v>
      </c>
      <c r="Z9" s="87">
        <v>0</v>
      </c>
      <c r="AA9" s="87">
        <v>0</v>
      </c>
      <c r="AB9" s="87">
        <v>0</v>
      </c>
      <c r="AC9" s="88">
        <f t="shared" si="6"/>
        <v>95306.2878941871</v>
      </c>
    </row>
    <row r="10" s="1" customFormat="1" spans="2:33">
      <c r="B10" s="77" t="s">
        <v>56</v>
      </c>
      <c r="C10" s="78"/>
      <c r="D10" s="77"/>
      <c r="E10" s="79"/>
      <c r="F10" s="77"/>
      <c r="G10" s="80"/>
      <c r="H10" s="77"/>
      <c r="I10" s="78"/>
      <c r="J10" s="81"/>
      <c r="K10" s="80"/>
      <c r="L10" s="77"/>
      <c r="M10" s="78"/>
      <c r="N10" s="5"/>
      <c r="P10" s="82" t="s">
        <v>57</v>
      </c>
      <c r="Q10" s="83">
        <f>11.49%*6+14.73%*7+14.92%*8</f>
        <v>2.9141</v>
      </c>
      <c r="R10" s="84" t="s">
        <v>44</v>
      </c>
      <c r="S10" s="84">
        <f t="shared" si="0"/>
        <v>937</v>
      </c>
      <c r="T10" s="83">
        <f t="shared" si="1"/>
        <v>1.6955325506937</v>
      </c>
      <c r="U10" s="83">
        <f t="shared" si="8"/>
        <v>1.952</v>
      </c>
      <c r="V10" s="85">
        <f t="shared" si="3"/>
        <v>2.55665</v>
      </c>
      <c r="W10" s="86">
        <f t="shared" si="4"/>
        <v>0</v>
      </c>
      <c r="X10" s="85">
        <f t="shared" si="5"/>
        <v>0.582139232997858</v>
      </c>
      <c r="Y10" s="84">
        <v>0.9</v>
      </c>
      <c r="Z10" s="87">
        <v>1.2</v>
      </c>
      <c r="AA10" s="87">
        <v>0</v>
      </c>
      <c r="AB10" s="87"/>
      <c r="AC10" s="88">
        <f t="shared" si="6"/>
        <v>64027.7607242444</v>
      </c>
    </row>
    <row r="11" s="1" customFormat="1" spans="2:33">
      <c r="B11" s="5"/>
      <c r="C11" s="5"/>
      <c r="D11" s="5"/>
      <c r="E11" s="5"/>
      <c r="F11" s="5" t="s">
        <v>58</v>
      </c>
      <c r="G11" s="6"/>
      <c r="H11" s="5"/>
      <c r="I11" s="5"/>
      <c r="J11" s="5"/>
      <c r="K11" s="5"/>
      <c r="L11" s="5"/>
      <c r="M11" s="5"/>
      <c r="N11" s="5"/>
      <c r="P11" s="82" t="s">
        <v>59</v>
      </c>
      <c r="Q11" s="83">
        <f>51.54%+206.13%+100*2.58%</f>
        <v>5.1567</v>
      </c>
      <c r="R11" s="84" t="s">
        <v>44</v>
      </c>
      <c r="S11" s="84">
        <f t="shared" si="0"/>
        <v>937</v>
      </c>
      <c r="T11" s="83">
        <f t="shared" si="1"/>
        <v>1.6955325506937</v>
      </c>
      <c r="U11" s="83">
        <f t="shared" si="8"/>
        <v>1.952</v>
      </c>
      <c r="V11" s="85">
        <f t="shared" si="3"/>
        <v>2.55665</v>
      </c>
      <c r="W11" s="86">
        <f t="shared" si="4"/>
        <v>0</v>
      </c>
      <c r="X11" s="85">
        <f t="shared" si="5"/>
        <v>0.582139232997858</v>
      </c>
      <c r="Y11" s="84">
        <v>0.9</v>
      </c>
      <c r="Z11" s="87">
        <v>1.2</v>
      </c>
      <c r="AA11" s="87">
        <v>0</v>
      </c>
      <c r="AB11" s="87"/>
      <c r="AC11" s="88">
        <f t="shared" si="6"/>
        <v>113301.518042178</v>
      </c>
    </row>
    <row r="12" s="1" customFormat="1" spans="2:33"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P12" s="82" t="s">
        <v>60</v>
      </c>
      <c r="Q12" s="83">
        <f>131.04%*2</f>
        <v>2.6208</v>
      </c>
      <c r="R12" s="84" t="s">
        <v>61</v>
      </c>
      <c r="S12" s="84">
        <f t="shared" si="0"/>
        <v>937</v>
      </c>
      <c r="T12" s="83">
        <f t="shared" si="1"/>
        <v>1.6955325506937</v>
      </c>
      <c r="U12" s="83">
        <f>SUM($E$4:$E$7)</f>
        <v>1.54</v>
      </c>
      <c r="V12" s="85">
        <f t="shared" si="3"/>
        <v>2.55665</v>
      </c>
      <c r="W12" s="86">
        <f t="shared" si="4"/>
        <v>0</v>
      </c>
      <c r="X12" s="85">
        <f t="shared" si="5"/>
        <v>0.582139232997858</v>
      </c>
      <c r="Y12" s="84">
        <v>0.9</v>
      </c>
      <c r="Z12" s="87">
        <v>0</v>
      </c>
      <c r="AA12" s="87">
        <v>0</v>
      </c>
      <c r="AB12" s="87">
        <v>0</v>
      </c>
      <c r="AC12" s="88">
        <f t="shared" si="6"/>
        <v>22521.2465545064</v>
      </c>
    </row>
    <row r="13" s="1" customFormat="1" spans="2:33"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P13" s="82" t="s">
        <v>62</v>
      </c>
      <c r="Q13" s="83">
        <f>24.57%*8</f>
        <v>1.9656</v>
      </c>
      <c r="R13" s="84" t="s">
        <v>61</v>
      </c>
      <c r="S13" s="84">
        <f t="shared" si="0"/>
        <v>937</v>
      </c>
      <c r="T13" s="83">
        <f t="shared" si="1"/>
        <v>1.6955325506937</v>
      </c>
      <c r="U13" s="83">
        <f>SUM($E$4:$E$7)+1</f>
        <v>2.54</v>
      </c>
      <c r="V13" s="85">
        <f t="shared" si="3"/>
        <v>2.55665</v>
      </c>
      <c r="W13" s="86">
        <f t="shared" si="4"/>
        <v>0</v>
      </c>
      <c r="X13" s="85">
        <f t="shared" si="5"/>
        <v>0.582139232997858</v>
      </c>
      <c r="Y13" s="84">
        <v>0.9</v>
      </c>
      <c r="Z13" s="87">
        <v>0</v>
      </c>
      <c r="AA13" s="87">
        <v>0</v>
      </c>
      <c r="AB13" s="87">
        <v>0</v>
      </c>
      <c r="AC13" s="88">
        <f t="shared" si="6"/>
        <v>23540.9092922104</v>
      </c>
    </row>
    <row r="14" s="1" customFormat="1" ht="15" spans="2:33">
      <c r="B14" s="25" t="s">
        <v>63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5"/>
      <c r="P14" s="82"/>
      <c r="Q14" s="83"/>
      <c r="R14" s="84"/>
      <c r="S14" s="84"/>
      <c r="T14" s="83"/>
      <c r="U14" s="83"/>
      <c r="V14" s="85"/>
      <c r="W14" s="86"/>
      <c r="X14" s="85"/>
      <c r="Y14" s="84"/>
      <c r="Z14" s="87"/>
      <c r="AA14" s="87"/>
      <c r="AB14" s="87"/>
      <c r="AC14" s="88"/>
    </row>
    <row r="15" s="1" customFormat="1" spans="2:33">
      <c r="B15" s="26" t="s">
        <v>18</v>
      </c>
      <c r="C15" s="27"/>
      <c r="D15" s="26" t="s">
        <v>6</v>
      </c>
      <c r="E15" s="27"/>
      <c r="F15" s="26" t="s">
        <v>19</v>
      </c>
      <c r="G15" s="27"/>
      <c r="H15" s="26" t="s">
        <v>20</v>
      </c>
      <c r="I15" s="27"/>
      <c r="J15" s="26" t="s">
        <v>8</v>
      </c>
      <c r="K15" s="27"/>
      <c r="L15" s="26" t="s">
        <v>21</v>
      </c>
      <c r="M15" s="27"/>
      <c r="N15" s="5"/>
      <c r="P15" s="82"/>
      <c r="Q15" s="83"/>
      <c r="R15" s="84"/>
      <c r="S15" s="84"/>
      <c r="T15" s="83"/>
      <c r="U15" s="83"/>
      <c r="V15" s="85"/>
      <c r="W15" s="86"/>
      <c r="X15" s="85"/>
      <c r="Y15" s="84"/>
      <c r="Z15" s="87"/>
      <c r="AA15" s="87"/>
      <c r="AB15" s="87"/>
      <c r="AC15" s="88"/>
    </row>
    <row r="16" s="1" customFormat="1" spans="2:33">
      <c r="B16" s="28" t="s">
        <v>24</v>
      </c>
      <c r="C16" s="29">
        <f>412+587</f>
        <v>999</v>
      </c>
      <c r="D16" s="28" t="s">
        <v>25</v>
      </c>
      <c r="E16" s="30">
        <v>0.6</v>
      </c>
      <c r="F16" s="28" t="s">
        <v>26</v>
      </c>
      <c r="G16" s="31">
        <v>0.05</v>
      </c>
      <c r="H16" s="28" t="s">
        <v>26</v>
      </c>
      <c r="I16" s="30">
        <f>150%+16%</f>
        <v>1.66</v>
      </c>
      <c r="J16" s="32" t="s">
        <v>27</v>
      </c>
      <c r="K16" s="30"/>
      <c r="L16" s="28" t="s">
        <v>28</v>
      </c>
      <c r="M16" s="31">
        <f>8.6%*2</f>
        <v>0.172</v>
      </c>
      <c r="N16" s="5"/>
      <c r="P16" s="15" t="s">
        <v>65</v>
      </c>
      <c r="Q16" s="16">
        <v>1.9881</v>
      </c>
      <c r="R16" s="17" t="s">
        <v>23</v>
      </c>
      <c r="S16" s="18">
        <f t="shared" ref="S16:S29" si="9">$C$16</f>
        <v>999</v>
      </c>
      <c r="T16" s="19">
        <f t="shared" ref="T16:T29" si="10">($C$17+$C$18+$C$19+$C$20)+($C$21+$C$22)/S16</f>
        <v>1.69735035035035</v>
      </c>
      <c r="U16" s="19">
        <f>SUM($E$16:$E$20)</f>
        <v>2.07</v>
      </c>
      <c r="V16" s="20">
        <f t="shared" ref="V16:V29" si="11">1+$G$21*($I$21-1)</f>
        <v>2.71518</v>
      </c>
      <c r="W16" s="21">
        <f t="shared" ref="W16:W19" si="12">$K$16</f>
        <v>0</v>
      </c>
      <c r="X16" s="20">
        <f t="shared" ref="X16:X29" si="13">$AF$8</f>
        <v>0.60687984545645</v>
      </c>
      <c r="Y16" s="18">
        <f t="shared" ref="Y16:Y29" si="14">$AF$17</f>
        <v>1</v>
      </c>
      <c r="Z16" s="22"/>
      <c r="AA16" s="22"/>
      <c r="AB16" s="22"/>
      <c r="AC16" s="23">
        <f t="shared" ref="AC16:AC40" si="15">Q16*S16*(1+T16)*(1+U16)*V16*(1+W16)*X16*Y16*(1+Z16)*(1+AA16)*(1+AB16)</f>
        <v>27100.7174940304</v>
      </c>
    </row>
    <row r="17" s="1" customFormat="1" spans="2:32">
      <c r="B17" s="28" t="s">
        <v>31</v>
      </c>
      <c r="C17" s="30">
        <f>12%+12%</f>
        <v>0.24</v>
      </c>
      <c r="D17" s="28" t="s">
        <v>66</v>
      </c>
      <c r="E17" s="30">
        <f>12%+10%+15%+12%</f>
        <v>0.49</v>
      </c>
      <c r="F17" s="28" t="s">
        <v>33</v>
      </c>
      <c r="G17" s="31">
        <v>0.243</v>
      </c>
      <c r="H17" s="28" t="s">
        <v>34</v>
      </c>
      <c r="I17" s="31">
        <f>44%+M19</f>
        <v>1.25</v>
      </c>
      <c r="J17" s="33"/>
      <c r="K17" s="31"/>
      <c r="L17" s="28" t="s">
        <v>67</v>
      </c>
      <c r="M17" s="31">
        <f>8.6%*2</f>
        <v>0.172</v>
      </c>
      <c r="N17" s="5"/>
      <c r="P17" s="15" t="s">
        <v>68</v>
      </c>
      <c r="Q17" s="16">
        <v>6.3819</v>
      </c>
      <c r="R17" s="17" t="s">
        <v>69</v>
      </c>
      <c r="S17" s="18">
        <f t="shared" si="9"/>
        <v>999</v>
      </c>
      <c r="T17" s="19">
        <f t="shared" si="10"/>
        <v>1.69735035035035</v>
      </c>
      <c r="U17" s="19">
        <f t="shared" ref="U17:U21" si="16">SUM($E$16:$E$20)+$E$21</f>
        <v>2.362</v>
      </c>
      <c r="V17" s="20">
        <f t="shared" si="11"/>
        <v>2.71518</v>
      </c>
      <c r="W17" s="21">
        <f t="shared" si="12"/>
        <v>0</v>
      </c>
      <c r="X17" s="20">
        <f t="shared" si="13"/>
        <v>0.60687984545645</v>
      </c>
      <c r="Y17" s="18">
        <f t="shared" si="14"/>
        <v>1</v>
      </c>
      <c r="Z17" s="22"/>
      <c r="AA17" s="22"/>
      <c r="AB17" s="22"/>
      <c r="AC17" s="23">
        <f t="shared" si="15"/>
        <v>95269.0626318555</v>
      </c>
      <c r="AD17" s="48" t="s">
        <v>70</v>
      </c>
      <c r="AE17" s="48"/>
      <c r="AF17" s="48">
        <v>1</v>
      </c>
    </row>
    <row r="18" s="1" customFormat="1" spans="2:32">
      <c r="B18" s="28" t="s">
        <v>39</v>
      </c>
      <c r="C18" s="30">
        <f>18%+18%+M16</f>
        <v>0.532</v>
      </c>
      <c r="D18" s="28" t="s">
        <v>0</v>
      </c>
      <c r="E18" s="30">
        <f>24%+12%</f>
        <v>0.36</v>
      </c>
      <c r="F18" s="28" t="s">
        <v>41</v>
      </c>
      <c r="G18" s="31">
        <v>0.2</v>
      </c>
      <c r="H18" s="28"/>
      <c r="I18" s="31"/>
      <c r="J18" s="33"/>
      <c r="K18" s="31"/>
      <c r="L18" s="28" t="s">
        <v>19</v>
      </c>
      <c r="M18" s="31">
        <f>8.1*5%</f>
        <v>0.405</v>
      </c>
      <c r="N18" s="5"/>
      <c r="P18" s="15" t="s">
        <v>71</v>
      </c>
      <c r="Q18" s="16">
        <f>62.63%*8</f>
        <v>5.0104</v>
      </c>
      <c r="R18" s="17" t="s">
        <v>30</v>
      </c>
      <c r="S18" s="18">
        <f t="shared" si="9"/>
        <v>999</v>
      </c>
      <c r="T18" s="19">
        <f t="shared" si="10"/>
        <v>1.69735035035035</v>
      </c>
      <c r="U18" s="19">
        <f>SUM($E$16:$E$20)+32%</f>
        <v>2.39</v>
      </c>
      <c r="V18" s="20">
        <f t="shared" si="11"/>
        <v>2.71518</v>
      </c>
      <c r="W18" s="21">
        <f t="shared" si="12"/>
        <v>0</v>
      </c>
      <c r="X18" s="20">
        <f t="shared" si="13"/>
        <v>0.60687984545645</v>
      </c>
      <c r="Y18" s="18">
        <f t="shared" si="14"/>
        <v>1</v>
      </c>
      <c r="Z18" s="22"/>
      <c r="AA18" s="22"/>
      <c r="AB18" s="22"/>
      <c r="AC18" s="23">
        <f t="shared" si="15"/>
        <v>75418.221220789</v>
      </c>
    </row>
    <row r="19" s="1" customFormat="1" spans="2:32">
      <c r="B19" s="28" t="s">
        <v>72</v>
      </c>
      <c r="C19" s="34">
        <v>0.25</v>
      </c>
      <c r="D19" s="28" t="s">
        <v>73</v>
      </c>
      <c r="E19" s="30">
        <f>50%+12%</f>
        <v>0.62</v>
      </c>
      <c r="F19" s="28" t="s">
        <v>34</v>
      </c>
      <c r="G19" s="31">
        <f>M18</f>
        <v>0.405</v>
      </c>
      <c r="H19" s="28"/>
      <c r="I19" s="31"/>
      <c r="J19" s="33"/>
      <c r="K19" s="31"/>
      <c r="L19" s="28" t="s">
        <v>46</v>
      </c>
      <c r="M19" s="30">
        <f>16.2%*5</f>
        <v>0.81</v>
      </c>
      <c r="N19" s="5"/>
      <c r="P19" s="15" t="s">
        <v>74</v>
      </c>
      <c r="Q19" s="16">
        <f>59.35%+39.77%*2</f>
        <v>1.3889</v>
      </c>
      <c r="R19" s="17" t="s">
        <v>38</v>
      </c>
      <c r="S19" s="18">
        <f t="shared" si="9"/>
        <v>999</v>
      </c>
      <c r="T19" s="19">
        <f t="shared" si="10"/>
        <v>1.69735035035035</v>
      </c>
      <c r="U19" s="19">
        <f>SUM($E$16:$E$20)+$E$22</f>
        <v>2.07</v>
      </c>
      <c r="V19" s="20">
        <f t="shared" si="11"/>
        <v>2.71518</v>
      </c>
      <c r="W19" s="21">
        <f t="shared" si="12"/>
        <v>0</v>
      </c>
      <c r="X19" s="20">
        <f t="shared" si="13"/>
        <v>0.60687984545645</v>
      </c>
      <c r="Y19" s="18">
        <f t="shared" si="14"/>
        <v>1</v>
      </c>
      <c r="Z19" s="22"/>
      <c r="AA19" s="22"/>
      <c r="AB19" s="22"/>
      <c r="AC19" s="23">
        <f t="shared" si="15"/>
        <v>18932.7430850857</v>
      </c>
    </row>
    <row r="20" s="1" customFormat="1" spans="2:32">
      <c r="B20" s="28" t="s">
        <v>48</v>
      </c>
      <c r="C20" s="34">
        <f>22.5%+10%</f>
        <v>0.325</v>
      </c>
      <c r="D20" s="28"/>
      <c r="E20" s="35"/>
      <c r="F20" s="28" t="s">
        <v>50</v>
      </c>
      <c r="G20" s="31"/>
      <c r="H20" s="28" t="s">
        <v>50</v>
      </c>
      <c r="I20" s="31"/>
      <c r="J20" s="33"/>
      <c r="K20" s="31"/>
      <c r="L20" s="28"/>
      <c r="M20" s="29"/>
      <c r="N20" s="5"/>
      <c r="P20" s="15" t="s">
        <v>75</v>
      </c>
      <c r="Q20" s="16">
        <f>82.69%*3</f>
        <v>2.4807</v>
      </c>
      <c r="R20" s="17" t="s">
        <v>69</v>
      </c>
      <c r="S20" s="18">
        <f t="shared" si="9"/>
        <v>999</v>
      </c>
      <c r="T20" s="19">
        <f t="shared" si="10"/>
        <v>1.69735035035035</v>
      </c>
      <c r="U20" s="19">
        <f t="shared" si="16"/>
        <v>2.362</v>
      </c>
      <c r="V20" s="20">
        <f t="shared" si="11"/>
        <v>2.71518</v>
      </c>
      <c r="W20" s="21">
        <f>$K$16+256%</f>
        <v>2.56</v>
      </c>
      <c r="X20" s="20">
        <f t="shared" si="13"/>
        <v>0.60687984545645</v>
      </c>
      <c r="Y20" s="18">
        <f t="shared" si="14"/>
        <v>1</v>
      </c>
      <c r="Z20" s="22">
        <v>0.91</v>
      </c>
      <c r="AA20" s="22"/>
      <c r="AB20" s="22">
        <v>2</v>
      </c>
      <c r="AC20" s="23">
        <f t="shared" si="15"/>
        <v>755406.580819006</v>
      </c>
    </row>
    <row r="21" s="1" customFormat="1" spans="2:32">
      <c r="B21" s="28" t="s">
        <v>52</v>
      </c>
      <c r="C21" s="29">
        <v>350</v>
      </c>
      <c r="D21" s="28" t="s">
        <v>76</v>
      </c>
      <c r="E21" s="30">
        <f>12%+M17</f>
        <v>0.292</v>
      </c>
      <c r="F21" s="36" t="s">
        <v>53</v>
      </c>
      <c r="G21" s="37">
        <f>MIN(100%,SUM(G16:G20))</f>
        <v>0.898</v>
      </c>
      <c r="H21" s="36" t="s">
        <v>54</v>
      </c>
      <c r="I21" s="38">
        <f>SUM(I16:I20)</f>
        <v>2.91</v>
      </c>
      <c r="J21" s="33"/>
      <c r="K21" s="31"/>
      <c r="L21" s="28"/>
      <c r="M21" s="29"/>
      <c r="N21" s="5"/>
      <c r="P21" s="15" t="s">
        <v>61</v>
      </c>
      <c r="Q21" s="16">
        <f>118.8%+59.4%*4</f>
        <v>3.564</v>
      </c>
      <c r="R21" s="17" t="s">
        <v>61</v>
      </c>
      <c r="S21" s="18">
        <f t="shared" si="9"/>
        <v>999</v>
      </c>
      <c r="T21" s="19">
        <f t="shared" si="10"/>
        <v>1.69735035035035</v>
      </c>
      <c r="U21" s="19">
        <f t="shared" si="16"/>
        <v>2.362</v>
      </c>
      <c r="V21" s="20">
        <f t="shared" si="11"/>
        <v>2.71518</v>
      </c>
      <c r="W21" s="96">
        <f>32%</f>
        <v>0.32</v>
      </c>
      <c r="X21" s="20">
        <f t="shared" si="13"/>
        <v>0.60687984545645</v>
      </c>
      <c r="Y21" s="18">
        <f t="shared" si="14"/>
        <v>1</v>
      </c>
      <c r="Z21" s="22"/>
      <c r="AA21" s="22"/>
      <c r="AB21" s="22"/>
      <c r="AC21" s="23">
        <f t="shared" si="15"/>
        <v>70228.5212507736</v>
      </c>
    </row>
    <row r="22" s="1" customFormat="1" spans="2:32">
      <c r="B22" s="39" t="s">
        <v>56</v>
      </c>
      <c r="C22" s="40"/>
      <c r="D22" s="39" t="s">
        <v>77</v>
      </c>
      <c r="E22" s="41"/>
      <c r="F22" s="39"/>
      <c r="G22" s="42"/>
      <c r="H22" s="39"/>
      <c r="I22" s="40"/>
      <c r="J22" s="43"/>
      <c r="K22" s="42"/>
      <c r="L22" s="39"/>
      <c r="M22" s="40"/>
      <c r="N22" s="5"/>
      <c r="P22" s="15" t="s">
        <v>74</v>
      </c>
      <c r="Q22" s="16">
        <f t="shared" ref="Q22:Q27" si="17">59.35%+39.77%*2</f>
        <v>1.3889</v>
      </c>
      <c r="R22" s="17" t="s">
        <v>38</v>
      </c>
      <c r="S22" s="18">
        <f t="shared" si="9"/>
        <v>999</v>
      </c>
      <c r="T22" s="19">
        <f t="shared" si="10"/>
        <v>1.69735035035035</v>
      </c>
      <c r="U22" s="19">
        <f t="shared" ref="U22:U27" si="18">SUM($E$16:$E$20)+$E$22</f>
        <v>2.07</v>
      </c>
      <c r="V22" s="20">
        <f t="shared" si="11"/>
        <v>2.71518</v>
      </c>
      <c r="W22" s="21">
        <f t="shared" ref="W22:W25" si="19">$K$16</f>
        <v>0</v>
      </c>
      <c r="X22" s="20">
        <f t="shared" si="13"/>
        <v>0.60687984545645</v>
      </c>
      <c r="Y22" s="18">
        <f t="shared" si="14"/>
        <v>1</v>
      </c>
      <c r="Z22" s="22"/>
      <c r="AA22" s="22"/>
      <c r="AB22" s="22"/>
      <c r="AC22" s="23">
        <f t="shared" si="15"/>
        <v>18932.7430850857</v>
      </c>
    </row>
    <row r="23" s="1" customFormat="1" spans="2:32">
      <c r="B23" s="44"/>
      <c r="C23" s="44"/>
      <c r="D23" s="44"/>
      <c r="E23" s="45"/>
      <c r="F23" s="44"/>
      <c r="G23" s="46"/>
      <c r="H23" s="44"/>
      <c r="I23" s="44"/>
      <c r="J23" s="46"/>
      <c r="K23" s="46"/>
      <c r="L23" s="44"/>
      <c r="M23" s="44"/>
      <c r="N23" s="5"/>
      <c r="P23" s="15" t="s">
        <v>75</v>
      </c>
      <c r="Q23" s="16">
        <f t="shared" ref="Q23:Q28" si="20">82.69%*3</f>
        <v>2.4807</v>
      </c>
      <c r="R23" s="17" t="s">
        <v>69</v>
      </c>
      <c r="S23" s="18">
        <f t="shared" si="9"/>
        <v>999</v>
      </c>
      <c r="T23" s="19">
        <f t="shared" si="10"/>
        <v>1.69735035035035</v>
      </c>
      <c r="U23" s="19">
        <f t="shared" ref="U23:U28" si="21">SUM($E$16:$E$20)+$E$21</f>
        <v>2.362</v>
      </c>
      <c r="V23" s="20">
        <f t="shared" si="11"/>
        <v>2.71518</v>
      </c>
      <c r="W23" s="21">
        <f t="shared" ref="W23:W28" si="22">$K$16+256%</f>
        <v>2.56</v>
      </c>
      <c r="X23" s="20">
        <f t="shared" si="13"/>
        <v>0.60687984545645</v>
      </c>
      <c r="Y23" s="18">
        <f t="shared" si="14"/>
        <v>1</v>
      </c>
      <c r="Z23" s="22">
        <v>0.91</v>
      </c>
      <c r="AA23" s="22"/>
      <c r="AB23" s="22"/>
      <c r="AC23" s="23">
        <f t="shared" si="15"/>
        <v>251802.193606335</v>
      </c>
    </row>
    <row r="24" s="1" customFormat="1" spans="2:32">
      <c r="B24" s="44"/>
      <c r="C24" s="44"/>
      <c r="D24" s="44"/>
      <c r="E24" s="45"/>
      <c r="F24" s="44"/>
      <c r="G24" s="46"/>
      <c r="H24" s="44"/>
      <c r="I24" s="44"/>
      <c r="J24" s="46"/>
      <c r="K24" s="46"/>
      <c r="L24" s="44"/>
      <c r="M24" s="44"/>
      <c r="N24" s="5"/>
      <c r="P24" s="15" t="s">
        <v>78</v>
      </c>
      <c r="Q24" s="16">
        <v>4.016</v>
      </c>
      <c r="R24" s="17" t="s">
        <v>44</v>
      </c>
      <c r="S24" s="18">
        <f t="shared" si="9"/>
        <v>999</v>
      </c>
      <c r="T24" s="19">
        <f t="shared" si="10"/>
        <v>1.69735035035035</v>
      </c>
      <c r="U24" s="19">
        <f>SUM($E$16:$E$20)</f>
        <v>2.07</v>
      </c>
      <c r="V24" s="20">
        <f t="shared" si="11"/>
        <v>2.71518</v>
      </c>
      <c r="W24" s="21">
        <f t="shared" si="19"/>
        <v>0</v>
      </c>
      <c r="X24" s="20">
        <f t="shared" si="13"/>
        <v>0.60687984545645</v>
      </c>
      <c r="Y24" s="18">
        <f t="shared" si="14"/>
        <v>1</v>
      </c>
      <c r="Z24" s="22">
        <v>4.5</v>
      </c>
      <c r="AA24" s="22"/>
      <c r="AB24" s="22"/>
      <c r="AC24" s="23">
        <f t="shared" si="15"/>
        <v>301091.820335066</v>
      </c>
    </row>
    <row r="25" s="1" customFormat="1" ht="15" spans="2:32">
      <c r="B25" s="25" t="s">
        <v>79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5"/>
      <c r="P25" s="15" t="s">
        <v>74</v>
      </c>
      <c r="Q25" s="16">
        <f t="shared" si="17"/>
        <v>1.3889</v>
      </c>
      <c r="R25" s="17" t="s">
        <v>38</v>
      </c>
      <c r="S25" s="18">
        <f t="shared" si="9"/>
        <v>999</v>
      </c>
      <c r="T25" s="19">
        <f t="shared" si="10"/>
        <v>1.69735035035035</v>
      </c>
      <c r="U25" s="19">
        <f t="shared" si="18"/>
        <v>2.07</v>
      </c>
      <c r="V25" s="20">
        <f t="shared" si="11"/>
        <v>2.71518</v>
      </c>
      <c r="W25" s="21">
        <f t="shared" si="19"/>
        <v>0</v>
      </c>
      <c r="X25" s="20">
        <f t="shared" si="13"/>
        <v>0.60687984545645</v>
      </c>
      <c r="Y25" s="18">
        <f t="shared" si="14"/>
        <v>1</v>
      </c>
      <c r="Z25" s="22"/>
      <c r="AA25" s="22"/>
      <c r="AB25" s="22"/>
      <c r="AC25" s="23">
        <f t="shared" si="15"/>
        <v>18932.7430850857</v>
      </c>
    </row>
    <row r="26" s="1" customFormat="1" spans="2:32">
      <c r="B26" s="26" t="s">
        <v>18</v>
      </c>
      <c r="C26" s="27"/>
      <c r="D26" s="26" t="s">
        <v>6</v>
      </c>
      <c r="E26" s="27"/>
      <c r="F26" s="26" t="s">
        <v>19</v>
      </c>
      <c r="G26" s="27"/>
      <c r="H26" s="26" t="s">
        <v>20</v>
      </c>
      <c r="I26" s="27"/>
      <c r="J26" s="26" t="s">
        <v>8</v>
      </c>
      <c r="K26" s="27"/>
      <c r="L26" s="26" t="s">
        <v>21</v>
      </c>
      <c r="M26" s="27"/>
      <c r="N26" s="5"/>
      <c r="P26" s="15" t="s">
        <v>75</v>
      </c>
      <c r="Q26" s="16">
        <f t="shared" si="20"/>
        <v>2.4807</v>
      </c>
      <c r="R26" s="17" t="s">
        <v>69</v>
      </c>
      <c r="S26" s="18">
        <f t="shared" si="9"/>
        <v>999</v>
      </c>
      <c r="T26" s="19">
        <f t="shared" si="10"/>
        <v>1.69735035035035</v>
      </c>
      <c r="U26" s="19">
        <f t="shared" si="21"/>
        <v>2.362</v>
      </c>
      <c r="V26" s="20">
        <f t="shared" si="11"/>
        <v>2.71518</v>
      </c>
      <c r="W26" s="21">
        <f t="shared" si="22"/>
        <v>2.56</v>
      </c>
      <c r="X26" s="20">
        <f t="shared" si="13"/>
        <v>0.60687984545645</v>
      </c>
      <c r="Y26" s="18">
        <f t="shared" si="14"/>
        <v>1</v>
      </c>
      <c r="Z26" s="22">
        <v>0.91</v>
      </c>
      <c r="AA26" s="22"/>
      <c r="AB26" s="22"/>
      <c r="AC26" s="23">
        <f t="shared" si="15"/>
        <v>251802.193606335</v>
      </c>
    </row>
    <row r="27" s="1" customFormat="1" spans="2:32">
      <c r="B27" s="28" t="s">
        <v>24</v>
      </c>
      <c r="C27" s="29">
        <f>375+587</f>
        <v>962</v>
      </c>
      <c r="D27" s="28" t="s">
        <v>25</v>
      </c>
      <c r="E27" s="30">
        <v>0.6</v>
      </c>
      <c r="F27" s="28" t="s">
        <v>26</v>
      </c>
      <c r="G27" s="31">
        <v>0.05</v>
      </c>
      <c r="H27" s="28" t="s">
        <v>26</v>
      </c>
      <c r="I27" s="30">
        <f>150%+16%</f>
        <v>1.66</v>
      </c>
      <c r="J27" s="32" t="s">
        <v>27</v>
      </c>
      <c r="K27" s="30"/>
      <c r="L27" s="28" t="s">
        <v>28</v>
      </c>
      <c r="M27" s="31">
        <f>8.6%*4</f>
        <v>0.344</v>
      </c>
      <c r="N27" s="5"/>
      <c r="P27" s="15" t="s">
        <v>74</v>
      </c>
      <c r="Q27" s="16">
        <f t="shared" si="17"/>
        <v>1.3889</v>
      </c>
      <c r="R27" s="17" t="s">
        <v>38</v>
      </c>
      <c r="S27" s="18">
        <f t="shared" si="9"/>
        <v>999</v>
      </c>
      <c r="T27" s="19">
        <f t="shared" si="10"/>
        <v>1.69735035035035</v>
      </c>
      <c r="U27" s="19">
        <f t="shared" si="18"/>
        <v>2.07</v>
      </c>
      <c r="V27" s="20">
        <f t="shared" si="11"/>
        <v>2.71518</v>
      </c>
      <c r="W27" s="21">
        <f>$K$16</f>
        <v>0</v>
      </c>
      <c r="X27" s="20">
        <f t="shared" si="13"/>
        <v>0.60687984545645</v>
      </c>
      <c r="Y27" s="18">
        <f t="shared" si="14"/>
        <v>1</v>
      </c>
      <c r="Z27" s="22"/>
      <c r="AA27" s="22"/>
      <c r="AB27" s="22"/>
      <c r="AC27" s="23">
        <f t="shared" si="15"/>
        <v>18932.7430850857</v>
      </c>
    </row>
    <row r="28" s="1" customFormat="1" spans="2:32">
      <c r="B28" s="28" t="s">
        <v>31</v>
      </c>
      <c r="C28" s="30">
        <f>12%+12%</f>
        <v>0.24</v>
      </c>
      <c r="D28" s="28" t="s">
        <v>66</v>
      </c>
      <c r="E28" s="30">
        <f>12%+20%</f>
        <v>0.32</v>
      </c>
      <c r="F28" s="28" t="s">
        <v>33</v>
      </c>
      <c r="G28" s="31">
        <v>0.243</v>
      </c>
      <c r="H28" s="28" t="s">
        <v>34</v>
      </c>
      <c r="I28" s="31">
        <f>44%+M30</f>
        <v>1.25</v>
      </c>
      <c r="J28" s="33"/>
      <c r="K28" s="31"/>
      <c r="L28" s="28" t="s">
        <v>30</v>
      </c>
      <c r="M28" s="31"/>
      <c r="N28" s="5"/>
      <c r="P28" s="15" t="s">
        <v>75</v>
      </c>
      <c r="Q28" s="16">
        <f t="shared" si="20"/>
        <v>2.4807</v>
      </c>
      <c r="R28" s="17" t="s">
        <v>69</v>
      </c>
      <c r="S28" s="18">
        <f t="shared" si="9"/>
        <v>999</v>
      </c>
      <c r="T28" s="19">
        <f t="shared" si="10"/>
        <v>1.69735035035035</v>
      </c>
      <c r="U28" s="19">
        <f t="shared" si="21"/>
        <v>2.362</v>
      </c>
      <c r="V28" s="20">
        <f t="shared" si="11"/>
        <v>2.71518</v>
      </c>
      <c r="W28" s="21">
        <f t="shared" si="22"/>
        <v>2.56</v>
      </c>
      <c r="X28" s="20">
        <f t="shared" si="13"/>
        <v>0.60687984545645</v>
      </c>
      <c r="Y28" s="18">
        <f t="shared" si="14"/>
        <v>1</v>
      </c>
      <c r="Z28" s="22">
        <v>0.91</v>
      </c>
      <c r="AA28" s="22"/>
      <c r="AB28" s="22"/>
      <c r="AC28" s="23">
        <f t="shared" si="15"/>
        <v>251802.193606335</v>
      </c>
    </row>
    <row r="29" s="1" customFormat="1" spans="2:32">
      <c r="B29" s="28" t="s">
        <v>39</v>
      </c>
      <c r="C29" s="30">
        <f>18%+18%+M27</f>
        <v>0.704</v>
      </c>
      <c r="D29" s="28" t="s">
        <v>0</v>
      </c>
      <c r="E29" s="30">
        <v>0.24</v>
      </c>
      <c r="F29" s="28" t="s">
        <v>80</v>
      </c>
      <c r="G29" s="31">
        <v>0.15</v>
      </c>
      <c r="H29" s="28"/>
      <c r="I29" s="31"/>
      <c r="J29" s="33"/>
      <c r="K29" s="31"/>
      <c r="L29" s="28" t="s">
        <v>19</v>
      </c>
      <c r="M29" s="31">
        <f>8.1*5%</f>
        <v>0.405</v>
      </c>
      <c r="N29" s="5"/>
      <c r="P29" s="47" t="s">
        <v>81</v>
      </c>
      <c r="Q29" s="19">
        <f>528.41%</f>
        <v>5.2841</v>
      </c>
      <c r="R29" s="18" t="s">
        <v>82</v>
      </c>
      <c r="S29" s="18">
        <f t="shared" si="9"/>
        <v>999</v>
      </c>
      <c r="T29" s="19">
        <f t="shared" si="10"/>
        <v>1.69735035035035</v>
      </c>
      <c r="U29" s="19">
        <f>SUM($E$16:$E$20)</f>
        <v>2.07</v>
      </c>
      <c r="V29" s="20">
        <f t="shared" si="11"/>
        <v>2.71518</v>
      </c>
      <c r="W29" s="96">
        <v>1.2</v>
      </c>
      <c r="X29" s="20">
        <f t="shared" si="13"/>
        <v>0.60687984545645</v>
      </c>
      <c r="Y29" s="18">
        <f t="shared" si="14"/>
        <v>1</v>
      </c>
      <c r="Z29" s="22">
        <v>2.55</v>
      </c>
      <c r="AA29" s="22"/>
      <c r="AB29" s="22"/>
      <c r="AC29" s="23">
        <f t="shared" si="15"/>
        <v>562554.529064287</v>
      </c>
    </row>
    <row r="30" s="1" customFormat="1" spans="2:32">
      <c r="B30" s="28" t="s">
        <v>72</v>
      </c>
      <c r="C30" s="34">
        <v>0.25</v>
      </c>
      <c r="D30" s="28" t="s">
        <v>73</v>
      </c>
      <c r="E30" s="30">
        <v>0.5</v>
      </c>
      <c r="F30" s="28" t="s">
        <v>34</v>
      </c>
      <c r="G30" s="31">
        <f>M29</f>
        <v>0.405</v>
      </c>
      <c r="H30" s="28"/>
      <c r="I30" s="31"/>
      <c r="J30" s="33"/>
      <c r="K30" s="31"/>
      <c r="L30" s="28" t="s">
        <v>46</v>
      </c>
      <c r="M30" s="30">
        <f>16.2%*5</f>
        <v>0.81</v>
      </c>
      <c r="N30" s="5"/>
      <c r="P30" s="56"/>
      <c r="Q30" s="57"/>
      <c r="R30" s="58"/>
      <c r="S30" s="51"/>
      <c r="T30" s="50"/>
      <c r="U30" s="50"/>
      <c r="V30" s="52"/>
      <c r="W30" s="53"/>
      <c r="X30" s="52"/>
      <c r="Y30" s="51"/>
      <c r="Z30" s="54"/>
      <c r="AA30" s="54"/>
      <c r="AB30" s="54"/>
      <c r="AC30" s="55">
        <f t="shared" si="15"/>
        <v>0</v>
      </c>
    </row>
    <row r="31" s="1" customFormat="1" spans="2:32">
      <c r="B31" s="28" t="s">
        <v>45</v>
      </c>
      <c r="C31" s="34">
        <v>0.15</v>
      </c>
      <c r="D31" s="28"/>
      <c r="E31" s="35"/>
      <c r="F31" s="28" t="s">
        <v>50</v>
      </c>
      <c r="G31" s="31"/>
      <c r="H31" s="28" t="s">
        <v>50</v>
      </c>
      <c r="I31" s="31"/>
      <c r="J31" s="33"/>
      <c r="K31" s="31"/>
      <c r="L31" s="28"/>
      <c r="M31" s="29"/>
      <c r="N31" s="5"/>
      <c r="P31" s="49" t="s">
        <v>22</v>
      </c>
      <c r="Q31" s="50">
        <v>1.6899</v>
      </c>
      <c r="R31" s="51" t="s">
        <v>23</v>
      </c>
      <c r="S31" s="51">
        <f t="shared" ref="S31:S40" si="23">$C$27</f>
        <v>962</v>
      </c>
      <c r="T31" s="50">
        <f t="shared" ref="T31:T40" si="24">($C$28+$C$29+$C$30+$C$31)+($C$32+$C$33)/S31</f>
        <v>1.70782536382536</v>
      </c>
      <c r="U31" s="50">
        <f t="shared" ref="U31:U34" si="25">SUM($E$27:$E$31)</f>
        <v>1.66</v>
      </c>
      <c r="V31" s="52">
        <f t="shared" ref="V31:V40" si="26">1+$G$32*($I$32-1)</f>
        <v>2.61968</v>
      </c>
      <c r="W31" s="53">
        <f t="shared" ref="W31:W40" si="27">$K$27</f>
        <v>0</v>
      </c>
      <c r="X31" s="52">
        <f t="shared" ref="X31:X40" si="28">$AF$7</f>
        <v>0.582139232997858</v>
      </c>
      <c r="Y31" s="51">
        <f t="shared" ref="Y31:Y40" si="29">$AF$17</f>
        <v>1</v>
      </c>
      <c r="Z31" s="54"/>
      <c r="AA31" s="54"/>
      <c r="AB31" s="54"/>
      <c r="AC31" s="55">
        <f t="shared" si="15"/>
        <v>17857.2048358786</v>
      </c>
    </row>
    <row r="32" s="1" customFormat="1" spans="2:32">
      <c r="B32" s="28" t="s">
        <v>52</v>
      </c>
      <c r="C32" s="29">
        <v>350</v>
      </c>
      <c r="D32" s="28" t="s">
        <v>76</v>
      </c>
      <c r="E32" s="30"/>
      <c r="F32" s="36" t="s">
        <v>53</v>
      </c>
      <c r="G32" s="37">
        <f>MIN(100%,SUM(G27:G31))</f>
        <v>0.848</v>
      </c>
      <c r="H32" s="36" t="s">
        <v>54</v>
      </c>
      <c r="I32" s="38">
        <f>SUM(I27:I31)</f>
        <v>2.91</v>
      </c>
      <c r="J32" s="33"/>
      <c r="K32" s="31"/>
      <c r="L32" s="28"/>
      <c r="M32" s="29"/>
      <c r="N32" s="5"/>
      <c r="P32" s="56" t="s">
        <v>30</v>
      </c>
      <c r="Q32" s="57">
        <v>2.9793</v>
      </c>
      <c r="R32" s="58" t="s">
        <v>30</v>
      </c>
      <c r="S32" s="51">
        <f t="shared" si="23"/>
        <v>962</v>
      </c>
      <c r="T32" s="50">
        <f t="shared" si="24"/>
        <v>1.70782536382536</v>
      </c>
      <c r="U32" s="50">
        <f t="shared" si="25"/>
        <v>1.66</v>
      </c>
      <c r="V32" s="52">
        <f t="shared" si="26"/>
        <v>2.61968</v>
      </c>
      <c r="W32" s="53">
        <f t="shared" si="27"/>
        <v>0</v>
      </c>
      <c r="X32" s="52">
        <f t="shared" si="28"/>
        <v>0.582139232997858</v>
      </c>
      <c r="Y32" s="51">
        <f t="shared" si="29"/>
        <v>1</v>
      </c>
      <c r="Z32" s="54"/>
      <c r="AA32" s="54"/>
      <c r="AB32" s="54"/>
      <c r="AC32" s="55">
        <f t="shared" si="15"/>
        <v>31482.3186978716</v>
      </c>
    </row>
    <row r="33" s="1" customFormat="1" spans="2:29">
      <c r="B33" s="39" t="s">
        <v>56</v>
      </c>
      <c r="C33" s="40"/>
      <c r="D33" s="39" t="s">
        <v>77</v>
      </c>
      <c r="E33" s="41"/>
      <c r="F33" s="39"/>
      <c r="G33" s="42"/>
      <c r="H33" s="39"/>
      <c r="I33" s="40"/>
      <c r="J33" s="43"/>
      <c r="K33" s="42"/>
      <c r="L33" s="39"/>
      <c r="M33" s="40"/>
      <c r="N33" s="5"/>
      <c r="P33" s="49" t="s">
        <v>30</v>
      </c>
      <c r="Q33" s="50">
        <v>2.3858</v>
      </c>
      <c r="R33" s="51" t="s">
        <v>30</v>
      </c>
      <c r="S33" s="51">
        <f t="shared" si="23"/>
        <v>962</v>
      </c>
      <c r="T33" s="50">
        <f t="shared" si="24"/>
        <v>1.70782536382536</v>
      </c>
      <c r="U33" s="50">
        <f>SUM($E$27:$E$31)+60%</f>
        <v>2.26</v>
      </c>
      <c r="V33" s="52">
        <f t="shared" si="26"/>
        <v>2.61968</v>
      </c>
      <c r="W33" s="53">
        <f t="shared" si="27"/>
        <v>0</v>
      </c>
      <c r="X33" s="52">
        <f t="shared" si="28"/>
        <v>0.582139232997858</v>
      </c>
      <c r="Y33" s="51">
        <f t="shared" si="29"/>
        <v>1</v>
      </c>
      <c r="Z33" s="54"/>
      <c r="AA33" s="54"/>
      <c r="AB33" s="54"/>
      <c r="AC33" s="55">
        <f t="shared" si="15"/>
        <v>30897.4381875272</v>
      </c>
    </row>
    <row r="34" s="1" customFormat="1" spans="2:29">
      <c r="B34" s="44"/>
      <c r="C34" s="44"/>
      <c r="D34" s="44"/>
      <c r="E34" s="45"/>
      <c r="F34" s="44"/>
      <c r="G34" s="46"/>
      <c r="H34" s="44"/>
      <c r="I34" s="44"/>
      <c r="J34" s="46"/>
      <c r="K34" s="46"/>
      <c r="L34" s="44"/>
      <c r="M34" s="44"/>
      <c r="N34" s="5"/>
      <c r="P34" s="56" t="s">
        <v>83</v>
      </c>
      <c r="Q34" s="57"/>
      <c r="R34" s="58"/>
      <c r="S34" s="51">
        <f t="shared" si="23"/>
        <v>962</v>
      </c>
      <c r="T34" s="50">
        <f t="shared" si="24"/>
        <v>1.70782536382536</v>
      </c>
      <c r="U34" s="50">
        <f t="shared" si="25"/>
        <v>1.66</v>
      </c>
      <c r="V34" s="52">
        <f t="shared" si="26"/>
        <v>2.61968</v>
      </c>
      <c r="W34" s="53">
        <f t="shared" si="27"/>
        <v>0</v>
      </c>
      <c r="X34" s="52">
        <f t="shared" si="28"/>
        <v>0.582139232997858</v>
      </c>
      <c r="Y34" s="51">
        <f t="shared" si="29"/>
        <v>1</v>
      </c>
      <c r="Z34" s="54"/>
      <c r="AA34" s="54"/>
      <c r="AB34" s="54"/>
      <c r="AC34" s="55">
        <f t="shared" si="15"/>
        <v>0</v>
      </c>
    </row>
    <row r="35" s="1" customFormat="1" ht="15" spans="2:29">
      <c r="B35" s="59" t="s">
        <v>84</v>
      </c>
      <c r="C35" s="5"/>
      <c r="D35" s="5"/>
      <c r="E35" s="5"/>
      <c r="F35" s="5"/>
      <c r="G35" s="6"/>
      <c r="H35" s="5"/>
      <c r="I35" s="5"/>
      <c r="J35" s="5"/>
      <c r="K35" s="5"/>
      <c r="L35" s="5"/>
      <c r="M35" s="5"/>
      <c r="N35" s="5"/>
      <c r="P35" s="49" t="s">
        <v>44</v>
      </c>
      <c r="Q35" s="50">
        <v>8.7477</v>
      </c>
      <c r="R35" s="51" t="s">
        <v>44</v>
      </c>
      <c r="S35" s="51">
        <f t="shared" si="23"/>
        <v>962</v>
      </c>
      <c r="T35" s="50">
        <f t="shared" si="24"/>
        <v>1.70782536382536</v>
      </c>
      <c r="U35" s="50">
        <f>SUM($E$27:$E$31)+40%</f>
        <v>2.06</v>
      </c>
      <c r="V35" s="52">
        <f t="shared" si="26"/>
        <v>2.61968</v>
      </c>
      <c r="W35" s="53">
        <f t="shared" si="27"/>
        <v>0</v>
      </c>
      <c r="X35" s="52">
        <f t="shared" si="28"/>
        <v>0.582139232997858</v>
      </c>
      <c r="Y35" s="51">
        <f t="shared" si="29"/>
        <v>1</v>
      </c>
      <c r="Z35" s="54"/>
      <c r="AA35" s="54"/>
      <c r="AB35" s="54"/>
      <c r="AC35" s="55">
        <f t="shared" si="15"/>
        <v>106337.426308763</v>
      </c>
    </row>
    <row r="36" s="1" customFormat="1" ht="20" customHeight="1" spans="2:29">
      <c r="B36" s="60"/>
      <c r="C36" s="60" t="s">
        <v>86</v>
      </c>
      <c r="D36" s="60" t="s">
        <v>87</v>
      </c>
      <c r="E36" s="60" t="s">
        <v>88</v>
      </c>
      <c r="F36" s="61"/>
      <c r="G36" s="6"/>
      <c r="H36" s="5"/>
      <c r="I36" s="5"/>
      <c r="J36" s="5"/>
      <c r="K36" s="5"/>
      <c r="L36" s="5"/>
      <c r="M36" s="5"/>
      <c r="N36" s="5"/>
      <c r="P36" s="56" t="s">
        <v>69</v>
      </c>
      <c r="Q36" s="57">
        <v>0.9635</v>
      </c>
      <c r="R36" s="58" t="s">
        <v>69</v>
      </c>
      <c r="S36" s="51">
        <f t="shared" si="23"/>
        <v>962</v>
      </c>
      <c r="T36" s="50">
        <f t="shared" si="24"/>
        <v>1.70782536382536</v>
      </c>
      <c r="U36" s="50">
        <f t="shared" ref="U36:U39" si="30">SUM($E$27:$E$31)</f>
        <v>1.66</v>
      </c>
      <c r="V36" s="52">
        <f t="shared" si="26"/>
        <v>2.61968</v>
      </c>
      <c r="W36" s="53">
        <f t="shared" si="27"/>
        <v>0</v>
      </c>
      <c r="X36" s="52">
        <f t="shared" si="28"/>
        <v>0.582139232997858</v>
      </c>
      <c r="Y36" s="51">
        <f t="shared" si="29"/>
        <v>1</v>
      </c>
      <c r="Z36" s="54"/>
      <c r="AA36" s="54"/>
      <c r="AB36" s="54"/>
      <c r="AC36" s="55">
        <f t="shared" si="15"/>
        <v>10181.3224802468</v>
      </c>
    </row>
    <row r="37" s="1" customFormat="1" ht="20" customHeight="1" spans="2:29">
      <c r="B37" s="62" t="s">
        <v>105</v>
      </c>
      <c r="C37" s="62">
        <f>SUM(AC3:AC13)</f>
        <v>380096.509643578</v>
      </c>
      <c r="D37" s="62">
        <f>C37/E37</f>
        <v>15203.8603857431</v>
      </c>
      <c r="E37" s="61">
        <v>25</v>
      </c>
      <c r="F37" s="61"/>
      <c r="G37" s="6"/>
      <c r="H37" s="5"/>
      <c r="I37" s="5"/>
      <c r="J37" s="5"/>
      <c r="K37" s="5"/>
      <c r="L37" s="5"/>
      <c r="M37" s="5"/>
      <c r="N37" s="5"/>
      <c r="P37" s="49" t="s">
        <v>69</v>
      </c>
      <c r="Q37" s="50">
        <v>0.7605</v>
      </c>
      <c r="R37" s="51" t="s">
        <v>69</v>
      </c>
      <c r="S37" s="51">
        <f t="shared" si="23"/>
        <v>962</v>
      </c>
      <c r="T37" s="50">
        <f t="shared" si="24"/>
        <v>1.70782536382536</v>
      </c>
      <c r="U37" s="50">
        <f t="shared" si="30"/>
        <v>1.66</v>
      </c>
      <c r="V37" s="52">
        <f t="shared" si="26"/>
        <v>2.61968</v>
      </c>
      <c r="W37" s="53">
        <f t="shared" si="27"/>
        <v>0</v>
      </c>
      <c r="X37" s="52">
        <f t="shared" si="28"/>
        <v>0.582139232997858</v>
      </c>
      <c r="Y37" s="51">
        <f t="shared" si="29"/>
        <v>1</v>
      </c>
      <c r="Z37" s="54"/>
      <c r="AA37" s="54"/>
      <c r="AB37" s="54"/>
      <c r="AC37" s="55">
        <f t="shared" si="15"/>
        <v>8036.21769198514</v>
      </c>
    </row>
    <row r="38" s="1" customFormat="1" ht="20" customHeight="1" spans="2:29">
      <c r="B38" s="62" t="s">
        <v>106</v>
      </c>
      <c r="C38" s="62">
        <f>SUM(AC16:AC29)</f>
        <v>2718207.00597516</v>
      </c>
      <c r="D38" s="62">
        <f>C38/E37</f>
        <v>108728.280239006</v>
      </c>
      <c r="E38" s="6"/>
      <c r="F38" s="5"/>
      <c r="G38" s="6"/>
      <c r="H38" s="5"/>
      <c r="I38" s="5"/>
      <c r="J38" s="5"/>
      <c r="K38" s="5"/>
      <c r="L38" s="5"/>
      <c r="M38" s="5"/>
      <c r="N38" s="5"/>
      <c r="P38" s="56" t="s">
        <v>69</v>
      </c>
      <c r="Q38" s="57">
        <v>1.2675</v>
      </c>
      <c r="R38" s="58" t="s">
        <v>69</v>
      </c>
      <c r="S38" s="51">
        <f t="shared" si="23"/>
        <v>962</v>
      </c>
      <c r="T38" s="50">
        <f t="shared" si="24"/>
        <v>1.70782536382536</v>
      </c>
      <c r="U38" s="50">
        <f t="shared" si="30"/>
        <v>1.66</v>
      </c>
      <c r="V38" s="52">
        <f t="shared" si="26"/>
        <v>2.61968</v>
      </c>
      <c r="W38" s="53">
        <f t="shared" si="27"/>
        <v>0</v>
      </c>
      <c r="X38" s="52">
        <f t="shared" si="28"/>
        <v>0.582139232997858</v>
      </c>
      <c r="Y38" s="51">
        <f t="shared" si="29"/>
        <v>1</v>
      </c>
      <c r="Z38" s="54"/>
      <c r="AA38" s="54"/>
      <c r="AB38" s="54"/>
      <c r="AC38" s="55">
        <f t="shared" si="15"/>
        <v>13393.6961533086</v>
      </c>
    </row>
    <row r="39" s="1" customFormat="1" ht="20" customHeight="1" spans="2:29">
      <c r="B39" s="62" t="s">
        <v>107</v>
      </c>
      <c r="C39" s="62">
        <f>SUM(AC31:AC40)</f>
        <v>280565.38124098</v>
      </c>
      <c r="D39" s="62">
        <f>C39/E37</f>
        <v>11222.6152496392</v>
      </c>
      <c r="E39" s="5"/>
      <c r="F39" s="5"/>
      <c r="G39" s="6"/>
      <c r="H39" s="5"/>
      <c r="I39" s="5"/>
      <c r="J39" s="5"/>
      <c r="K39" s="5"/>
      <c r="L39" s="5"/>
      <c r="M39" s="5"/>
      <c r="N39" s="5"/>
      <c r="P39" s="49" t="s">
        <v>30</v>
      </c>
      <c r="Q39" s="50">
        <v>2.9793</v>
      </c>
      <c r="R39" s="51" t="s">
        <v>30</v>
      </c>
      <c r="S39" s="51">
        <f t="shared" si="23"/>
        <v>962</v>
      </c>
      <c r="T39" s="50">
        <f t="shared" si="24"/>
        <v>1.70782536382536</v>
      </c>
      <c r="U39" s="50">
        <f t="shared" si="30"/>
        <v>1.66</v>
      </c>
      <c r="V39" s="52">
        <f t="shared" si="26"/>
        <v>2.61968</v>
      </c>
      <c r="W39" s="53">
        <f t="shared" si="27"/>
        <v>0</v>
      </c>
      <c r="X39" s="52">
        <f t="shared" si="28"/>
        <v>0.582139232997858</v>
      </c>
      <c r="Y39" s="51">
        <f t="shared" si="29"/>
        <v>1</v>
      </c>
      <c r="Z39" s="54"/>
      <c r="AA39" s="54"/>
      <c r="AB39" s="54"/>
      <c r="AC39" s="55">
        <f t="shared" si="15"/>
        <v>31482.3186978716</v>
      </c>
    </row>
    <row r="40" s="1" customFormat="1" ht="20" customHeight="1" spans="2:29">
      <c r="B40" s="62" t="s">
        <v>89</v>
      </c>
      <c r="C40" s="62">
        <f>D40*E37</f>
        <v>52100</v>
      </c>
      <c r="D40" s="62">
        <v>2084</v>
      </c>
      <c r="E40" s="5"/>
      <c r="F40" s="5"/>
      <c r="G40" s="6"/>
      <c r="H40" s="5"/>
      <c r="I40" s="5"/>
      <c r="J40" s="5"/>
      <c r="K40" s="5"/>
      <c r="L40" s="5"/>
      <c r="M40" s="5"/>
      <c r="N40" s="5"/>
      <c r="P40" s="56" t="s">
        <v>30</v>
      </c>
      <c r="Q40" s="57">
        <v>2.3858</v>
      </c>
      <c r="R40" s="58" t="s">
        <v>30</v>
      </c>
      <c r="S40" s="51">
        <f t="shared" si="23"/>
        <v>962</v>
      </c>
      <c r="T40" s="50">
        <f t="shared" si="24"/>
        <v>1.70782536382536</v>
      </c>
      <c r="U40" s="50">
        <f>SUM($E$27:$E$31)+60%</f>
        <v>2.26</v>
      </c>
      <c r="V40" s="52">
        <f t="shared" si="26"/>
        <v>2.61968</v>
      </c>
      <c r="W40" s="53">
        <f t="shared" si="27"/>
        <v>0</v>
      </c>
      <c r="X40" s="52">
        <f t="shared" si="28"/>
        <v>0.582139232997858</v>
      </c>
      <c r="Y40" s="51">
        <f t="shared" si="29"/>
        <v>1</v>
      </c>
      <c r="Z40" s="54"/>
      <c r="AA40" s="54"/>
      <c r="AB40" s="54"/>
      <c r="AC40" s="55">
        <f t="shared" si="15"/>
        <v>30897.4381875272</v>
      </c>
    </row>
    <row r="41" s="1" customFormat="1" ht="20" customHeight="1" spans="2:29">
      <c r="B41" s="62" t="s">
        <v>90</v>
      </c>
      <c r="C41" s="62">
        <f>C37+C38+C39+C40+61803</f>
        <v>3492771.89685972</v>
      </c>
      <c r="D41" s="62">
        <f>C41/E37</f>
        <v>139710.875874389</v>
      </c>
      <c r="E41" s="5"/>
      <c r="F41" s="5"/>
      <c r="G41" s="6"/>
      <c r="H41" s="5"/>
      <c r="I41" s="5"/>
      <c r="J41" s="5"/>
      <c r="K41" s="5"/>
      <c r="L41" s="5"/>
      <c r="M41" s="5"/>
      <c r="N41" s="5"/>
      <c r="Q41" s="2"/>
      <c r="U41" s="2"/>
      <c r="V41" s="3"/>
      <c r="AB41" s="4"/>
      <c r="AC41" s="4"/>
    </row>
    <row r="42" s="1" customFormat="1" ht="20" customHeight="1" spans="2:29">
      <c r="B42" s="62"/>
      <c r="C42" s="62"/>
      <c r="D42" s="62"/>
      <c r="E42" s="5"/>
      <c r="F42" s="5"/>
      <c r="G42" s="6"/>
      <c r="H42" s="1"/>
      <c r="I42" s="5"/>
      <c r="J42" s="5"/>
      <c r="K42" s="5"/>
      <c r="L42" s="5"/>
      <c r="M42" s="5"/>
      <c r="N42" s="5"/>
      <c r="Q42" s="2"/>
      <c r="U42" s="2"/>
      <c r="V42" s="3"/>
      <c r="AB42" s="4"/>
      <c r="AC42" s="4"/>
    </row>
    <row r="43" s="1" customFormat="1" spans="2:29">
      <c r="B43" s="62"/>
      <c r="C43" s="97" t="s">
        <v>108</v>
      </c>
      <c r="D43" s="97" t="s">
        <v>109</v>
      </c>
      <c r="E43" s="98" t="s">
        <v>110</v>
      </c>
      <c r="F43" s="5"/>
      <c r="G43" s="6"/>
      <c r="H43" s="5"/>
      <c r="I43" s="5"/>
      <c r="J43" s="5"/>
      <c r="K43" s="5"/>
      <c r="L43" s="5"/>
      <c r="M43" s="5"/>
      <c r="N43" s="5"/>
      <c r="Q43" s="2"/>
      <c r="U43" s="2"/>
      <c r="V43" s="3"/>
      <c r="AB43" s="4"/>
      <c r="AC43" s="4"/>
    </row>
    <row r="44" s="1" customFormat="1" spans="2:29">
      <c r="B44" s="5"/>
      <c r="C44" s="6" t="s">
        <v>91</v>
      </c>
      <c r="D44" s="5">
        <v>57418</v>
      </c>
      <c r="E44" s="5" t="s">
        <v>111</v>
      </c>
      <c r="G44" s="6"/>
      <c r="H44" s="5"/>
      <c r="I44" s="5"/>
      <c r="J44" s="5"/>
      <c r="K44" s="5"/>
      <c r="L44" s="5"/>
      <c r="M44" s="5"/>
      <c r="N44" s="5"/>
      <c r="Q44" s="2"/>
      <c r="U44" s="2"/>
      <c r="V44" s="3"/>
      <c r="AB44" s="4"/>
      <c r="AC44" s="4"/>
    </row>
    <row r="45" s="1" customFormat="1" spans="2:29">
      <c r="B45" s="5"/>
      <c r="C45" s="6" t="s">
        <v>112</v>
      </c>
      <c r="D45" s="5">
        <v>73959</v>
      </c>
      <c r="E45" s="6">
        <f>D45/D44-1</f>
        <v>0.288080392908147</v>
      </c>
      <c r="F45" s="62"/>
      <c r="G45" s="2"/>
      <c r="H45" s="1"/>
      <c r="I45" s="1"/>
      <c r="N45" s="5"/>
      <c r="Q45" s="2"/>
      <c r="U45" s="2"/>
      <c r="V45" s="3"/>
      <c r="AB45" s="4"/>
      <c r="AC45" s="4"/>
    </row>
    <row r="46" s="1" customFormat="1" spans="2:29">
      <c r="B46" s="62"/>
      <c r="C46" s="62" t="s">
        <v>113</v>
      </c>
      <c r="D46" s="62">
        <v>139711</v>
      </c>
      <c r="E46" s="5"/>
      <c r="F46" s="62"/>
      <c r="G46" s="1"/>
      <c r="H46" s="1"/>
      <c r="I46" s="1"/>
      <c r="N46" s="5"/>
      <c r="Q46" s="2"/>
      <c r="U46" s="2"/>
      <c r="V46" s="3"/>
      <c r="AB46" s="4"/>
      <c r="AC46" s="4"/>
    </row>
    <row r="47" s="1" customFormat="1" spans="2:29">
      <c r="B47" s="62"/>
      <c r="C47" s="62"/>
      <c r="D47" s="62"/>
      <c r="E47" s="5"/>
      <c r="F47" s="5"/>
      <c r="G47" s="2"/>
      <c r="H47" s="1"/>
      <c r="I47" s="1"/>
      <c r="N47" s="5"/>
      <c r="Q47" s="2"/>
      <c r="U47" s="2"/>
      <c r="V47" s="3"/>
      <c r="AB47" s="4"/>
      <c r="AC47" s="4"/>
    </row>
    <row r="48" s="1" customFormat="1" spans="2:29">
      <c r="B48" s="5"/>
      <c r="C48" s="5"/>
      <c r="D48" s="5"/>
      <c r="E48" s="5"/>
      <c r="F48" s="62"/>
      <c r="G48" s="2"/>
      <c r="H48" s="1"/>
      <c r="I48" s="1"/>
      <c r="N48" s="5"/>
      <c r="Q48" s="2"/>
      <c r="U48" s="2"/>
      <c r="V48" s="3"/>
      <c r="AB48" s="4"/>
      <c r="AC48" s="4"/>
    </row>
    <row r="49" s="1" customFormat="1" spans="2:29">
      <c r="B49" s="62"/>
      <c r="C49" s="62"/>
      <c r="D49" s="62"/>
      <c r="E49" s="5"/>
      <c r="F49" s="62"/>
      <c r="G49" s="2"/>
      <c r="H49" s="1"/>
      <c r="I49" s="1"/>
      <c r="N49" s="5"/>
      <c r="Q49" s="2"/>
      <c r="U49" s="2"/>
      <c r="V49" s="3"/>
      <c r="AB49" s="4"/>
      <c r="AC49" s="4"/>
    </row>
    <row r="50" s="1" customFormat="1" spans="2:29">
      <c r="B50" s="62"/>
      <c r="C50" s="62"/>
      <c r="D50" s="62"/>
      <c r="E50" s="5"/>
      <c r="F50" s="5"/>
      <c r="G50" s="2"/>
      <c r="H50" s="1"/>
      <c r="I50" s="1"/>
      <c r="N50" s="5"/>
      <c r="Q50" s="2"/>
      <c r="U50" s="2"/>
      <c r="V50" s="3"/>
      <c r="AB50" s="4"/>
      <c r="AC50" s="4"/>
    </row>
    <row r="51" s="1" customFormat="1" spans="2:29">
      <c r="B51" s="5"/>
      <c r="C51" s="5"/>
      <c r="D51" s="5"/>
      <c r="E51" s="5"/>
      <c r="F51" s="62"/>
      <c r="G51" s="2"/>
      <c r="H51" s="1"/>
      <c r="I51" s="1"/>
      <c r="N51" s="5"/>
      <c r="Q51" s="2"/>
      <c r="U51" s="2"/>
      <c r="V51" s="3"/>
      <c r="AB51" s="4"/>
      <c r="AC51" s="4"/>
    </row>
    <row r="52" s="1" customFormat="1" spans="2:29">
      <c r="B52" s="62"/>
      <c r="C52" s="62"/>
      <c r="D52" s="62"/>
      <c r="E52" s="5"/>
      <c r="F52" s="62"/>
      <c r="G52" s="2"/>
      <c r="H52" s="1"/>
      <c r="I52" s="1"/>
      <c r="N52" s="5"/>
      <c r="Q52" s="2"/>
      <c r="U52" s="2"/>
      <c r="V52" s="3"/>
      <c r="AB52" s="4"/>
      <c r="AC52" s="4"/>
    </row>
    <row r="53" s="1" customFormat="1" spans="2:29">
      <c r="B53" s="62"/>
      <c r="C53" s="62"/>
      <c r="D53" s="62"/>
      <c r="E53" s="5"/>
      <c r="F53" s="5"/>
      <c r="G53" s="2"/>
      <c r="N53" s="5"/>
      <c r="Q53" s="2"/>
      <c r="U53" s="2"/>
      <c r="V53" s="3"/>
      <c r="AB53" s="4"/>
      <c r="AC53" s="4"/>
    </row>
    <row r="54" s="1" customFormat="1" spans="2:29">
      <c r="B54" s="5"/>
      <c r="C54" s="5"/>
      <c r="D54" s="5"/>
      <c r="F54" s="62"/>
      <c r="G54" s="2"/>
      <c r="N54" s="5"/>
      <c r="Q54" s="2"/>
      <c r="U54" s="2"/>
      <c r="V54" s="3"/>
      <c r="AB54" s="4"/>
      <c r="AC54" s="4"/>
    </row>
    <row r="55" s="1" customFormat="1" spans="2:29">
      <c r="B55" s="62"/>
      <c r="C55" s="62"/>
      <c r="D55" s="62"/>
      <c r="E55" s="1"/>
      <c r="G55" s="2"/>
      <c r="N55" s="5"/>
      <c r="Q55" s="2"/>
      <c r="U55" s="2"/>
      <c r="V55" s="3"/>
      <c r="AB55" s="4"/>
      <c r="AC55" s="4"/>
    </row>
    <row r="56" s="1" customFormat="1" spans="2:29">
      <c r="G56" s="2"/>
      <c r="N56" s="5"/>
      <c r="Q56" s="2"/>
      <c r="U56" s="2"/>
      <c r="V56" s="3"/>
      <c r="AB56" s="4"/>
      <c r="AC56" s="4"/>
    </row>
    <row r="57" s="1" customFormat="1" spans="2:29">
      <c r="G57" s="2"/>
      <c r="N57" s="5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57"/>
  <sheetViews>
    <sheetView topLeftCell="A14" workbookViewId="0">
      <selection activeCell="H45" sqref="H45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12.1818181818182" style="2" customWidth="1"/>
    <col min="8" max="8" width="8.09090909090909" style="1" customWidth="1"/>
    <col min="9" max="9" width="12.1818181818182" style="1" customWidth="1"/>
    <col min="10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5.1818181818182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11.8181818181818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4" width="9.69090909090909" style="1"/>
  </cols>
  <sheetData>
    <row r="1" ht="14.75"/>
    <row r="2" s="1" customFormat="1" ht="15" spans="2:32"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4" t="s">
        <v>9</v>
      </c>
      <c r="AF2" s="14" t="s">
        <v>17</v>
      </c>
    </row>
    <row r="3" s="1" customFormat="1" spans="2:32">
      <c r="B3" s="64" t="s">
        <v>18</v>
      </c>
      <c r="C3" s="65"/>
      <c r="D3" s="64" t="s">
        <v>6</v>
      </c>
      <c r="E3" s="65"/>
      <c r="F3" s="64" t="s">
        <v>19</v>
      </c>
      <c r="G3" s="65"/>
      <c r="H3" s="64" t="s">
        <v>20</v>
      </c>
      <c r="I3" s="65"/>
      <c r="J3" s="64" t="s">
        <v>8</v>
      </c>
      <c r="K3" s="65"/>
      <c r="L3" s="64" t="s">
        <v>21</v>
      </c>
      <c r="M3" s="65"/>
      <c r="N3" s="5"/>
      <c r="P3" s="89" t="s">
        <v>22</v>
      </c>
      <c r="Q3" s="83">
        <v>2</v>
      </c>
      <c r="R3" s="84" t="s">
        <v>23</v>
      </c>
      <c r="S3" s="84">
        <f t="shared" ref="S3:S14" si="0">$C$4</f>
        <v>937</v>
      </c>
      <c r="T3" s="83">
        <f t="shared" ref="T3:T14" si="1">($C$5+$C$6+$C$7+$C$8)+($C$9+$C$10)/S3</f>
        <v>1.7355325506937</v>
      </c>
      <c r="U3" s="83">
        <f t="shared" ref="U3:U6" si="2">SUM($E$4:$E$7)</f>
        <v>1.51</v>
      </c>
      <c r="V3" s="85">
        <f t="shared" ref="V3:V14" si="3">1+$G$9*($I$9-1)</f>
        <v>2.7954</v>
      </c>
      <c r="W3" s="86">
        <f t="shared" ref="W3:W14" si="4">$K$4</f>
        <v>0.15</v>
      </c>
      <c r="X3" s="85">
        <f t="shared" ref="X3:X14" si="5">$AE$4</f>
        <v>0.589512876202296</v>
      </c>
      <c r="Y3" s="84">
        <v>0.8</v>
      </c>
      <c r="Z3" s="87">
        <v>0</v>
      </c>
      <c r="AA3" s="87">
        <v>0</v>
      </c>
      <c r="AB3" s="87">
        <v>0</v>
      </c>
      <c r="AC3" s="88">
        <f t="shared" ref="AC3:AC14" si="6">Q3*S3*(1+T3)*(1+U3)*V3*(1+W3)*X3*Y3*(1+Z3)*(1+AA3)*(1+AB3)</f>
        <v>19507.8891244461</v>
      </c>
      <c r="AD3" s="13">
        <v>0</v>
      </c>
      <c r="AE3" s="14">
        <f t="shared" ref="AE3:AE8" si="7">1520/(1520+(792+8*AF3)*(1-AD3/100))</f>
        <v>0.50131926121372</v>
      </c>
      <c r="AF3" s="24">
        <v>90</v>
      </c>
    </row>
    <row r="4" s="1" customFormat="1" spans="2:32">
      <c r="B4" s="66" t="s">
        <v>24</v>
      </c>
      <c r="C4" s="67">
        <v>937</v>
      </c>
      <c r="D4" s="66" t="s">
        <v>25</v>
      </c>
      <c r="E4" s="68">
        <v>0.6</v>
      </c>
      <c r="F4" s="66" t="s">
        <v>26</v>
      </c>
      <c r="G4" s="69">
        <v>0.05</v>
      </c>
      <c r="H4" s="66" t="s">
        <v>26</v>
      </c>
      <c r="I4" s="68">
        <f>150%+16%</f>
        <v>1.66</v>
      </c>
      <c r="J4" s="70" t="s">
        <v>27</v>
      </c>
      <c r="K4" s="68">
        <v>0.15</v>
      </c>
      <c r="L4" s="66" t="s">
        <v>28</v>
      </c>
      <c r="M4" s="69">
        <f>8.6%*2</f>
        <v>0.172</v>
      </c>
      <c r="N4" s="5"/>
      <c r="P4" s="82" t="s">
        <v>93</v>
      </c>
      <c r="Q4" s="83">
        <f>9.55%+19.09%+66.81%</f>
        <v>0.9545</v>
      </c>
      <c r="R4" s="84" t="s">
        <v>38</v>
      </c>
      <c r="S4" s="84">
        <f t="shared" si="0"/>
        <v>937</v>
      </c>
      <c r="T4" s="83">
        <f t="shared" si="1"/>
        <v>1.7355325506937</v>
      </c>
      <c r="U4" s="83">
        <f t="shared" si="2"/>
        <v>1.51</v>
      </c>
      <c r="V4" s="85">
        <f t="shared" si="3"/>
        <v>2.7954</v>
      </c>
      <c r="W4" s="86">
        <f t="shared" si="4"/>
        <v>0.15</v>
      </c>
      <c r="X4" s="85">
        <f t="shared" si="5"/>
        <v>0.589512876202296</v>
      </c>
      <c r="Y4" s="84">
        <v>0.8</v>
      </c>
      <c r="Z4" s="87">
        <v>0</v>
      </c>
      <c r="AA4" s="87">
        <v>0</v>
      </c>
      <c r="AB4" s="87">
        <v>0</v>
      </c>
      <c r="AC4" s="88">
        <f t="shared" si="6"/>
        <v>9310.14008464189</v>
      </c>
      <c r="AD4" s="13">
        <v>30</v>
      </c>
      <c r="AE4" s="14">
        <f t="shared" si="7"/>
        <v>0.589512876202296</v>
      </c>
      <c r="AF4" s="24">
        <v>90</v>
      </c>
    </row>
    <row r="5" s="1" customFormat="1" spans="2:32">
      <c r="B5" s="66" t="s">
        <v>31</v>
      </c>
      <c r="C5" s="68">
        <f>12%+12%</f>
        <v>0.24</v>
      </c>
      <c r="D5" s="66" t="s">
        <v>32</v>
      </c>
      <c r="E5" s="68">
        <f>35%+12%</f>
        <v>0.47</v>
      </c>
      <c r="F5" s="66" t="s">
        <v>33</v>
      </c>
      <c r="G5" s="69">
        <v>0.36</v>
      </c>
      <c r="H5" s="66" t="s">
        <v>34</v>
      </c>
      <c r="I5" s="69">
        <f>M7+44%</f>
        <v>1.25</v>
      </c>
      <c r="J5" s="71" t="s">
        <v>35</v>
      </c>
      <c r="K5" s="69"/>
      <c r="L5" s="66" t="s">
        <v>36</v>
      </c>
      <c r="M5" s="69">
        <f>8.6%*2</f>
        <v>0.172</v>
      </c>
      <c r="N5" s="5"/>
      <c r="P5" s="82" t="s">
        <v>29</v>
      </c>
      <c r="Q5" s="83">
        <v>0.3937</v>
      </c>
      <c r="R5" s="84" t="s">
        <v>30</v>
      </c>
      <c r="S5" s="84">
        <f t="shared" si="0"/>
        <v>937</v>
      </c>
      <c r="T5" s="83">
        <f t="shared" si="1"/>
        <v>1.7355325506937</v>
      </c>
      <c r="U5" s="83">
        <f t="shared" si="2"/>
        <v>1.51</v>
      </c>
      <c r="V5" s="85">
        <f t="shared" si="3"/>
        <v>2.7954</v>
      </c>
      <c r="W5" s="86">
        <f t="shared" si="4"/>
        <v>0.15</v>
      </c>
      <c r="X5" s="85">
        <f t="shared" si="5"/>
        <v>0.589512876202296</v>
      </c>
      <c r="Y5" s="84">
        <v>0.8</v>
      </c>
      <c r="Z5" s="87">
        <v>0</v>
      </c>
      <c r="AA5" s="87">
        <v>0</v>
      </c>
      <c r="AB5" s="87">
        <v>0</v>
      </c>
      <c r="AC5" s="88">
        <f t="shared" si="6"/>
        <v>3840.12797414721</v>
      </c>
      <c r="AD5" s="13">
        <v>14.4</v>
      </c>
      <c r="AE5" s="14">
        <f t="shared" si="7"/>
        <v>0.540104154822277</v>
      </c>
      <c r="AF5" s="24">
        <v>90</v>
      </c>
    </row>
    <row r="6" s="1" customFormat="1" spans="2:32">
      <c r="B6" s="66" t="s">
        <v>39</v>
      </c>
      <c r="C6" s="68">
        <f>18%+18%+M4</f>
        <v>0.532</v>
      </c>
      <c r="D6" s="66" t="s">
        <v>40</v>
      </c>
      <c r="E6" s="68"/>
      <c r="F6" s="66" t="s">
        <v>41</v>
      </c>
      <c r="G6" s="69"/>
      <c r="H6" s="66" t="s">
        <v>41</v>
      </c>
      <c r="I6" s="69"/>
      <c r="J6" s="71" t="s">
        <v>42</v>
      </c>
      <c r="K6" s="69"/>
      <c r="L6" s="66" t="s">
        <v>19</v>
      </c>
      <c r="M6" s="69">
        <f>8.1%*5</f>
        <v>0.405</v>
      </c>
      <c r="N6" s="5"/>
      <c r="P6" s="82" t="s">
        <v>37</v>
      </c>
      <c r="Q6" s="83">
        <f>15.11%*4+90.66%</f>
        <v>1.511</v>
      </c>
      <c r="R6" s="84" t="s">
        <v>38</v>
      </c>
      <c r="S6" s="84">
        <f t="shared" si="0"/>
        <v>937</v>
      </c>
      <c r="T6" s="83">
        <f t="shared" si="1"/>
        <v>1.7355325506937</v>
      </c>
      <c r="U6" s="83">
        <f t="shared" si="2"/>
        <v>1.51</v>
      </c>
      <c r="V6" s="85">
        <f t="shared" si="3"/>
        <v>2.7954</v>
      </c>
      <c r="W6" s="86">
        <f t="shared" si="4"/>
        <v>0.15</v>
      </c>
      <c r="X6" s="85">
        <f t="shared" si="5"/>
        <v>0.589512876202296</v>
      </c>
      <c r="Y6" s="84">
        <v>0.8</v>
      </c>
      <c r="Z6" s="87">
        <v>0</v>
      </c>
      <c r="AA6" s="87">
        <v>0</v>
      </c>
      <c r="AB6" s="87">
        <v>0</v>
      </c>
      <c r="AC6" s="88">
        <f t="shared" si="6"/>
        <v>14738.210233519</v>
      </c>
      <c r="AD6" s="13">
        <v>21.6</v>
      </c>
      <c r="AE6" s="14">
        <f t="shared" si="7"/>
        <v>0.561837623012869</v>
      </c>
      <c r="AF6" s="24">
        <v>90</v>
      </c>
    </row>
    <row r="7" s="1" customFormat="1" spans="2:32">
      <c r="B7" s="66" t="s">
        <v>45</v>
      </c>
      <c r="C7" s="72">
        <f>20%</f>
        <v>0.2</v>
      </c>
      <c r="D7" s="66" t="s">
        <v>45</v>
      </c>
      <c r="E7" s="68">
        <f>24%+20%</f>
        <v>0.44</v>
      </c>
      <c r="F7" s="66" t="s">
        <v>34</v>
      </c>
      <c r="G7" s="69">
        <f>M6</f>
        <v>0.405</v>
      </c>
      <c r="H7" s="66"/>
      <c r="I7" s="69"/>
      <c r="J7" s="71"/>
      <c r="K7" s="69"/>
      <c r="L7" s="66" t="s">
        <v>46</v>
      </c>
      <c r="M7" s="68">
        <f>16.2%*5</f>
        <v>0.81</v>
      </c>
      <c r="N7" s="5"/>
      <c r="P7" s="82" t="s">
        <v>43</v>
      </c>
      <c r="Q7" s="83">
        <f>39.75%+19.88%+139.12%+63.7%</f>
        <v>2.6245</v>
      </c>
      <c r="R7" s="84" t="s">
        <v>44</v>
      </c>
      <c r="S7" s="84">
        <f t="shared" si="0"/>
        <v>937</v>
      </c>
      <c r="T7" s="83">
        <f t="shared" si="1"/>
        <v>1.7355325506937</v>
      </c>
      <c r="U7" s="83">
        <f t="shared" ref="U7:U12" si="8">SUM($E$4:$E$8)</f>
        <v>2.042</v>
      </c>
      <c r="V7" s="85">
        <f t="shared" si="3"/>
        <v>2.7954</v>
      </c>
      <c r="W7" s="86">
        <f t="shared" si="4"/>
        <v>0.15</v>
      </c>
      <c r="X7" s="85">
        <f t="shared" si="5"/>
        <v>0.589512876202296</v>
      </c>
      <c r="Y7" s="84">
        <v>0.8</v>
      </c>
      <c r="Z7" s="87">
        <v>0</v>
      </c>
      <c r="AA7" s="87">
        <v>0</v>
      </c>
      <c r="AB7" s="87">
        <v>0</v>
      </c>
      <c r="AC7" s="88">
        <f t="shared" si="6"/>
        <v>31025.0398668575</v>
      </c>
      <c r="AD7" s="13">
        <v>30</v>
      </c>
      <c r="AE7" s="14">
        <f t="shared" si="7"/>
        <v>0.589512876202296</v>
      </c>
      <c r="AF7" s="24">
        <v>90</v>
      </c>
    </row>
    <row r="8" s="1" customFormat="1" spans="2:32">
      <c r="B8" s="66" t="s">
        <v>72</v>
      </c>
      <c r="C8" s="34">
        <f>25%+14%</f>
        <v>0.39</v>
      </c>
      <c r="D8" s="66" t="s">
        <v>49</v>
      </c>
      <c r="E8" s="68">
        <f>24%+M5+12%</f>
        <v>0.532</v>
      </c>
      <c r="F8" s="66" t="s">
        <v>50</v>
      </c>
      <c r="G8" s="69">
        <v>0.125</v>
      </c>
      <c r="H8" s="66" t="s">
        <v>50</v>
      </c>
      <c r="I8" s="69"/>
      <c r="J8" s="71"/>
      <c r="K8" s="69"/>
      <c r="L8" s="66"/>
      <c r="M8" s="67"/>
      <c r="N8" s="5"/>
      <c r="P8" s="82" t="s">
        <v>47</v>
      </c>
      <c r="Q8" s="83">
        <f>20.3%+47.35%</f>
        <v>0.6765</v>
      </c>
      <c r="R8" s="84" t="s">
        <v>38</v>
      </c>
      <c r="S8" s="84">
        <f t="shared" si="0"/>
        <v>937</v>
      </c>
      <c r="T8" s="83">
        <f t="shared" si="1"/>
        <v>1.7355325506937</v>
      </c>
      <c r="U8" s="83">
        <f t="shared" ref="U8:U13" si="9">SUM($E$4:$E$7)</f>
        <v>1.51</v>
      </c>
      <c r="V8" s="85">
        <f t="shared" si="3"/>
        <v>2.7954</v>
      </c>
      <c r="W8" s="86">
        <f t="shared" si="4"/>
        <v>0.15</v>
      </c>
      <c r="X8" s="85">
        <f t="shared" si="5"/>
        <v>0.589512876202296</v>
      </c>
      <c r="Y8" s="84">
        <v>0.8</v>
      </c>
      <c r="Z8" s="87">
        <v>0</v>
      </c>
      <c r="AA8" s="87">
        <v>0</v>
      </c>
      <c r="AB8" s="87">
        <v>0</v>
      </c>
      <c r="AC8" s="88">
        <f t="shared" si="6"/>
        <v>6598.54349634389</v>
      </c>
      <c r="AD8" s="13">
        <v>38</v>
      </c>
      <c r="AE8" s="14">
        <f t="shared" si="7"/>
        <v>0.61852985220392</v>
      </c>
      <c r="AF8" s="24">
        <v>90</v>
      </c>
    </row>
    <row r="9" s="1" customFormat="1" spans="2:32">
      <c r="B9" s="66" t="s">
        <v>52</v>
      </c>
      <c r="C9" s="67">
        <v>350</v>
      </c>
      <c r="D9" s="66"/>
      <c r="E9" s="68"/>
      <c r="F9" s="74" t="s">
        <v>53</v>
      </c>
      <c r="G9" s="75">
        <f>MIN(100%,SUM(G4:G8))</f>
        <v>0.94</v>
      </c>
      <c r="H9" s="74" t="s">
        <v>54</v>
      </c>
      <c r="I9" s="76">
        <f>SUM(I4:I8)</f>
        <v>2.91</v>
      </c>
      <c r="J9" s="71"/>
      <c r="K9" s="69"/>
      <c r="L9" s="66"/>
      <c r="M9" s="67"/>
      <c r="N9" s="5"/>
      <c r="P9" s="82" t="s">
        <v>51</v>
      </c>
      <c r="Q9" s="83">
        <f>21.48%*2+25.06%*4</f>
        <v>1.432</v>
      </c>
      <c r="R9" s="84" t="s">
        <v>30</v>
      </c>
      <c r="S9" s="84">
        <f t="shared" si="0"/>
        <v>937</v>
      </c>
      <c r="T9" s="83">
        <f t="shared" si="1"/>
        <v>1.7355325506937</v>
      </c>
      <c r="U9" s="83">
        <f t="shared" si="9"/>
        <v>1.51</v>
      </c>
      <c r="V9" s="85">
        <f t="shared" si="3"/>
        <v>2.7954</v>
      </c>
      <c r="W9" s="86">
        <f t="shared" si="4"/>
        <v>0.15</v>
      </c>
      <c r="X9" s="85">
        <f t="shared" si="5"/>
        <v>0.589512876202296</v>
      </c>
      <c r="Y9" s="84">
        <v>0.8</v>
      </c>
      <c r="Z9" s="87">
        <v>0</v>
      </c>
      <c r="AA9" s="87">
        <v>0</v>
      </c>
      <c r="AB9" s="87">
        <v>0</v>
      </c>
      <c r="AC9" s="88">
        <f t="shared" si="6"/>
        <v>13967.6486131034</v>
      </c>
    </row>
    <row r="10" s="1" customFormat="1" spans="2:32">
      <c r="B10" s="77" t="s">
        <v>56</v>
      </c>
      <c r="C10" s="78"/>
      <c r="D10" s="77"/>
      <c r="E10" s="79"/>
      <c r="F10" s="77"/>
      <c r="G10" s="80"/>
      <c r="H10" s="77"/>
      <c r="I10" s="78"/>
      <c r="J10" s="81"/>
      <c r="K10" s="80"/>
      <c r="L10" s="77"/>
      <c r="M10" s="78"/>
      <c r="N10" s="5"/>
      <c r="P10" s="82" t="s">
        <v>55</v>
      </c>
      <c r="Q10" s="83">
        <f>954.29%</f>
        <v>9.5429</v>
      </c>
      <c r="R10" s="84" t="s">
        <v>44</v>
      </c>
      <c r="S10" s="84">
        <f t="shared" si="0"/>
        <v>937</v>
      </c>
      <c r="T10" s="83">
        <f t="shared" si="1"/>
        <v>1.7355325506937</v>
      </c>
      <c r="U10" s="83">
        <f t="shared" si="8"/>
        <v>2.042</v>
      </c>
      <c r="V10" s="85">
        <f t="shared" si="3"/>
        <v>2.7954</v>
      </c>
      <c r="W10" s="86">
        <f t="shared" si="4"/>
        <v>0.15</v>
      </c>
      <c r="X10" s="85">
        <f t="shared" si="5"/>
        <v>0.589512876202296</v>
      </c>
      <c r="Y10" s="84">
        <v>0.8</v>
      </c>
      <c r="Z10" s="87">
        <v>0</v>
      </c>
      <c r="AA10" s="87">
        <v>0</v>
      </c>
      <c r="AB10" s="87">
        <v>0</v>
      </c>
      <c r="AC10" s="88">
        <f t="shared" si="6"/>
        <v>112809.622002452</v>
      </c>
    </row>
    <row r="11" s="1" customFormat="1" spans="2:32">
      <c r="B11" s="5"/>
      <c r="C11" s="5"/>
      <c r="D11" s="5"/>
      <c r="E11" s="5"/>
      <c r="F11" s="5" t="s">
        <v>58</v>
      </c>
      <c r="G11" s="6"/>
      <c r="H11" s="5"/>
      <c r="I11" s="5"/>
      <c r="J11" s="5"/>
      <c r="K11" s="5"/>
      <c r="L11" s="5"/>
      <c r="M11" s="5"/>
      <c r="N11" s="5"/>
      <c r="P11" s="82" t="s">
        <v>57</v>
      </c>
      <c r="Q11" s="83">
        <f>15.31%*6+19.46%*6+15.7%*13</f>
        <v>4.1272</v>
      </c>
      <c r="R11" s="84" t="s">
        <v>44</v>
      </c>
      <c r="S11" s="84">
        <f t="shared" si="0"/>
        <v>937</v>
      </c>
      <c r="T11" s="83">
        <f t="shared" si="1"/>
        <v>1.7355325506937</v>
      </c>
      <c r="U11" s="83">
        <f t="shared" si="8"/>
        <v>2.042</v>
      </c>
      <c r="V11" s="85">
        <f t="shared" si="3"/>
        <v>2.7954</v>
      </c>
      <c r="W11" s="86">
        <f t="shared" si="4"/>
        <v>0.15</v>
      </c>
      <c r="X11" s="85">
        <f t="shared" si="5"/>
        <v>0.589512876202296</v>
      </c>
      <c r="Y11" s="84">
        <v>0.8</v>
      </c>
      <c r="Z11" s="87">
        <v>1.2</v>
      </c>
      <c r="AA11" s="87">
        <v>0</v>
      </c>
      <c r="AB11" s="87"/>
      <c r="AC11" s="88">
        <f t="shared" si="6"/>
        <v>107335.644116856</v>
      </c>
    </row>
    <row r="12" s="1" customFormat="1" spans="2:32"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P12" s="82" t="s">
        <v>59</v>
      </c>
      <c r="Q12" s="83">
        <f>240.96%+100*2.41%</f>
        <v>4.8196</v>
      </c>
      <c r="R12" s="84" t="s">
        <v>44</v>
      </c>
      <c r="S12" s="84">
        <f t="shared" si="0"/>
        <v>937</v>
      </c>
      <c r="T12" s="83">
        <f t="shared" si="1"/>
        <v>1.7355325506937</v>
      </c>
      <c r="U12" s="83">
        <f t="shared" si="8"/>
        <v>2.042</v>
      </c>
      <c r="V12" s="85">
        <f t="shared" si="3"/>
        <v>2.7954</v>
      </c>
      <c r="W12" s="86">
        <f t="shared" si="4"/>
        <v>0.15</v>
      </c>
      <c r="X12" s="85">
        <f t="shared" si="5"/>
        <v>0.589512876202296</v>
      </c>
      <c r="Y12" s="84">
        <v>0.8</v>
      </c>
      <c r="Z12" s="87">
        <v>1.2</v>
      </c>
      <c r="AA12" s="87">
        <v>0</v>
      </c>
      <c r="AB12" s="87"/>
      <c r="AC12" s="88">
        <f t="shared" si="6"/>
        <v>125342.816046132</v>
      </c>
    </row>
    <row r="13" s="1" customFormat="1" spans="2:32"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P13" s="82" t="s">
        <v>61</v>
      </c>
      <c r="Q13" s="83">
        <f>131.04%*2</f>
        <v>2.6208</v>
      </c>
      <c r="R13" s="84" t="s">
        <v>61</v>
      </c>
      <c r="S13" s="84">
        <f t="shared" si="0"/>
        <v>937</v>
      </c>
      <c r="T13" s="83">
        <f t="shared" si="1"/>
        <v>1.7355325506937</v>
      </c>
      <c r="U13" s="83">
        <f t="shared" si="9"/>
        <v>1.51</v>
      </c>
      <c r="V13" s="85">
        <f t="shared" si="3"/>
        <v>2.7954</v>
      </c>
      <c r="W13" s="86">
        <f t="shared" si="4"/>
        <v>0.15</v>
      </c>
      <c r="X13" s="85">
        <f t="shared" si="5"/>
        <v>0.589512876202296</v>
      </c>
      <c r="Y13" s="84">
        <v>0.8</v>
      </c>
      <c r="Z13" s="87">
        <v>0</v>
      </c>
      <c r="AA13" s="87">
        <v>0</v>
      </c>
      <c r="AB13" s="87">
        <v>0</v>
      </c>
      <c r="AC13" s="88">
        <f t="shared" si="6"/>
        <v>25563.1379086741</v>
      </c>
    </row>
    <row r="14" s="1" customFormat="1" ht="15" spans="2:32">
      <c r="B14" s="25" t="s">
        <v>63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5"/>
      <c r="P14" s="82" t="s">
        <v>61</v>
      </c>
      <c r="Q14" s="83">
        <f>24.57%*8</f>
        <v>1.9656</v>
      </c>
      <c r="R14" s="84" t="s">
        <v>61</v>
      </c>
      <c r="S14" s="84">
        <f t="shared" si="0"/>
        <v>937</v>
      </c>
      <c r="T14" s="83">
        <f t="shared" si="1"/>
        <v>1.7355325506937</v>
      </c>
      <c r="U14" s="83">
        <f>SUM($E$4:$E$7)+1</f>
        <v>2.51</v>
      </c>
      <c r="V14" s="85">
        <f t="shared" si="3"/>
        <v>2.7954</v>
      </c>
      <c r="W14" s="86">
        <f t="shared" si="4"/>
        <v>0.15</v>
      </c>
      <c r="X14" s="85">
        <f t="shared" si="5"/>
        <v>0.589512876202296</v>
      </c>
      <c r="Y14" s="84">
        <v>0.8</v>
      </c>
      <c r="Z14" s="87">
        <v>0</v>
      </c>
      <c r="AA14" s="87">
        <v>0</v>
      </c>
      <c r="AB14" s="87">
        <v>0</v>
      </c>
      <c r="AC14" s="88">
        <f t="shared" si="6"/>
        <v>26810.7412528226</v>
      </c>
    </row>
    <row r="15" s="1" customFormat="1" spans="2:32">
      <c r="B15" s="26" t="s">
        <v>18</v>
      </c>
      <c r="C15" s="27"/>
      <c r="D15" s="26" t="s">
        <v>6</v>
      </c>
      <c r="E15" s="27"/>
      <c r="F15" s="26" t="s">
        <v>19</v>
      </c>
      <c r="G15" s="27"/>
      <c r="H15" s="26" t="s">
        <v>20</v>
      </c>
      <c r="I15" s="27"/>
      <c r="J15" s="26" t="s">
        <v>8</v>
      </c>
      <c r="K15" s="27"/>
      <c r="L15" s="26" t="s">
        <v>21</v>
      </c>
      <c r="M15" s="27"/>
      <c r="N15" s="5"/>
      <c r="P15" s="82"/>
      <c r="Q15" s="83"/>
      <c r="R15" s="84"/>
      <c r="S15" s="84"/>
      <c r="T15" s="83"/>
      <c r="U15" s="83"/>
      <c r="V15" s="85"/>
      <c r="W15" s="86"/>
      <c r="X15" s="85"/>
      <c r="Y15" s="84"/>
      <c r="Z15" s="87"/>
      <c r="AA15" s="87"/>
      <c r="AB15" s="87"/>
      <c r="AC15" s="88"/>
    </row>
    <row r="16" s="1" customFormat="1" spans="2:32">
      <c r="B16" s="28" t="s">
        <v>24</v>
      </c>
      <c r="C16" s="29">
        <f>412+587</f>
        <v>999</v>
      </c>
      <c r="D16" s="28" t="s">
        <v>25</v>
      </c>
      <c r="E16" s="30">
        <v>0.6</v>
      </c>
      <c r="F16" s="28" t="s">
        <v>26</v>
      </c>
      <c r="G16" s="31">
        <v>0.05</v>
      </c>
      <c r="H16" s="28" t="s">
        <v>26</v>
      </c>
      <c r="I16" s="30">
        <f>150%+16%</f>
        <v>1.66</v>
      </c>
      <c r="J16" s="32" t="s">
        <v>27</v>
      </c>
      <c r="K16" s="30">
        <v>0.15</v>
      </c>
      <c r="L16" s="28" t="s">
        <v>28</v>
      </c>
      <c r="M16" s="31">
        <f>8.6%*2</f>
        <v>0.172</v>
      </c>
      <c r="N16" s="5"/>
      <c r="P16" s="82"/>
      <c r="Q16" s="83"/>
      <c r="R16" s="84"/>
      <c r="S16" s="84"/>
      <c r="T16" s="83"/>
      <c r="U16" s="83"/>
      <c r="V16" s="85"/>
      <c r="W16" s="86"/>
      <c r="X16" s="85"/>
      <c r="Y16" s="84"/>
      <c r="Z16" s="87"/>
      <c r="AA16" s="87"/>
      <c r="AB16" s="87"/>
      <c r="AC16" s="88"/>
    </row>
    <row r="17" s="1" customFormat="1" spans="2:31">
      <c r="B17" s="28" t="s">
        <v>31</v>
      </c>
      <c r="C17" s="30">
        <f>12%+12%</f>
        <v>0.24</v>
      </c>
      <c r="D17" s="28" t="s">
        <v>66</v>
      </c>
      <c r="E17" s="30">
        <f>12%+10%+15%+12%</f>
        <v>0.49</v>
      </c>
      <c r="F17" s="28" t="s">
        <v>33</v>
      </c>
      <c r="G17" s="31">
        <v>0.243</v>
      </c>
      <c r="H17" s="28" t="s">
        <v>34</v>
      </c>
      <c r="I17" s="31">
        <f>44%+M19</f>
        <v>1.25</v>
      </c>
      <c r="J17" s="33"/>
      <c r="K17" s="31"/>
      <c r="L17" s="28" t="s">
        <v>67</v>
      </c>
      <c r="M17" s="31">
        <f>8.6%*2</f>
        <v>0.172</v>
      </c>
      <c r="N17" s="5"/>
      <c r="P17" s="15" t="s">
        <v>65</v>
      </c>
      <c r="Q17" s="16">
        <v>1.9881</v>
      </c>
      <c r="R17" s="17" t="s">
        <v>23</v>
      </c>
      <c r="S17" s="18">
        <f t="shared" ref="S17:S30" si="10">$C$16</f>
        <v>999</v>
      </c>
      <c r="T17" s="19">
        <f t="shared" ref="T17:T30" si="11">($C$17+$C$18+$C$19+$C$20)+($C$21+$C$22)/S17</f>
        <v>1.51235035035035</v>
      </c>
      <c r="U17" s="19">
        <f>SUM($E$16:$E$20)</f>
        <v>1.33</v>
      </c>
      <c r="V17" s="20">
        <f t="shared" ref="V17:V30" si="12">1+$G$21*($I$21-1)</f>
        <v>3.16</v>
      </c>
      <c r="W17" s="21">
        <f t="shared" ref="W17:W20" si="13">$K$16</f>
        <v>0.15</v>
      </c>
      <c r="X17" s="20">
        <f t="shared" ref="X17:X30" si="14">$AE$8</f>
        <v>0.61852985220392</v>
      </c>
      <c r="Y17" s="18">
        <f t="shared" ref="Y17:Y30" si="15">$AE$17</f>
        <v>0.8</v>
      </c>
      <c r="Z17" s="22"/>
      <c r="AA17" s="22"/>
      <c r="AB17" s="22"/>
      <c r="AC17" s="23">
        <f t="shared" ref="AC17:AC41" si="16">Q17*S17*(1+T17)*(1+U17)*V17*(1+W17)*X17*Y17*(1+Z17)*(1+AA17)*(1+AB17)</f>
        <v>20906.2149630389</v>
      </c>
      <c r="AD17" s="48" t="s">
        <v>70</v>
      </c>
      <c r="AE17" s="48">
        <v>0.8</v>
      </c>
    </row>
    <row r="18" s="1" customFormat="1" spans="2:31">
      <c r="B18" s="28" t="s">
        <v>39</v>
      </c>
      <c r="C18" s="30">
        <f>18%+18%+M16</f>
        <v>0.532</v>
      </c>
      <c r="D18" s="28" t="s">
        <v>0</v>
      </c>
      <c r="E18" s="30">
        <v>0.24</v>
      </c>
      <c r="F18" s="28" t="s">
        <v>41</v>
      </c>
      <c r="G18" s="31">
        <v>0.2</v>
      </c>
      <c r="H18" s="28"/>
      <c r="I18" s="31"/>
      <c r="J18" s="33"/>
      <c r="K18" s="31"/>
      <c r="L18" s="28" t="s">
        <v>19</v>
      </c>
      <c r="M18" s="31">
        <f>8.1*5%</f>
        <v>0.405</v>
      </c>
      <c r="N18" s="5"/>
      <c r="P18" s="15" t="s">
        <v>68</v>
      </c>
      <c r="Q18" s="16">
        <v>6.3819</v>
      </c>
      <c r="R18" s="17" t="s">
        <v>69</v>
      </c>
      <c r="S18" s="18">
        <f t="shared" si="10"/>
        <v>999</v>
      </c>
      <c r="T18" s="19">
        <f t="shared" si="11"/>
        <v>1.51235035035035</v>
      </c>
      <c r="U18" s="19">
        <f t="shared" ref="U18:U22" si="17">SUM($E$16:$E$20)+$E$21</f>
        <v>1.622</v>
      </c>
      <c r="V18" s="20">
        <f t="shared" si="12"/>
        <v>3.16</v>
      </c>
      <c r="W18" s="21">
        <f t="shared" si="13"/>
        <v>0.15</v>
      </c>
      <c r="X18" s="20">
        <f t="shared" si="14"/>
        <v>0.61852985220392</v>
      </c>
      <c r="Y18" s="18">
        <f t="shared" si="15"/>
        <v>0.8</v>
      </c>
      <c r="Z18" s="22"/>
      <c r="AA18" s="22"/>
      <c r="AB18" s="22"/>
      <c r="AC18" s="23">
        <f t="shared" si="16"/>
        <v>75520.3418971215</v>
      </c>
    </row>
    <row r="19" s="1" customFormat="1" spans="2:31">
      <c r="B19" s="28" t="s">
        <v>72</v>
      </c>
      <c r="C19" s="34">
        <f>25%+14%</f>
        <v>0.39</v>
      </c>
      <c r="D19" s="28" t="s">
        <v>73</v>
      </c>
      <c r="E19" s="30"/>
      <c r="F19" s="28" t="s">
        <v>34</v>
      </c>
      <c r="G19" s="31">
        <f>M18</f>
        <v>0.405</v>
      </c>
      <c r="H19" s="28"/>
      <c r="I19" s="31"/>
      <c r="J19" s="33"/>
      <c r="K19" s="31"/>
      <c r="L19" s="28" t="s">
        <v>46</v>
      </c>
      <c r="M19" s="30">
        <f>16.2%*5</f>
        <v>0.81</v>
      </c>
      <c r="N19" s="5"/>
      <c r="P19" s="15" t="s">
        <v>94</v>
      </c>
      <c r="Q19" s="16">
        <f>62.63%*2</f>
        <v>1.2526</v>
      </c>
      <c r="R19" s="17" t="s">
        <v>30</v>
      </c>
      <c r="S19" s="18">
        <f t="shared" si="10"/>
        <v>999</v>
      </c>
      <c r="T19" s="19">
        <f t="shared" si="11"/>
        <v>1.51235035035035</v>
      </c>
      <c r="U19" s="19">
        <f>SUM($E$16:$E$20)+32%</f>
        <v>1.65</v>
      </c>
      <c r="V19" s="20">
        <f t="shared" si="12"/>
        <v>3.16</v>
      </c>
      <c r="W19" s="21">
        <f t="shared" si="13"/>
        <v>0.15</v>
      </c>
      <c r="X19" s="20">
        <f t="shared" si="14"/>
        <v>0.61852985220392</v>
      </c>
      <c r="Y19" s="18">
        <f t="shared" si="15"/>
        <v>0.8</v>
      </c>
      <c r="Z19" s="22"/>
      <c r="AA19" s="22"/>
      <c r="AB19" s="22"/>
      <c r="AC19" s="23">
        <f t="shared" si="16"/>
        <v>14980.9566245689</v>
      </c>
    </row>
    <row r="20" s="1" customFormat="1" spans="2:31">
      <c r="B20" s="28" t="s">
        <v>48</v>
      </c>
      <c r="C20" s="34"/>
      <c r="D20" s="28"/>
      <c r="E20" s="35"/>
      <c r="F20" s="28" t="s">
        <v>50</v>
      </c>
      <c r="G20" s="31">
        <v>0.125</v>
      </c>
      <c r="H20" s="28" t="s">
        <v>50</v>
      </c>
      <c r="I20" s="31">
        <v>0.25</v>
      </c>
      <c r="J20" s="33"/>
      <c r="K20" s="31"/>
      <c r="L20" s="28"/>
      <c r="M20" s="29"/>
      <c r="N20" s="5"/>
      <c r="P20" s="15" t="s">
        <v>74</v>
      </c>
      <c r="Q20" s="16">
        <f>59.35%+39.77%*2</f>
        <v>1.3889</v>
      </c>
      <c r="R20" s="17" t="s">
        <v>38</v>
      </c>
      <c r="S20" s="18">
        <f t="shared" si="10"/>
        <v>999</v>
      </c>
      <c r="T20" s="19">
        <f t="shared" si="11"/>
        <v>1.51235035035035</v>
      </c>
      <c r="U20" s="19">
        <f>SUM($E$16:$E$20)+$E$22</f>
        <v>1.33</v>
      </c>
      <c r="V20" s="20">
        <f t="shared" si="12"/>
        <v>3.16</v>
      </c>
      <c r="W20" s="21">
        <f t="shared" si="13"/>
        <v>0.15</v>
      </c>
      <c r="X20" s="20">
        <f t="shared" si="14"/>
        <v>0.61852985220392</v>
      </c>
      <c r="Y20" s="18">
        <f t="shared" si="15"/>
        <v>0.8</v>
      </c>
      <c r="Z20" s="22"/>
      <c r="AA20" s="22"/>
      <c r="AB20" s="22"/>
      <c r="AC20" s="23">
        <f t="shared" si="16"/>
        <v>14605.2220522935</v>
      </c>
    </row>
    <row r="21" s="1" customFormat="1" spans="2:31">
      <c r="B21" s="28" t="s">
        <v>52</v>
      </c>
      <c r="C21" s="29">
        <v>350</v>
      </c>
      <c r="D21" s="28" t="s">
        <v>76</v>
      </c>
      <c r="E21" s="30">
        <f>12%+M17</f>
        <v>0.292</v>
      </c>
      <c r="F21" s="36" t="s">
        <v>53</v>
      </c>
      <c r="G21" s="37">
        <f>MIN(100%,SUM(G16:G20))</f>
        <v>1</v>
      </c>
      <c r="H21" s="36" t="s">
        <v>54</v>
      </c>
      <c r="I21" s="38">
        <f>SUM(I16:I20)</f>
        <v>3.16</v>
      </c>
      <c r="J21" s="33"/>
      <c r="K21" s="31"/>
      <c r="L21" s="28"/>
      <c r="M21" s="29"/>
      <c r="N21" s="5"/>
      <c r="P21" s="15" t="s">
        <v>75</v>
      </c>
      <c r="Q21" s="16">
        <f>82.69%*3</f>
        <v>2.4807</v>
      </c>
      <c r="R21" s="17" t="s">
        <v>69</v>
      </c>
      <c r="S21" s="18">
        <f t="shared" si="10"/>
        <v>999</v>
      </c>
      <c r="T21" s="19">
        <f t="shared" si="11"/>
        <v>1.51235035035035</v>
      </c>
      <c r="U21" s="19">
        <f t="shared" si="17"/>
        <v>1.622</v>
      </c>
      <c r="V21" s="20">
        <f t="shared" si="12"/>
        <v>3.16</v>
      </c>
      <c r="W21" s="21">
        <f>$K$16+256%</f>
        <v>2.71</v>
      </c>
      <c r="X21" s="20">
        <f t="shared" si="14"/>
        <v>0.61852985220392</v>
      </c>
      <c r="Y21" s="18">
        <f t="shared" si="15"/>
        <v>0.8</v>
      </c>
      <c r="Z21" s="22"/>
      <c r="AA21" s="22"/>
      <c r="AB21" s="22"/>
      <c r="AC21" s="23">
        <f t="shared" si="16"/>
        <v>94703.1159529216</v>
      </c>
    </row>
    <row r="22" s="1" customFormat="1" spans="2:31">
      <c r="B22" s="39" t="s">
        <v>56</v>
      </c>
      <c r="C22" s="40"/>
      <c r="D22" s="39" t="s">
        <v>77</v>
      </c>
      <c r="E22" s="41"/>
      <c r="F22" s="39"/>
      <c r="G22" s="42"/>
      <c r="H22" s="39"/>
      <c r="I22" s="40"/>
      <c r="J22" s="43"/>
      <c r="K22" s="42"/>
      <c r="L22" s="39"/>
      <c r="M22" s="40"/>
      <c r="N22" s="5"/>
      <c r="P22" s="15" t="s">
        <v>61</v>
      </c>
      <c r="Q22" s="16">
        <f>118.8%+59.4%*4</f>
        <v>3.564</v>
      </c>
      <c r="R22" s="17" t="s">
        <v>61</v>
      </c>
      <c r="S22" s="18">
        <f t="shared" si="10"/>
        <v>999</v>
      </c>
      <c r="T22" s="19">
        <f t="shared" si="11"/>
        <v>1.51235035035035</v>
      </c>
      <c r="U22" s="19">
        <f t="shared" si="17"/>
        <v>1.622</v>
      </c>
      <c r="V22" s="20">
        <f t="shared" si="12"/>
        <v>3.16</v>
      </c>
      <c r="W22" s="21">
        <f>$K$16+32%</f>
        <v>0.47</v>
      </c>
      <c r="X22" s="20">
        <f t="shared" si="14"/>
        <v>0.61852985220392</v>
      </c>
      <c r="Y22" s="18">
        <f t="shared" si="15"/>
        <v>0.8</v>
      </c>
      <c r="Z22" s="22"/>
      <c r="AA22" s="22"/>
      <c r="AB22" s="22"/>
      <c r="AC22" s="23">
        <f t="shared" si="16"/>
        <v>53910.2247492564</v>
      </c>
    </row>
    <row r="23" s="1" customFormat="1" spans="2:31">
      <c r="B23" s="44"/>
      <c r="C23" s="44"/>
      <c r="D23" s="44"/>
      <c r="E23" s="45"/>
      <c r="F23" s="44"/>
      <c r="G23" s="46"/>
      <c r="H23" s="44"/>
      <c r="I23" s="44"/>
      <c r="J23" s="46"/>
      <c r="K23" s="46"/>
      <c r="L23" s="44"/>
      <c r="M23" s="44"/>
      <c r="N23" s="5"/>
      <c r="P23" s="15" t="s">
        <v>74</v>
      </c>
      <c r="Q23" s="16">
        <f t="shared" ref="Q23:Q28" si="18">59.35%+39.77%*2</f>
        <v>1.3889</v>
      </c>
      <c r="R23" s="17" t="s">
        <v>38</v>
      </c>
      <c r="S23" s="18">
        <f t="shared" si="10"/>
        <v>999</v>
      </c>
      <c r="T23" s="19">
        <f t="shared" si="11"/>
        <v>1.51235035035035</v>
      </c>
      <c r="U23" s="19">
        <f t="shared" ref="U23:U28" si="19">SUM($E$16:$E$20)+$E$22</f>
        <v>1.33</v>
      </c>
      <c r="V23" s="20">
        <f t="shared" si="12"/>
        <v>3.16</v>
      </c>
      <c r="W23" s="21">
        <f t="shared" ref="W23:W26" si="20">$K$16</f>
        <v>0.15</v>
      </c>
      <c r="X23" s="20">
        <f t="shared" si="14"/>
        <v>0.61852985220392</v>
      </c>
      <c r="Y23" s="18">
        <f t="shared" si="15"/>
        <v>0.8</v>
      </c>
      <c r="Z23" s="22"/>
      <c r="AA23" s="22"/>
      <c r="AB23" s="22"/>
      <c r="AC23" s="23">
        <f t="shared" si="16"/>
        <v>14605.2220522935</v>
      </c>
    </row>
    <row r="24" s="1" customFormat="1" spans="2:31">
      <c r="B24" s="44"/>
      <c r="C24" s="44"/>
      <c r="D24" s="44"/>
      <c r="E24" s="45"/>
      <c r="F24" s="44"/>
      <c r="G24" s="46"/>
      <c r="H24" s="44"/>
      <c r="I24" s="44"/>
      <c r="J24" s="46"/>
      <c r="K24" s="46"/>
      <c r="L24" s="44"/>
      <c r="M24" s="44"/>
      <c r="N24" s="5"/>
      <c r="P24" s="15" t="s">
        <v>75</v>
      </c>
      <c r="Q24" s="16">
        <f t="shared" ref="Q24:Q29" si="21">82.69%*3</f>
        <v>2.4807</v>
      </c>
      <c r="R24" s="17" t="s">
        <v>69</v>
      </c>
      <c r="S24" s="18">
        <f t="shared" si="10"/>
        <v>999</v>
      </c>
      <c r="T24" s="19">
        <f t="shared" si="11"/>
        <v>1.51235035035035</v>
      </c>
      <c r="U24" s="19">
        <f t="shared" ref="U24:U29" si="22">SUM($E$16:$E$20)+$E$21</f>
        <v>1.622</v>
      </c>
      <c r="V24" s="20">
        <f t="shared" si="12"/>
        <v>3.16</v>
      </c>
      <c r="W24" s="21">
        <f t="shared" ref="W24:W29" si="23">$K$16+256%</f>
        <v>2.71</v>
      </c>
      <c r="X24" s="20">
        <f t="shared" si="14"/>
        <v>0.61852985220392</v>
      </c>
      <c r="Y24" s="18">
        <f t="shared" si="15"/>
        <v>0.8</v>
      </c>
      <c r="Z24" s="22"/>
      <c r="AA24" s="22"/>
      <c r="AB24" s="22"/>
      <c r="AC24" s="23">
        <f t="shared" si="16"/>
        <v>94703.1159529216</v>
      </c>
    </row>
    <row r="25" s="1" customFormat="1" ht="15" spans="2:31">
      <c r="B25" s="25" t="s">
        <v>79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5"/>
      <c r="P25" s="15" t="s">
        <v>78</v>
      </c>
      <c r="Q25" s="16">
        <v>4.016</v>
      </c>
      <c r="R25" s="17" t="s">
        <v>44</v>
      </c>
      <c r="S25" s="18">
        <f t="shared" si="10"/>
        <v>999</v>
      </c>
      <c r="T25" s="19">
        <f t="shared" si="11"/>
        <v>1.51235035035035</v>
      </c>
      <c r="U25" s="19">
        <f>SUM($E$16:$E$20)</f>
        <v>1.33</v>
      </c>
      <c r="V25" s="20">
        <f t="shared" si="12"/>
        <v>3.16</v>
      </c>
      <c r="W25" s="21">
        <f t="shared" si="20"/>
        <v>0.15</v>
      </c>
      <c r="X25" s="20">
        <f t="shared" si="14"/>
        <v>0.61852985220392</v>
      </c>
      <c r="Y25" s="18">
        <f t="shared" si="15"/>
        <v>0.8</v>
      </c>
      <c r="Z25" s="22">
        <v>2.55</v>
      </c>
      <c r="AA25" s="22"/>
      <c r="AB25" s="22"/>
      <c r="AC25" s="23">
        <f t="shared" si="16"/>
        <v>149919.886064611</v>
      </c>
    </row>
    <row r="26" s="1" customFormat="1" spans="2:31">
      <c r="B26" s="26" t="s">
        <v>18</v>
      </c>
      <c r="C26" s="27"/>
      <c r="D26" s="26" t="s">
        <v>6</v>
      </c>
      <c r="E26" s="27"/>
      <c r="F26" s="26" t="s">
        <v>19</v>
      </c>
      <c r="G26" s="27"/>
      <c r="H26" s="26" t="s">
        <v>20</v>
      </c>
      <c r="I26" s="27"/>
      <c r="J26" s="26" t="s">
        <v>8</v>
      </c>
      <c r="K26" s="27"/>
      <c r="L26" s="26" t="s">
        <v>21</v>
      </c>
      <c r="M26" s="27"/>
      <c r="N26" s="5"/>
      <c r="P26" s="15" t="s">
        <v>74</v>
      </c>
      <c r="Q26" s="16">
        <f t="shared" si="18"/>
        <v>1.3889</v>
      </c>
      <c r="R26" s="17" t="s">
        <v>38</v>
      </c>
      <c r="S26" s="18">
        <f t="shared" si="10"/>
        <v>999</v>
      </c>
      <c r="T26" s="19">
        <f t="shared" si="11"/>
        <v>1.51235035035035</v>
      </c>
      <c r="U26" s="19">
        <f t="shared" si="19"/>
        <v>1.33</v>
      </c>
      <c r="V26" s="20">
        <f t="shared" si="12"/>
        <v>3.16</v>
      </c>
      <c r="W26" s="21">
        <f t="shared" si="20"/>
        <v>0.15</v>
      </c>
      <c r="X26" s="20">
        <f t="shared" si="14"/>
        <v>0.61852985220392</v>
      </c>
      <c r="Y26" s="18">
        <f t="shared" si="15"/>
        <v>0.8</v>
      </c>
      <c r="Z26" s="22"/>
      <c r="AA26" s="22"/>
      <c r="AB26" s="22"/>
      <c r="AC26" s="23">
        <f t="shared" si="16"/>
        <v>14605.2220522935</v>
      </c>
    </row>
    <row r="27" s="1" customFormat="1" spans="2:31">
      <c r="B27" s="28" t="s">
        <v>24</v>
      </c>
      <c r="C27" s="29">
        <f>375+587</f>
        <v>962</v>
      </c>
      <c r="D27" s="28" t="s">
        <v>25</v>
      </c>
      <c r="E27" s="30">
        <v>0.6</v>
      </c>
      <c r="F27" s="28" t="s">
        <v>26</v>
      </c>
      <c r="G27" s="31">
        <v>0.05</v>
      </c>
      <c r="H27" s="28" t="s">
        <v>26</v>
      </c>
      <c r="I27" s="30">
        <f>150%+16%</f>
        <v>1.66</v>
      </c>
      <c r="J27" s="32" t="s">
        <v>27</v>
      </c>
      <c r="K27" s="30"/>
      <c r="L27" s="28" t="s">
        <v>28</v>
      </c>
      <c r="M27" s="31">
        <f>8.6%*4</f>
        <v>0.344</v>
      </c>
      <c r="N27" s="5"/>
      <c r="P27" s="15" t="s">
        <v>75</v>
      </c>
      <c r="Q27" s="16">
        <f t="shared" si="21"/>
        <v>2.4807</v>
      </c>
      <c r="R27" s="17" t="s">
        <v>69</v>
      </c>
      <c r="S27" s="18">
        <f t="shared" si="10"/>
        <v>999</v>
      </c>
      <c r="T27" s="19">
        <f t="shared" si="11"/>
        <v>1.51235035035035</v>
      </c>
      <c r="U27" s="19">
        <f t="shared" si="22"/>
        <v>1.622</v>
      </c>
      <c r="V27" s="20">
        <f t="shared" si="12"/>
        <v>3.16</v>
      </c>
      <c r="W27" s="21">
        <f t="shared" si="23"/>
        <v>2.71</v>
      </c>
      <c r="X27" s="20">
        <f t="shared" si="14"/>
        <v>0.61852985220392</v>
      </c>
      <c r="Y27" s="18">
        <f t="shared" si="15"/>
        <v>0.8</v>
      </c>
      <c r="Z27" s="22"/>
      <c r="AA27" s="22"/>
      <c r="AB27" s="22"/>
      <c r="AC27" s="23">
        <f t="shared" si="16"/>
        <v>94703.1159529216</v>
      </c>
    </row>
    <row r="28" s="1" customFormat="1" spans="2:31">
      <c r="B28" s="28" t="s">
        <v>31</v>
      </c>
      <c r="C28" s="30">
        <f>12%+12%</f>
        <v>0.24</v>
      </c>
      <c r="D28" s="28" t="s">
        <v>66</v>
      </c>
      <c r="E28" s="30">
        <f>12%+20%</f>
        <v>0.32</v>
      </c>
      <c r="F28" s="28" t="s">
        <v>33</v>
      </c>
      <c r="G28" s="31">
        <v>0.243</v>
      </c>
      <c r="H28" s="28" t="s">
        <v>34</v>
      </c>
      <c r="I28" s="31">
        <f>44%+M30</f>
        <v>1.25</v>
      </c>
      <c r="J28" s="33"/>
      <c r="K28" s="31"/>
      <c r="L28" s="28" t="s">
        <v>30</v>
      </c>
      <c r="M28" s="31"/>
      <c r="N28" s="5"/>
      <c r="P28" s="15" t="s">
        <v>74</v>
      </c>
      <c r="Q28" s="16">
        <f t="shared" si="18"/>
        <v>1.3889</v>
      </c>
      <c r="R28" s="17" t="s">
        <v>38</v>
      </c>
      <c r="S28" s="18">
        <f t="shared" si="10"/>
        <v>999</v>
      </c>
      <c r="T28" s="19">
        <f t="shared" si="11"/>
        <v>1.51235035035035</v>
      </c>
      <c r="U28" s="19">
        <f t="shared" si="19"/>
        <v>1.33</v>
      </c>
      <c r="V28" s="20">
        <f t="shared" si="12"/>
        <v>3.16</v>
      </c>
      <c r="W28" s="21">
        <f>$K$16</f>
        <v>0.15</v>
      </c>
      <c r="X28" s="20">
        <f t="shared" si="14"/>
        <v>0.61852985220392</v>
      </c>
      <c r="Y28" s="18">
        <f t="shared" si="15"/>
        <v>0.8</v>
      </c>
      <c r="Z28" s="22"/>
      <c r="AA28" s="22"/>
      <c r="AB28" s="22"/>
      <c r="AC28" s="23">
        <f t="shared" si="16"/>
        <v>14605.2220522935</v>
      </c>
    </row>
    <row r="29" s="1" customFormat="1" spans="2:31">
      <c r="B29" s="28" t="s">
        <v>39</v>
      </c>
      <c r="C29" s="30">
        <f>18%+18%+M27</f>
        <v>0.704</v>
      </c>
      <c r="D29" s="28" t="s">
        <v>0</v>
      </c>
      <c r="E29" s="30">
        <v>0.24</v>
      </c>
      <c r="F29" s="28" t="s">
        <v>80</v>
      </c>
      <c r="G29" s="31">
        <v>0.15</v>
      </c>
      <c r="H29" s="28"/>
      <c r="I29" s="31"/>
      <c r="J29" s="33"/>
      <c r="K29" s="31"/>
      <c r="L29" s="28" t="s">
        <v>19</v>
      </c>
      <c r="M29" s="31">
        <f>8.1*5%</f>
        <v>0.405</v>
      </c>
      <c r="N29" s="5"/>
      <c r="P29" s="15" t="s">
        <v>75</v>
      </c>
      <c r="Q29" s="16">
        <f t="shared" si="21"/>
        <v>2.4807</v>
      </c>
      <c r="R29" s="17" t="s">
        <v>69</v>
      </c>
      <c r="S29" s="18">
        <f t="shared" si="10"/>
        <v>999</v>
      </c>
      <c r="T29" s="19">
        <f t="shared" si="11"/>
        <v>1.51235035035035</v>
      </c>
      <c r="U29" s="19">
        <f t="shared" si="22"/>
        <v>1.622</v>
      </c>
      <c r="V29" s="20">
        <f t="shared" si="12"/>
        <v>3.16</v>
      </c>
      <c r="W29" s="21">
        <f t="shared" si="23"/>
        <v>2.71</v>
      </c>
      <c r="X29" s="20">
        <f t="shared" si="14"/>
        <v>0.61852985220392</v>
      </c>
      <c r="Y29" s="18">
        <f t="shared" si="15"/>
        <v>0.8</v>
      </c>
      <c r="Z29" s="22"/>
      <c r="AA29" s="22"/>
      <c r="AB29" s="22"/>
      <c r="AC29" s="23">
        <f t="shared" si="16"/>
        <v>94703.1159529216</v>
      </c>
    </row>
    <row r="30" s="1" customFormat="1" spans="2:31">
      <c r="B30" s="28" t="s">
        <v>72</v>
      </c>
      <c r="C30" s="34">
        <v>0.25</v>
      </c>
      <c r="D30" s="28" t="s">
        <v>73</v>
      </c>
      <c r="E30" s="30"/>
      <c r="F30" s="28" t="s">
        <v>34</v>
      </c>
      <c r="G30" s="31">
        <f>M29</f>
        <v>0.405</v>
      </c>
      <c r="H30" s="28"/>
      <c r="I30" s="31"/>
      <c r="J30" s="33"/>
      <c r="K30" s="31"/>
      <c r="L30" s="28" t="s">
        <v>46</v>
      </c>
      <c r="M30" s="30">
        <f>16.2%*5</f>
        <v>0.81</v>
      </c>
      <c r="N30" s="5"/>
      <c r="P30" s="47" t="s">
        <v>81</v>
      </c>
      <c r="Q30" s="19">
        <f>528.41%</f>
        <v>5.2841</v>
      </c>
      <c r="R30" s="18" t="s">
        <v>82</v>
      </c>
      <c r="S30" s="18">
        <f t="shared" si="10"/>
        <v>999</v>
      </c>
      <c r="T30" s="19">
        <f t="shared" si="11"/>
        <v>1.51235035035035</v>
      </c>
      <c r="U30" s="19">
        <f>SUM($E$16:$E$20)</f>
        <v>1.33</v>
      </c>
      <c r="V30" s="20">
        <f t="shared" si="12"/>
        <v>3.16</v>
      </c>
      <c r="W30" s="21">
        <f>$K$16</f>
        <v>0.15</v>
      </c>
      <c r="X30" s="20">
        <f t="shared" si="14"/>
        <v>0.61852985220392</v>
      </c>
      <c r="Y30" s="18">
        <f t="shared" si="15"/>
        <v>0.8</v>
      </c>
      <c r="Z30" s="22">
        <v>2.55</v>
      </c>
      <c r="AA30" s="22"/>
      <c r="AB30" s="22"/>
      <c r="AC30" s="23">
        <f t="shared" si="16"/>
        <v>197258.88196066</v>
      </c>
    </row>
    <row r="31" s="1" customFormat="1" spans="2:31">
      <c r="B31" s="28" t="s">
        <v>45</v>
      </c>
      <c r="C31" s="34">
        <v>0.15</v>
      </c>
      <c r="D31" s="28"/>
      <c r="E31" s="35"/>
      <c r="F31" s="28" t="s">
        <v>50</v>
      </c>
      <c r="G31" s="31"/>
      <c r="H31" s="28" t="s">
        <v>50</v>
      </c>
      <c r="I31" s="31"/>
      <c r="J31" s="33"/>
      <c r="K31" s="31"/>
      <c r="L31" s="28"/>
      <c r="M31" s="29"/>
      <c r="N31" s="5"/>
      <c r="P31" s="56"/>
      <c r="Q31" s="57"/>
      <c r="R31" s="58"/>
      <c r="S31" s="51"/>
      <c r="T31" s="50"/>
      <c r="U31" s="50"/>
      <c r="V31" s="52"/>
      <c r="W31" s="53"/>
      <c r="X31" s="52"/>
      <c r="Y31" s="51"/>
      <c r="Z31" s="54"/>
      <c r="AA31" s="54"/>
      <c r="AB31" s="54"/>
      <c r="AC31" s="55">
        <f t="shared" si="16"/>
        <v>0</v>
      </c>
    </row>
    <row r="32" s="1" customFormat="1" spans="2:31">
      <c r="B32" s="28" t="s">
        <v>52</v>
      </c>
      <c r="C32" s="29">
        <v>350</v>
      </c>
      <c r="D32" s="28" t="s">
        <v>76</v>
      </c>
      <c r="E32" s="30"/>
      <c r="F32" s="36" t="s">
        <v>53</v>
      </c>
      <c r="G32" s="37">
        <f>MIN(100%,SUM(G27:G31))</f>
        <v>0.848</v>
      </c>
      <c r="H32" s="36" t="s">
        <v>54</v>
      </c>
      <c r="I32" s="38">
        <f>SUM(I27:I31)</f>
        <v>2.91</v>
      </c>
      <c r="J32" s="33"/>
      <c r="K32" s="31"/>
      <c r="L32" s="28"/>
      <c r="M32" s="29"/>
      <c r="N32" s="5"/>
      <c r="P32" s="49" t="s">
        <v>22</v>
      </c>
      <c r="Q32" s="50">
        <v>1.6899</v>
      </c>
      <c r="R32" s="51" t="s">
        <v>23</v>
      </c>
      <c r="S32" s="51">
        <f t="shared" ref="S32:S41" si="24">$C$27</f>
        <v>962</v>
      </c>
      <c r="T32" s="50">
        <f t="shared" ref="T32:T41" si="25">($C$28+$C$29+$C$30+$C$31)+($C$32+$C$33)/S32</f>
        <v>1.70782536382536</v>
      </c>
      <c r="U32" s="50">
        <f t="shared" ref="U32:U35" si="26">SUM($E$27:$E$31)</f>
        <v>1.16</v>
      </c>
      <c r="V32" s="52">
        <f t="shared" ref="V32:V41" si="27">1+$G$32*($I$32-1)</f>
        <v>2.61968</v>
      </c>
      <c r="W32" s="53">
        <f t="shared" ref="W32:W41" si="28">$K$27</f>
        <v>0</v>
      </c>
      <c r="X32" s="52">
        <f t="shared" ref="X32:X41" si="29">$AE$7</f>
        <v>0.589512876202296</v>
      </c>
      <c r="Y32" s="51">
        <f t="shared" ref="Y32:Y41" si="30">$AE$17</f>
        <v>0.8</v>
      </c>
      <c r="Z32" s="54"/>
      <c r="AA32" s="54"/>
      <c r="AB32" s="54"/>
      <c r="AC32" s="55">
        <f t="shared" si="16"/>
        <v>11747.406794409</v>
      </c>
    </row>
    <row r="33" s="1" customFormat="1" spans="2:29">
      <c r="B33" s="39" t="s">
        <v>56</v>
      </c>
      <c r="C33" s="40"/>
      <c r="D33" s="39" t="s">
        <v>77</v>
      </c>
      <c r="E33" s="41"/>
      <c r="F33" s="39"/>
      <c r="G33" s="42"/>
      <c r="H33" s="39"/>
      <c r="I33" s="40"/>
      <c r="J33" s="43"/>
      <c r="K33" s="42"/>
      <c r="L33" s="39"/>
      <c r="M33" s="40"/>
      <c r="N33" s="5"/>
      <c r="P33" s="56" t="s">
        <v>30</v>
      </c>
      <c r="Q33" s="57">
        <v>2.9793</v>
      </c>
      <c r="R33" s="58" t="s">
        <v>30</v>
      </c>
      <c r="S33" s="51">
        <f t="shared" si="24"/>
        <v>962</v>
      </c>
      <c r="T33" s="50">
        <f t="shared" si="25"/>
        <v>1.70782536382536</v>
      </c>
      <c r="U33" s="50">
        <f t="shared" si="26"/>
        <v>1.16</v>
      </c>
      <c r="V33" s="52">
        <f t="shared" si="27"/>
        <v>2.61968</v>
      </c>
      <c r="W33" s="53">
        <f t="shared" si="28"/>
        <v>0</v>
      </c>
      <c r="X33" s="52">
        <f t="shared" si="29"/>
        <v>0.589512876202296</v>
      </c>
      <c r="Y33" s="51">
        <f t="shared" si="30"/>
        <v>0.8</v>
      </c>
      <c r="Z33" s="54"/>
      <c r="AA33" s="54"/>
      <c r="AB33" s="54"/>
      <c r="AC33" s="55">
        <f t="shared" si="16"/>
        <v>20710.7219732427</v>
      </c>
    </row>
    <row r="34" s="1" customFormat="1" spans="2:29">
      <c r="B34" s="44"/>
      <c r="C34" s="44"/>
      <c r="D34" s="44"/>
      <c r="E34" s="45"/>
      <c r="F34" s="44"/>
      <c r="G34" s="46"/>
      <c r="H34" s="44"/>
      <c r="I34" s="44"/>
      <c r="J34" s="46"/>
      <c r="K34" s="46"/>
      <c r="L34" s="44"/>
      <c r="M34" s="44"/>
      <c r="N34" s="5"/>
      <c r="P34" s="49" t="s">
        <v>30</v>
      </c>
      <c r="Q34" s="50">
        <v>2.3858</v>
      </c>
      <c r="R34" s="51" t="s">
        <v>30</v>
      </c>
      <c r="S34" s="51">
        <f t="shared" si="24"/>
        <v>962</v>
      </c>
      <c r="T34" s="50">
        <f t="shared" si="25"/>
        <v>1.70782536382536</v>
      </c>
      <c r="U34" s="50">
        <f>SUM($E$27:$E$31)+60%</f>
        <v>1.76</v>
      </c>
      <c r="V34" s="52">
        <f t="shared" si="27"/>
        <v>2.61968</v>
      </c>
      <c r="W34" s="53">
        <f t="shared" si="28"/>
        <v>0</v>
      </c>
      <c r="X34" s="52">
        <f t="shared" si="29"/>
        <v>0.589512876202296</v>
      </c>
      <c r="Y34" s="51">
        <f t="shared" si="30"/>
        <v>0.8</v>
      </c>
      <c r="Z34" s="54"/>
      <c r="AA34" s="54"/>
      <c r="AB34" s="54"/>
      <c r="AC34" s="55">
        <f t="shared" si="16"/>
        <v>21191.9229932187</v>
      </c>
    </row>
    <row r="35" s="1" customFormat="1" ht="15" spans="2:29">
      <c r="B35" s="59" t="s">
        <v>84</v>
      </c>
      <c r="C35" s="5"/>
      <c r="D35" s="5"/>
      <c r="E35" s="5"/>
      <c r="F35" s="5"/>
      <c r="G35" s="6"/>
      <c r="H35" s="5"/>
      <c r="I35" s="5"/>
      <c r="J35" s="5"/>
      <c r="K35" s="5"/>
      <c r="L35" s="5"/>
      <c r="M35" s="5"/>
      <c r="N35" s="5"/>
      <c r="P35" s="56" t="s">
        <v>83</v>
      </c>
      <c r="Q35" s="57"/>
      <c r="R35" s="58"/>
      <c r="S35" s="51">
        <f t="shared" si="24"/>
        <v>962</v>
      </c>
      <c r="T35" s="50">
        <f t="shared" si="25"/>
        <v>1.70782536382536</v>
      </c>
      <c r="U35" s="50">
        <f t="shared" si="26"/>
        <v>1.16</v>
      </c>
      <c r="V35" s="52">
        <f t="shared" si="27"/>
        <v>2.61968</v>
      </c>
      <c r="W35" s="53">
        <f t="shared" si="28"/>
        <v>0</v>
      </c>
      <c r="X35" s="52">
        <f t="shared" si="29"/>
        <v>0.589512876202296</v>
      </c>
      <c r="Y35" s="51">
        <f t="shared" si="30"/>
        <v>0.8</v>
      </c>
      <c r="Z35" s="54"/>
      <c r="AA35" s="54"/>
      <c r="AB35" s="54"/>
      <c r="AC35" s="55">
        <f t="shared" si="16"/>
        <v>0</v>
      </c>
    </row>
    <row r="36" s="1" customFormat="1" ht="20" customHeight="1" spans="2:29">
      <c r="B36" s="60" t="s">
        <v>85</v>
      </c>
      <c r="C36" s="60" t="s">
        <v>86</v>
      </c>
      <c r="D36" s="60" t="s">
        <v>87</v>
      </c>
      <c r="E36" s="60" t="s">
        <v>88</v>
      </c>
      <c r="F36" s="61"/>
      <c r="G36" s="6"/>
      <c r="H36" s="5"/>
      <c r="I36" s="5"/>
      <c r="J36" s="5"/>
      <c r="K36" s="5"/>
      <c r="L36" s="5"/>
      <c r="M36" s="5"/>
      <c r="N36" s="5"/>
      <c r="P36" s="49" t="s">
        <v>44</v>
      </c>
      <c r="Q36" s="50">
        <v>8.7477</v>
      </c>
      <c r="R36" s="51" t="s">
        <v>44</v>
      </c>
      <c r="S36" s="51">
        <f t="shared" si="24"/>
        <v>962</v>
      </c>
      <c r="T36" s="50">
        <f t="shared" si="25"/>
        <v>1.70782536382536</v>
      </c>
      <c r="U36" s="50">
        <f>SUM($E$27:$E$31)+40%</f>
        <v>1.56</v>
      </c>
      <c r="V36" s="52">
        <f t="shared" si="27"/>
        <v>2.61968</v>
      </c>
      <c r="W36" s="53">
        <f t="shared" si="28"/>
        <v>0</v>
      </c>
      <c r="X36" s="52">
        <f t="shared" si="29"/>
        <v>0.589512876202296</v>
      </c>
      <c r="Y36" s="51">
        <f t="shared" si="30"/>
        <v>0.8</v>
      </c>
      <c r="Z36" s="54"/>
      <c r="AA36" s="54"/>
      <c r="AB36" s="54"/>
      <c r="AC36" s="55">
        <f t="shared" si="16"/>
        <v>72071.0910637811</v>
      </c>
    </row>
    <row r="37" s="1" customFormat="1" ht="20" customHeight="1" spans="2:29">
      <c r="B37" s="62" t="s">
        <v>0</v>
      </c>
      <c r="C37" s="62">
        <f>SUM(AC3:AC14)</f>
        <v>496849.560719995</v>
      </c>
      <c r="D37" s="62">
        <f>C37/E37</f>
        <v>19873.9824287998</v>
      </c>
      <c r="E37" s="61">
        <v>25</v>
      </c>
      <c r="F37" s="61"/>
      <c r="G37" s="6"/>
      <c r="H37" s="5"/>
      <c r="I37" s="5"/>
      <c r="J37" s="5"/>
      <c r="K37" s="5"/>
      <c r="L37" s="5"/>
      <c r="M37" s="5"/>
      <c r="N37" s="5"/>
      <c r="P37" s="56" t="s">
        <v>69</v>
      </c>
      <c r="Q37" s="57">
        <v>0.9635</v>
      </c>
      <c r="R37" s="58" t="s">
        <v>69</v>
      </c>
      <c r="S37" s="51">
        <f t="shared" si="24"/>
        <v>962</v>
      </c>
      <c r="T37" s="50">
        <f t="shared" si="25"/>
        <v>1.70782536382536</v>
      </c>
      <c r="U37" s="50">
        <f t="shared" ref="U37:U40" si="31">SUM($E$27:$E$31)</f>
        <v>1.16</v>
      </c>
      <c r="V37" s="52">
        <f t="shared" si="27"/>
        <v>2.61968</v>
      </c>
      <c r="W37" s="53">
        <f t="shared" si="28"/>
        <v>0</v>
      </c>
      <c r="X37" s="52">
        <f t="shared" si="29"/>
        <v>0.589512876202296</v>
      </c>
      <c r="Y37" s="51">
        <f t="shared" si="30"/>
        <v>0.8</v>
      </c>
      <c r="Z37" s="54"/>
      <c r="AA37" s="54"/>
      <c r="AB37" s="54"/>
      <c r="AC37" s="55">
        <f t="shared" si="16"/>
        <v>6697.80841849405</v>
      </c>
    </row>
    <row r="38" s="1" customFormat="1" ht="20" customHeight="1" spans="2:29">
      <c r="B38" s="62" t="s">
        <v>63</v>
      </c>
      <c r="C38" s="62">
        <f>SUM(AC17:AC30)</f>
        <v>949729.858280118</v>
      </c>
      <c r="D38" s="62">
        <f>C38/E37</f>
        <v>37989.1943312047</v>
      </c>
      <c r="E38" s="6"/>
      <c r="F38" s="5"/>
      <c r="G38" s="6"/>
      <c r="H38" s="5"/>
      <c r="I38" s="5">
        <v>32177</v>
      </c>
      <c r="J38" s="5"/>
      <c r="K38" s="5"/>
      <c r="L38" s="5"/>
      <c r="M38" s="5"/>
      <c r="N38" s="5"/>
      <c r="P38" s="49" t="s">
        <v>69</v>
      </c>
      <c r="Q38" s="50">
        <v>0.7605</v>
      </c>
      <c r="R38" s="51" t="s">
        <v>69</v>
      </c>
      <c r="S38" s="51">
        <f t="shared" si="24"/>
        <v>962</v>
      </c>
      <c r="T38" s="50">
        <f t="shared" si="25"/>
        <v>1.70782536382536</v>
      </c>
      <c r="U38" s="50">
        <f t="shared" si="31"/>
        <v>1.16</v>
      </c>
      <c r="V38" s="52">
        <f t="shared" si="27"/>
        <v>2.61968</v>
      </c>
      <c r="W38" s="53">
        <f t="shared" si="28"/>
        <v>0</v>
      </c>
      <c r="X38" s="52">
        <f t="shared" si="29"/>
        <v>0.589512876202296</v>
      </c>
      <c r="Y38" s="51">
        <f t="shared" si="30"/>
        <v>0.8</v>
      </c>
      <c r="Z38" s="54"/>
      <c r="AA38" s="54"/>
      <c r="AB38" s="54"/>
      <c r="AC38" s="55">
        <f t="shared" si="16"/>
        <v>5286.64587676671</v>
      </c>
    </row>
    <row r="39" s="1" customFormat="1" ht="20" customHeight="1" spans="2:29">
      <c r="B39" s="62" t="s">
        <v>79</v>
      </c>
      <c r="C39" s="62">
        <v>50000</v>
      </c>
      <c r="D39" s="62">
        <f>C39/E37</f>
        <v>2000</v>
      </c>
      <c r="E39" s="5"/>
      <c r="F39" s="5"/>
      <c r="G39" s="6"/>
      <c r="H39" s="5"/>
      <c r="I39" s="5">
        <v>31453</v>
      </c>
      <c r="J39" s="5">
        <f>I39/I38</f>
        <v>0.977499456133263</v>
      </c>
      <c r="K39" s="5"/>
      <c r="L39" s="5"/>
      <c r="M39" s="5"/>
      <c r="N39" s="5"/>
      <c r="P39" s="56" t="s">
        <v>69</v>
      </c>
      <c r="Q39" s="57">
        <v>1.2675</v>
      </c>
      <c r="R39" s="58" t="s">
        <v>69</v>
      </c>
      <c r="S39" s="51">
        <f t="shared" si="24"/>
        <v>962</v>
      </c>
      <c r="T39" s="50">
        <f t="shared" si="25"/>
        <v>1.70782536382536</v>
      </c>
      <c r="U39" s="50">
        <f t="shared" si="31"/>
        <v>1.16</v>
      </c>
      <c r="V39" s="52">
        <f t="shared" si="27"/>
        <v>2.61968</v>
      </c>
      <c r="W39" s="53">
        <f t="shared" si="28"/>
        <v>0</v>
      </c>
      <c r="X39" s="52">
        <f t="shared" si="29"/>
        <v>0.589512876202296</v>
      </c>
      <c r="Y39" s="51">
        <f t="shared" si="30"/>
        <v>0.8</v>
      </c>
      <c r="Z39" s="54"/>
      <c r="AA39" s="54"/>
      <c r="AB39" s="54"/>
      <c r="AC39" s="55">
        <f t="shared" si="16"/>
        <v>8811.07646127785</v>
      </c>
    </row>
    <row r="40" s="1" customFormat="1" ht="20" customHeight="1" spans="2:29">
      <c r="B40" s="62" t="s">
        <v>89</v>
      </c>
      <c r="C40" s="62">
        <f>D40*E37</f>
        <v>52100</v>
      </c>
      <c r="D40" s="62">
        <v>2084</v>
      </c>
      <c r="E40" s="5"/>
      <c r="F40" s="5"/>
      <c r="G40" s="6"/>
      <c r="H40" s="5"/>
      <c r="I40" s="5"/>
      <c r="J40" s="5"/>
      <c r="K40" s="5"/>
      <c r="L40" s="5"/>
      <c r="M40" s="5"/>
      <c r="N40" s="5"/>
      <c r="P40" s="49" t="s">
        <v>30</v>
      </c>
      <c r="Q40" s="50">
        <v>2.9793</v>
      </c>
      <c r="R40" s="51" t="s">
        <v>30</v>
      </c>
      <c r="S40" s="51">
        <f t="shared" si="24"/>
        <v>962</v>
      </c>
      <c r="T40" s="50">
        <f t="shared" si="25"/>
        <v>1.70782536382536</v>
      </c>
      <c r="U40" s="50">
        <f t="shared" si="31"/>
        <v>1.16</v>
      </c>
      <c r="V40" s="52">
        <f t="shared" si="27"/>
        <v>2.61968</v>
      </c>
      <c r="W40" s="53">
        <f t="shared" si="28"/>
        <v>0</v>
      </c>
      <c r="X40" s="52">
        <f t="shared" si="29"/>
        <v>0.589512876202296</v>
      </c>
      <c r="Y40" s="51">
        <f t="shared" si="30"/>
        <v>0.8</v>
      </c>
      <c r="Z40" s="54"/>
      <c r="AA40" s="54"/>
      <c r="AB40" s="54"/>
      <c r="AC40" s="55">
        <f t="shared" si="16"/>
        <v>20710.7219732427</v>
      </c>
    </row>
    <row r="41" s="1" customFormat="1" ht="20" customHeight="1" spans="2:29">
      <c r="B41" s="62" t="s">
        <v>90</v>
      </c>
      <c r="C41" s="62">
        <f>C37+C38+C39+C40</f>
        <v>1548679.41900011</v>
      </c>
      <c r="D41" s="62">
        <f>C41/E37</f>
        <v>61947.1767600045</v>
      </c>
      <c r="E41" s="5"/>
      <c r="F41" s="5"/>
      <c r="G41" s="6"/>
      <c r="H41" s="5"/>
      <c r="I41" s="5"/>
      <c r="J41" s="5"/>
      <c r="K41" s="5"/>
      <c r="L41" s="5"/>
      <c r="M41" s="5"/>
      <c r="N41" s="5"/>
      <c r="P41" s="56" t="s">
        <v>30</v>
      </c>
      <c r="Q41" s="57">
        <v>2.3858</v>
      </c>
      <c r="R41" s="58" t="s">
        <v>30</v>
      </c>
      <c r="S41" s="51">
        <f t="shared" si="24"/>
        <v>962</v>
      </c>
      <c r="T41" s="50">
        <f t="shared" si="25"/>
        <v>1.70782536382536</v>
      </c>
      <c r="U41" s="50">
        <f>SUM($E$27:$E$31)+60%</f>
        <v>1.76</v>
      </c>
      <c r="V41" s="52">
        <f t="shared" si="27"/>
        <v>2.61968</v>
      </c>
      <c r="W41" s="53">
        <f t="shared" si="28"/>
        <v>0</v>
      </c>
      <c r="X41" s="52">
        <f t="shared" si="29"/>
        <v>0.589512876202296</v>
      </c>
      <c r="Y41" s="51">
        <f t="shared" si="30"/>
        <v>0.8</v>
      </c>
      <c r="Z41" s="54"/>
      <c r="AA41" s="54"/>
      <c r="AB41" s="54"/>
      <c r="AC41" s="55">
        <f t="shared" si="16"/>
        <v>21191.9229932187</v>
      </c>
    </row>
    <row r="42" s="1" customFormat="1" ht="17.5" spans="2:29">
      <c r="B42" s="62"/>
      <c r="C42" s="62"/>
      <c r="D42" s="62"/>
      <c r="E42" s="5"/>
      <c r="F42" s="5"/>
      <c r="G42" s="90" t="s">
        <v>114</v>
      </c>
      <c r="H42" s="91" t="s">
        <v>109</v>
      </c>
      <c r="I42" s="91" t="s">
        <v>115</v>
      </c>
      <c r="J42" s="5"/>
      <c r="K42" s="5"/>
      <c r="L42" s="5"/>
      <c r="M42" s="5"/>
      <c r="N42" s="5"/>
      <c r="Q42" s="2"/>
      <c r="U42" s="2"/>
      <c r="V42" s="3"/>
      <c r="AB42" s="4"/>
      <c r="AC42" s="4"/>
    </row>
    <row r="43" s="1" customFormat="1" ht="17.5" spans="2:29">
      <c r="B43" s="62"/>
      <c r="C43" s="62"/>
      <c r="D43" s="62"/>
      <c r="E43" s="5"/>
      <c r="F43" s="5"/>
      <c r="G43" s="92" t="s">
        <v>116</v>
      </c>
      <c r="H43" s="93">
        <v>35670</v>
      </c>
      <c r="I43" s="93"/>
      <c r="J43" s="5"/>
      <c r="K43" s="5"/>
      <c r="L43" s="5"/>
      <c r="M43" s="5"/>
      <c r="N43" s="5"/>
      <c r="Q43" s="2"/>
      <c r="U43" s="2"/>
      <c r="V43" s="3"/>
      <c r="AB43" s="4"/>
      <c r="AC43" s="4"/>
    </row>
    <row r="44" s="1" customFormat="1" ht="17.5" spans="2:29">
      <c r="B44" s="5"/>
      <c r="C44" s="5"/>
      <c r="D44" s="5"/>
      <c r="E44" s="5"/>
      <c r="G44" s="94" t="s">
        <v>117</v>
      </c>
      <c r="H44" s="95">
        <v>60150</v>
      </c>
      <c r="I44" s="95"/>
      <c r="J44" s="5"/>
      <c r="K44" s="5"/>
      <c r="L44" s="5"/>
      <c r="M44" s="5"/>
      <c r="N44" s="5"/>
      <c r="Q44" s="2"/>
      <c r="U44" s="2"/>
      <c r="V44" s="3"/>
      <c r="AB44" s="4"/>
      <c r="AC44" s="4"/>
    </row>
    <row r="45" s="1" customFormat="1" ht="17.5" spans="2:29">
      <c r="B45" s="5"/>
      <c r="C45" s="5"/>
      <c r="D45" s="5"/>
      <c r="E45" s="5"/>
      <c r="F45" s="62"/>
      <c r="G45" s="92" t="s">
        <v>118</v>
      </c>
      <c r="H45" s="93">
        <f>(H44*2+H43)/3</f>
        <v>51990</v>
      </c>
      <c r="I45" s="93"/>
      <c r="N45" s="5"/>
      <c r="Q45" s="2"/>
      <c r="U45" s="2"/>
      <c r="V45" s="3"/>
      <c r="AB45" s="4"/>
      <c r="AC45" s="4"/>
    </row>
    <row r="46" s="1" customFormat="1" ht="17.5" spans="2:29">
      <c r="B46" s="62"/>
      <c r="C46" s="62"/>
      <c r="D46" s="62"/>
      <c r="E46" s="5"/>
      <c r="F46" s="62"/>
      <c r="G46" s="94" t="s">
        <v>119</v>
      </c>
      <c r="H46" s="95">
        <v>61974</v>
      </c>
      <c r="I46" s="94">
        <f>H46/H44</f>
        <v>1.03032418952618</v>
      </c>
      <c r="N46" s="5"/>
      <c r="Q46" s="2"/>
      <c r="U46" s="2"/>
      <c r="V46" s="3"/>
      <c r="AB46" s="4"/>
      <c r="AC46" s="4"/>
    </row>
    <row r="47" s="1" customFormat="1" spans="2:29">
      <c r="B47" s="62"/>
      <c r="C47" s="62"/>
      <c r="D47" s="62"/>
      <c r="E47" s="5"/>
      <c r="F47" s="5"/>
      <c r="G47" s="2"/>
      <c r="N47" s="5"/>
      <c r="Q47" s="2"/>
      <c r="U47" s="2"/>
      <c r="V47" s="3"/>
      <c r="AB47" s="4"/>
      <c r="AC47" s="4"/>
    </row>
    <row r="48" s="1" customFormat="1" spans="2:29">
      <c r="B48" s="5"/>
      <c r="C48" s="5"/>
      <c r="D48" s="5"/>
      <c r="E48" s="5"/>
      <c r="F48" s="62"/>
      <c r="G48" s="2"/>
      <c r="N48" s="5"/>
      <c r="Q48" s="2"/>
      <c r="U48" s="2"/>
      <c r="V48" s="3"/>
      <c r="AB48" s="4"/>
      <c r="AC48" s="4"/>
    </row>
    <row r="49" s="1" customFormat="1" spans="2:29">
      <c r="B49" s="62"/>
      <c r="C49" s="62"/>
      <c r="D49" s="62"/>
      <c r="E49" s="5"/>
      <c r="F49" s="62"/>
      <c r="G49" s="2"/>
      <c r="N49" s="5"/>
      <c r="Q49" s="2"/>
      <c r="U49" s="2"/>
      <c r="V49" s="3"/>
      <c r="AB49" s="4"/>
      <c r="AC49" s="4"/>
    </row>
    <row r="50" s="1" customFormat="1" spans="2:29">
      <c r="B50" s="62"/>
      <c r="C50" s="62"/>
      <c r="D50" s="62"/>
      <c r="E50" s="5"/>
      <c r="F50" s="5"/>
      <c r="G50" s="2"/>
      <c r="N50" s="5"/>
      <c r="Q50" s="2"/>
      <c r="U50" s="2"/>
      <c r="V50" s="3"/>
      <c r="AB50" s="4"/>
      <c r="AC50" s="4"/>
    </row>
    <row r="51" s="1" customFormat="1" spans="2:29">
      <c r="B51" s="5"/>
      <c r="C51" s="5"/>
      <c r="D51" s="5"/>
      <c r="E51" s="5"/>
      <c r="F51" s="62"/>
      <c r="G51" s="2"/>
      <c r="N51" s="5"/>
      <c r="Q51" s="2"/>
      <c r="U51" s="2"/>
      <c r="V51" s="3"/>
      <c r="AB51" s="4"/>
      <c r="AC51" s="4"/>
    </row>
    <row r="52" s="1" customFormat="1" spans="2:29">
      <c r="B52" s="62"/>
      <c r="C52" s="62"/>
      <c r="D52" s="62"/>
      <c r="E52" s="5"/>
      <c r="F52" s="62"/>
      <c r="G52" s="2"/>
      <c r="N52" s="5"/>
      <c r="Q52" s="2"/>
      <c r="U52" s="2"/>
      <c r="V52" s="3"/>
      <c r="AB52" s="4"/>
      <c r="AC52" s="4"/>
    </row>
    <row r="53" s="1" customFormat="1" spans="2:29">
      <c r="B53" s="62"/>
      <c r="C53" s="62"/>
      <c r="D53" s="62"/>
      <c r="E53" s="5"/>
      <c r="F53" s="5"/>
      <c r="G53" s="2"/>
      <c r="N53" s="5"/>
      <c r="Q53" s="2"/>
      <c r="U53" s="2"/>
      <c r="V53" s="3"/>
      <c r="AB53" s="4"/>
      <c r="AC53" s="4"/>
    </row>
    <row r="54" s="1" customFormat="1" spans="2:29">
      <c r="B54" s="5"/>
      <c r="C54" s="5"/>
      <c r="D54" s="5"/>
      <c r="E54" s="5"/>
      <c r="F54" s="62"/>
      <c r="G54" s="2"/>
      <c r="N54" s="5"/>
      <c r="Q54" s="2"/>
      <c r="U54" s="2"/>
      <c r="V54" s="3"/>
      <c r="AB54" s="4"/>
      <c r="AC54" s="4"/>
    </row>
    <row r="55" s="1" customFormat="1" spans="2:29">
      <c r="B55" s="62"/>
      <c r="C55" s="62"/>
      <c r="D55" s="62"/>
      <c r="E55" s="5"/>
      <c r="G55" s="2"/>
      <c r="N55" s="5"/>
      <c r="Q55" s="2"/>
      <c r="U55" s="2"/>
      <c r="V55" s="3"/>
      <c r="AB55" s="4"/>
      <c r="AC55" s="4"/>
    </row>
    <row r="56" s="1" customFormat="1" spans="2:29">
      <c r="G56" s="2"/>
      <c r="N56" s="5"/>
      <c r="Q56" s="2"/>
      <c r="U56" s="2"/>
      <c r="V56" s="3"/>
      <c r="AB56" s="4"/>
      <c r="AC56" s="4"/>
    </row>
    <row r="57" s="1" customFormat="1" spans="2:29">
      <c r="G57" s="2"/>
      <c r="N57" s="5"/>
      <c r="Q57" s="2"/>
      <c r="U57" s="2"/>
      <c r="V57" s="3"/>
      <c r="AB57" s="4"/>
      <c r="AC57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57"/>
  <sheetViews>
    <sheetView topLeftCell="A16" workbookViewId="0">
      <selection activeCell="F36" sqref="F3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5.1818181818182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11.8181818181818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4" width="9.69090909090909" style="1"/>
  </cols>
  <sheetData>
    <row r="1" ht="14.75"/>
    <row r="2" s="1" customFormat="1" ht="15" spans="2:32"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4" t="s">
        <v>9</v>
      </c>
      <c r="AF2" s="14" t="s">
        <v>17</v>
      </c>
    </row>
    <row r="3" s="1" customFormat="1" spans="2:32">
      <c r="B3" s="64" t="s">
        <v>18</v>
      </c>
      <c r="C3" s="65"/>
      <c r="D3" s="64" t="s">
        <v>6</v>
      </c>
      <c r="E3" s="65"/>
      <c r="F3" s="64" t="s">
        <v>19</v>
      </c>
      <c r="G3" s="65"/>
      <c r="H3" s="64" t="s">
        <v>20</v>
      </c>
      <c r="I3" s="65"/>
      <c r="J3" s="64" t="s">
        <v>8</v>
      </c>
      <c r="K3" s="65"/>
      <c r="L3" s="64" t="s">
        <v>21</v>
      </c>
      <c r="M3" s="65"/>
      <c r="N3" s="5"/>
      <c r="P3" s="89" t="s">
        <v>22</v>
      </c>
      <c r="Q3" s="83">
        <v>2</v>
      </c>
      <c r="R3" s="84" t="s">
        <v>23</v>
      </c>
      <c r="S3" s="84">
        <f t="shared" ref="S3:S14" si="0">$C$4</f>
        <v>937</v>
      </c>
      <c r="T3" s="83">
        <f t="shared" ref="T3:T14" si="1">($C$5+$C$6+$C$7+$C$8)+($C$9+$C$10)/S3</f>
        <v>1.7355325506937</v>
      </c>
      <c r="U3" s="83">
        <f t="shared" ref="U3:U6" si="2">SUM($E$4:$E$7)</f>
        <v>1.51</v>
      </c>
      <c r="V3" s="85">
        <f t="shared" ref="V3:V14" si="3">1+$G$9*($I$9-1)</f>
        <v>3.0304</v>
      </c>
      <c r="W3" s="86">
        <f t="shared" ref="W3:W14" si="4">$K$4</f>
        <v>0.15</v>
      </c>
      <c r="X3" s="85">
        <f t="shared" ref="X3:X14" si="5">$AE$4</f>
        <v>0.589512876202296</v>
      </c>
      <c r="Y3" s="84">
        <v>0.8</v>
      </c>
      <c r="Z3" s="87">
        <v>0</v>
      </c>
      <c r="AA3" s="87">
        <v>0</v>
      </c>
      <c r="AB3" s="87">
        <v>0</v>
      </c>
      <c r="AC3" s="88">
        <f t="shared" ref="AC3:AC14" si="6">Q3*S3*(1+T3)*(1+U3)*V3*(1+W3)*X3*Y3*(1+Z3)*(1+AA3)*(1+AB3)</f>
        <v>21147.8526159839</v>
      </c>
      <c r="AD3" s="13">
        <v>0</v>
      </c>
      <c r="AE3" s="14">
        <f t="shared" ref="AE3:AE8" si="7">1520/(1520+(792+8*AF3)*(1-AD3/100))</f>
        <v>0.50131926121372</v>
      </c>
      <c r="AF3" s="24">
        <v>90</v>
      </c>
    </row>
    <row r="4" s="1" customFormat="1" spans="2:32">
      <c r="B4" s="66" t="s">
        <v>24</v>
      </c>
      <c r="C4" s="67">
        <v>937</v>
      </c>
      <c r="D4" s="66" t="s">
        <v>25</v>
      </c>
      <c r="E4" s="68">
        <v>0.6</v>
      </c>
      <c r="F4" s="66" t="s">
        <v>26</v>
      </c>
      <c r="G4" s="69">
        <v>0.05</v>
      </c>
      <c r="H4" s="66" t="s">
        <v>26</v>
      </c>
      <c r="I4" s="68">
        <f>150%+16%</f>
        <v>1.66</v>
      </c>
      <c r="J4" s="70" t="s">
        <v>27</v>
      </c>
      <c r="K4" s="68">
        <v>0.15</v>
      </c>
      <c r="L4" s="66" t="s">
        <v>28</v>
      </c>
      <c r="M4" s="69">
        <f>8.6%*2</f>
        <v>0.172</v>
      </c>
      <c r="N4" s="5"/>
      <c r="P4" s="82" t="s">
        <v>93</v>
      </c>
      <c r="Q4" s="83">
        <f>9.55%+19.09%+66.81%</f>
        <v>0.9545</v>
      </c>
      <c r="R4" s="84" t="s">
        <v>38</v>
      </c>
      <c r="S4" s="84">
        <f t="shared" si="0"/>
        <v>937</v>
      </c>
      <c r="T4" s="83">
        <f t="shared" si="1"/>
        <v>1.7355325506937</v>
      </c>
      <c r="U4" s="83">
        <f t="shared" si="2"/>
        <v>1.51</v>
      </c>
      <c r="V4" s="85">
        <f t="shared" si="3"/>
        <v>3.0304</v>
      </c>
      <c r="W4" s="86">
        <f t="shared" si="4"/>
        <v>0.15</v>
      </c>
      <c r="X4" s="85">
        <f t="shared" si="5"/>
        <v>0.589512876202296</v>
      </c>
      <c r="Y4" s="84">
        <v>0.8</v>
      </c>
      <c r="Z4" s="87">
        <v>0</v>
      </c>
      <c r="AA4" s="87">
        <v>0</v>
      </c>
      <c r="AB4" s="87">
        <v>0</v>
      </c>
      <c r="AC4" s="88">
        <f t="shared" si="6"/>
        <v>10092.8126609783</v>
      </c>
      <c r="AD4" s="13">
        <v>30</v>
      </c>
      <c r="AE4" s="14">
        <f t="shared" si="7"/>
        <v>0.589512876202296</v>
      </c>
      <c r="AF4" s="24">
        <v>90</v>
      </c>
    </row>
    <row r="5" s="1" customFormat="1" spans="2:32">
      <c r="B5" s="66" t="s">
        <v>31</v>
      </c>
      <c r="C5" s="68">
        <f>12%+12%</f>
        <v>0.24</v>
      </c>
      <c r="D5" s="66" t="s">
        <v>32</v>
      </c>
      <c r="E5" s="68">
        <f>35%+12%</f>
        <v>0.47</v>
      </c>
      <c r="F5" s="66" t="s">
        <v>33</v>
      </c>
      <c r="G5" s="69">
        <v>0.36</v>
      </c>
      <c r="H5" s="66" t="s">
        <v>34</v>
      </c>
      <c r="I5" s="69">
        <f>M7+44%</f>
        <v>1.25</v>
      </c>
      <c r="J5" s="71" t="s">
        <v>35</v>
      </c>
      <c r="K5" s="69"/>
      <c r="L5" s="66" t="s">
        <v>36</v>
      </c>
      <c r="M5" s="69">
        <f>8.6%*2</f>
        <v>0.172</v>
      </c>
      <c r="N5" s="5"/>
      <c r="P5" s="82" t="s">
        <v>29</v>
      </c>
      <c r="Q5" s="83">
        <v>0.3937</v>
      </c>
      <c r="R5" s="84" t="s">
        <v>30</v>
      </c>
      <c r="S5" s="84">
        <f t="shared" si="0"/>
        <v>937</v>
      </c>
      <c r="T5" s="83">
        <f t="shared" si="1"/>
        <v>1.7355325506937</v>
      </c>
      <c r="U5" s="83">
        <f t="shared" si="2"/>
        <v>1.51</v>
      </c>
      <c r="V5" s="85">
        <f t="shared" si="3"/>
        <v>3.0304</v>
      </c>
      <c r="W5" s="86">
        <f t="shared" si="4"/>
        <v>0.15</v>
      </c>
      <c r="X5" s="85">
        <f t="shared" si="5"/>
        <v>0.589512876202296</v>
      </c>
      <c r="Y5" s="84">
        <v>0.8</v>
      </c>
      <c r="Z5" s="87">
        <v>0</v>
      </c>
      <c r="AA5" s="87">
        <v>0</v>
      </c>
      <c r="AB5" s="87">
        <v>0</v>
      </c>
      <c r="AC5" s="88">
        <f t="shared" si="6"/>
        <v>4162.95478745643</v>
      </c>
      <c r="AD5" s="13">
        <v>14.4</v>
      </c>
      <c r="AE5" s="14">
        <f t="shared" si="7"/>
        <v>0.540104154822277</v>
      </c>
      <c r="AF5" s="24">
        <v>90</v>
      </c>
    </row>
    <row r="6" s="1" customFormat="1" spans="2:32">
      <c r="B6" s="66" t="s">
        <v>39</v>
      </c>
      <c r="C6" s="68">
        <f>18%+18%+M4</f>
        <v>0.532</v>
      </c>
      <c r="D6" s="66" t="s">
        <v>40</v>
      </c>
      <c r="E6" s="68"/>
      <c r="F6" s="66" t="s">
        <v>41</v>
      </c>
      <c r="G6" s="69"/>
      <c r="H6" s="66" t="s">
        <v>41</v>
      </c>
      <c r="I6" s="69"/>
      <c r="J6" s="71" t="s">
        <v>42</v>
      </c>
      <c r="K6" s="69"/>
      <c r="L6" s="66" t="s">
        <v>19</v>
      </c>
      <c r="M6" s="69">
        <f>8.1%*5</f>
        <v>0.405</v>
      </c>
      <c r="N6" s="5"/>
      <c r="P6" s="82" t="s">
        <v>37</v>
      </c>
      <c r="Q6" s="83">
        <f>15.11%*4+90.66%</f>
        <v>1.511</v>
      </c>
      <c r="R6" s="84" t="s">
        <v>38</v>
      </c>
      <c r="S6" s="84">
        <f t="shared" si="0"/>
        <v>937</v>
      </c>
      <c r="T6" s="83">
        <f t="shared" si="1"/>
        <v>1.7355325506937</v>
      </c>
      <c r="U6" s="83">
        <f t="shared" si="2"/>
        <v>1.51</v>
      </c>
      <c r="V6" s="85">
        <f t="shared" si="3"/>
        <v>3.0304</v>
      </c>
      <c r="W6" s="86">
        <f t="shared" si="4"/>
        <v>0.15</v>
      </c>
      <c r="X6" s="85">
        <f t="shared" si="5"/>
        <v>0.589512876202296</v>
      </c>
      <c r="Y6" s="84">
        <v>0.8</v>
      </c>
      <c r="Z6" s="87">
        <v>0</v>
      </c>
      <c r="AA6" s="87">
        <v>0</v>
      </c>
      <c r="AB6" s="87">
        <v>0</v>
      </c>
      <c r="AC6" s="88">
        <f t="shared" si="6"/>
        <v>15977.2026513758</v>
      </c>
      <c r="AD6" s="13">
        <v>21.6</v>
      </c>
      <c r="AE6" s="14">
        <f t="shared" si="7"/>
        <v>0.561837623012869</v>
      </c>
      <c r="AF6" s="24">
        <v>90</v>
      </c>
    </row>
    <row r="7" s="1" customFormat="1" spans="2:32">
      <c r="B7" s="66" t="s">
        <v>45</v>
      </c>
      <c r="C7" s="72">
        <f>20%</f>
        <v>0.2</v>
      </c>
      <c r="D7" s="66" t="s">
        <v>45</v>
      </c>
      <c r="E7" s="68">
        <f>24%+20%</f>
        <v>0.44</v>
      </c>
      <c r="F7" s="66" t="s">
        <v>34</v>
      </c>
      <c r="G7" s="69">
        <f>M6</f>
        <v>0.405</v>
      </c>
      <c r="H7" s="66"/>
      <c r="I7" s="69"/>
      <c r="J7" s="71"/>
      <c r="K7" s="69"/>
      <c r="L7" s="66" t="s">
        <v>46</v>
      </c>
      <c r="M7" s="68">
        <f>16.2%*5</f>
        <v>0.81</v>
      </c>
      <c r="N7" s="5"/>
      <c r="P7" s="82" t="s">
        <v>43</v>
      </c>
      <c r="Q7" s="83">
        <f>39.75%+19.88%+139.12%+63.7%</f>
        <v>2.6245</v>
      </c>
      <c r="R7" s="84" t="s">
        <v>44</v>
      </c>
      <c r="S7" s="84">
        <f t="shared" si="0"/>
        <v>937</v>
      </c>
      <c r="T7" s="83">
        <f t="shared" si="1"/>
        <v>1.7355325506937</v>
      </c>
      <c r="U7" s="83">
        <f t="shared" ref="U7:U12" si="8">SUM($E$4:$E$8)</f>
        <v>2.042</v>
      </c>
      <c r="V7" s="85">
        <f t="shared" si="3"/>
        <v>3.0304</v>
      </c>
      <c r="W7" s="86">
        <f t="shared" si="4"/>
        <v>0.15</v>
      </c>
      <c r="X7" s="85">
        <f t="shared" si="5"/>
        <v>0.589512876202296</v>
      </c>
      <c r="Y7" s="84">
        <v>0.8</v>
      </c>
      <c r="Z7" s="87">
        <v>0</v>
      </c>
      <c r="AA7" s="87">
        <v>0</v>
      </c>
      <c r="AB7" s="87">
        <v>0</v>
      </c>
      <c r="AC7" s="88">
        <f t="shared" si="6"/>
        <v>33633.2119956089</v>
      </c>
      <c r="AD7" s="13">
        <v>30</v>
      </c>
      <c r="AE7" s="14">
        <f t="shared" si="7"/>
        <v>0.589512876202296</v>
      </c>
      <c r="AF7" s="24">
        <v>90</v>
      </c>
    </row>
    <row r="8" s="1" customFormat="1" spans="2:32">
      <c r="B8" s="66" t="s">
        <v>72</v>
      </c>
      <c r="C8" s="34">
        <f>25%+14%</f>
        <v>0.39</v>
      </c>
      <c r="D8" s="66" t="s">
        <v>49</v>
      </c>
      <c r="E8" s="68">
        <f>24%+M5+12%</f>
        <v>0.532</v>
      </c>
      <c r="F8" s="66" t="s">
        <v>50</v>
      </c>
      <c r="G8" s="69">
        <v>0.125</v>
      </c>
      <c r="H8" s="66" t="s">
        <v>50</v>
      </c>
      <c r="I8" s="69">
        <v>0.25</v>
      </c>
      <c r="J8" s="71"/>
      <c r="K8" s="69"/>
      <c r="L8" s="66"/>
      <c r="M8" s="67"/>
      <c r="N8" s="5"/>
      <c r="P8" s="82" t="s">
        <v>47</v>
      </c>
      <c r="Q8" s="83">
        <f>20.3%+47.35%</f>
        <v>0.6765</v>
      </c>
      <c r="R8" s="84" t="s">
        <v>38</v>
      </c>
      <c r="S8" s="84">
        <f t="shared" si="0"/>
        <v>937</v>
      </c>
      <c r="T8" s="83">
        <f t="shared" si="1"/>
        <v>1.7355325506937</v>
      </c>
      <c r="U8" s="83">
        <f t="shared" ref="U8:U13" si="9">SUM($E$4:$E$7)</f>
        <v>1.51</v>
      </c>
      <c r="V8" s="85">
        <f t="shared" si="3"/>
        <v>3.0304</v>
      </c>
      <c r="W8" s="86">
        <f t="shared" si="4"/>
        <v>0.15</v>
      </c>
      <c r="X8" s="85">
        <f t="shared" si="5"/>
        <v>0.589512876202296</v>
      </c>
      <c r="Y8" s="84">
        <v>0.8</v>
      </c>
      <c r="Z8" s="87">
        <v>0</v>
      </c>
      <c r="AA8" s="87">
        <v>0</v>
      </c>
      <c r="AB8" s="87">
        <v>0</v>
      </c>
      <c r="AC8" s="88">
        <f t="shared" si="6"/>
        <v>7153.26114735655</v>
      </c>
      <c r="AD8" s="13">
        <v>30</v>
      </c>
      <c r="AE8" s="14">
        <f t="shared" si="7"/>
        <v>0.589512876202296</v>
      </c>
      <c r="AF8" s="24">
        <v>90</v>
      </c>
    </row>
    <row r="9" s="1" customFormat="1" spans="2:32">
      <c r="B9" s="66" t="s">
        <v>52</v>
      </c>
      <c r="C9" s="67">
        <v>350</v>
      </c>
      <c r="D9" s="66"/>
      <c r="E9" s="68"/>
      <c r="F9" s="74" t="s">
        <v>53</v>
      </c>
      <c r="G9" s="75">
        <f>MIN(100%,SUM(G4:G8))</f>
        <v>0.94</v>
      </c>
      <c r="H9" s="74" t="s">
        <v>54</v>
      </c>
      <c r="I9" s="76">
        <f>SUM(I4:I8)</f>
        <v>3.16</v>
      </c>
      <c r="J9" s="71"/>
      <c r="K9" s="69"/>
      <c r="L9" s="66"/>
      <c r="M9" s="67"/>
      <c r="N9" s="5"/>
      <c r="P9" s="82" t="s">
        <v>51</v>
      </c>
      <c r="Q9" s="83">
        <f>21.48%*2+25.06%*4</f>
        <v>1.432</v>
      </c>
      <c r="R9" s="84" t="s">
        <v>30</v>
      </c>
      <c r="S9" s="84">
        <f t="shared" si="0"/>
        <v>937</v>
      </c>
      <c r="T9" s="83">
        <f t="shared" si="1"/>
        <v>1.7355325506937</v>
      </c>
      <c r="U9" s="83">
        <f t="shared" si="9"/>
        <v>1.51</v>
      </c>
      <c r="V9" s="85">
        <f t="shared" si="3"/>
        <v>3.0304</v>
      </c>
      <c r="W9" s="86">
        <f t="shared" si="4"/>
        <v>0.15</v>
      </c>
      <c r="X9" s="85">
        <f t="shared" si="5"/>
        <v>0.589512876202296</v>
      </c>
      <c r="Y9" s="84">
        <v>0.8</v>
      </c>
      <c r="Z9" s="87">
        <v>0</v>
      </c>
      <c r="AA9" s="87">
        <v>0</v>
      </c>
      <c r="AB9" s="87">
        <v>0</v>
      </c>
      <c r="AC9" s="88">
        <f t="shared" si="6"/>
        <v>15141.8624730445</v>
      </c>
    </row>
    <row r="10" s="1" customFormat="1" spans="2:32">
      <c r="B10" s="77" t="s">
        <v>56</v>
      </c>
      <c r="C10" s="78"/>
      <c r="D10" s="77"/>
      <c r="E10" s="79"/>
      <c r="F10" s="77"/>
      <c r="G10" s="80"/>
      <c r="H10" s="77"/>
      <c r="I10" s="78"/>
      <c r="J10" s="81"/>
      <c r="K10" s="80"/>
      <c r="L10" s="77"/>
      <c r="M10" s="78"/>
      <c r="N10" s="5"/>
      <c r="P10" s="82" t="s">
        <v>55</v>
      </c>
      <c r="Q10" s="83">
        <f>954.29%</f>
        <v>9.5429</v>
      </c>
      <c r="R10" s="84" t="s">
        <v>44</v>
      </c>
      <c r="S10" s="84">
        <f t="shared" si="0"/>
        <v>937</v>
      </c>
      <c r="T10" s="83">
        <f t="shared" si="1"/>
        <v>1.7355325506937</v>
      </c>
      <c r="U10" s="83">
        <f t="shared" si="8"/>
        <v>2.042</v>
      </c>
      <c r="V10" s="85">
        <f t="shared" si="3"/>
        <v>3.0304</v>
      </c>
      <c r="W10" s="86">
        <f t="shared" si="4"/>
        <v>0.15</v>
      </c>
      <c r="X10" s="85">
        <f t="shared" si="5"/>
        <v>0.589512876202296</v>
      </c>
      <c r="Y10" s="84">
        <v>0.8</v>
      </c>
      <c r="Z10" s="87">
        <v>0</v>
      </c>
      <c r="AA10" s="87">
        <v>0</v>
      </c>
      <c r="AB10" s="87">
        <v>0</v>
      </c>
      <c r="AC10" s="88">
        <f t="shared" si="6"/>
        <v>122293.152506342</v>
      </c>
    </row>
    <row r="11" s="1" customFormat="1" spans="2:32">
      <c r="B11" s="5"/>
      <c r="C11" s="5"/>
      <c r="D11" s="5"/>
      <c r="E11" s="5"/>
      <c r="F11" s="5" t="s">
        <v>58</v>
      </c>
      <c r="G11" s="6"/>
      <c r="H11" s="5"/>
      <c r="I11" s="5"/>
      <c r="J11" s="5"/>
      <c r="K11" s="5"/>
      <c r="L11" s="5"/>
      <c r="M11" s="5"/>
      <c r="N11" s="5"/>
      <c r="P11" s="82" t="s">
        <v>57</v>
      </c>
      <c r="Q11" s="83">
        <f>15.31%*6+19.46%*6+15.7%*13</f>
        <v>4.1272</v>
      </c>
      <c r="R11" s="84" t="s">
        <v>44</v>
      </c>
      <c r="S11" s="84">
        <f t="shared" si="0"/>
        <v>937</v>
      </c>
      <c r="T11" s="83">
        <f t="shared" si="1"/>
        <v>1.7355325506937</v>
      </c>
      <c r="U11" s="83">
        <f t="shared" si="8"/>
        <v>2.042</v>
      </c>
      <c r="V11" s="85">
        <f t="shared" si="3"/>
        <v>3.0304</v>
      </c>
      <c r="W11" s="86">
        <f t="shared" si="4"/>
        <v>0.15</v>
      </c>
      <c r="X11" s="85">
        <f t="shared" si="5"/>
        <v>0.589512876202296</v>
      </c>
      <c r="Y11" s="84">
        <v>0.8</v>
      </c>
      <c r="Z11" s="87">
        <v>1.2</v>
      </c>
      <c r="AA11" s="87">
        <v>0</v>
      </c>
      <c r="AB11" s="87"/>
      <c r="AC11" s="88">
        <f t="shared" si="6"/>
        <v>116358.995468169</v>
      </c>
    </row>
    <row r="12" s="1" customFormat="1" spans="2:32"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P12" s="82" t="s">
        <v>59</v>
      </c>
      <c r="Q12" s="83">
        <f>240.96%+100*2.41%</f>
        <v>4.8196</v>
      </c>
      <c r="R12" s="84" t="s">
        <v>44</v>
      </c>
      <c r="S12" s="84">
        <f t="shared" si="0"/>
        <v>937</v>
      </c>
      <c r="T12" s="83">
        <f t="shared" si="1"/>
        <v>1.7355325506937</v>
      </c>
      <c r="U12" s="83">
        <f t="shared" si="8"/>
        <v>2.042</v>
      </c>
      <c r="V12" s="85">
        <f t="shared" si="3"/>
        <v>3.0304</v>
      </c>
      <c r="W12" s="86">
        <f t="shared" si="4"/>
        <v>0.15</v>
      </c>
      <c r="X12" s="85">
        <f t="shared" si="5"/>
        <v>0.589512876202296</v>
      </c>
      <c r="Y12" s="84">
        <v>0.8</v>
      </c>
      <c r="Z12" s="87">
        <v>1.2</v>
      </c>
      <c r="AA12" s="87">
        <v>0</v>
      </c>
      <c r="AB12" s="87"/>
      <c r="AC12" s="88">
        <f t="shared" si="6"/>
        <v>135879.970575302</v>
      </c>
    </row>
    <row r="13" s="1" customFormat="1" spans="2:32"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P13" s="82" t="s">
        <v>61</v>
      </c>
      <c r="Q13" s="83">
        <f>131.04%*2</f>
        <v>2.6208</v>
      </c>
      <c r="R13" s="84" t="s">
        <v>61</v>
      </c>
      <c r="S13" s="84">
        <f t="shared" si="0"/>
        <v>937</v>
      </c>
      <c r="T13" s="83">
        <f t="shared" si="1"/>
        <v>1.7355325506937</v>
      </c>
      <c r="U13" s="83">
        <f t="shared" si="9"/>
        <v>1.51</v>
      </c>
      <c r="V13" s="85">
        <f t="shared" si="3"/>
        <v>3.0304</v>
      </c>
      <c r="W13" s="86">
        <f t="shared" si="4"/>
        <v>0.15</v>
      </c>
      <c r="X13" s="85">
        <f t="shared" si="5"/>
        <v>0.589512876202296</v>
      </c>
      <c r="Y13" s="84">
        <v>0.8</v>
      </c>
      <c r="Z13" s="87">
        <v>0</v>
      </c>
      <c r="AA13" s="87">
        <v>0</v>
      </c>
      <c r="AB13" s="87">
        <v>0</v>
      </c>
      <c r="AC13" s="88">
        <f t="shared" si="6"/>
        <v>27712.1460679853</v>
      </c>
    </row>
    <row r="14" s="1" customFormat="1" ht="15" spans="2:32">
      <c r="B14" s="25" t="s">
        <v>63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5"/>
      <c r="P14" s="82" t="s">
        <v>61</v>
      </c>
      <c r="Q14" s="83">
        <f>24.57%*8</f>
        <v>1.9656</v>
      </c>
      <c r="R14" s="84" t="s">
        <v>61</v>
      </c>
      <c r="S14" s="84">
        <f t="shared" si="0"/>
        <v>937</v>
      </c>
      <c r="T14" s="83">
        <f t="shared" si="1"/>
        <v>1.7355325506937</v>
      </c>
      <c r="U14" s="83">
        <f>SUM($E$4:$E$7)+1</f>
        <v>2.51</v>
      </c>
      <c r="V14" s="85">
        <f t="shared" si="3"/>
        <v>3.0304</v>
      </c>
      <c r="W14" s="86">
        <f t="shared" si="4"/>
        <v>0.15</v>
      </c>
      <c r="X14" s="85">
        <f t="shared" si="5"/>
        <v>0.589512876202296</v>
      </c>
      <c r="Y14" s="84">
        <v>0.8</v>
      </c>
      <c r="Z14" s="87">
        <v>0</v>
      </c>
      <c r="AA14" s="87">
        <v>0</v>
      </c>
      <c r="AB14" s="87">
        <v>0</v>
      </c>
      <c r="AC14" s="88">
        <f t="shared" si="6"/>
        <v>29064.6312844507</v>
      </c>
    </row>
    <row r="15" s="1" customFormat="1" spans="2:32">
      <c r="B15" s="26" t="s">
        <v>18</v>
      </c>
      <c r="C15" s="27"/>
      <c r="D15" s="26" t="s">
        <v>6</v>
      </c>
      <c r="E15" s="27"/>
      <c r="F15" s="26" t="s">
        <v>19</v>
      </c>
      <c r="G15" s="27"/>
      <c r="H15" s="26" t="s">
        <v>20</v>
      </c>
      <c r="I15" s="27"/>
      <c r="J15" s="26" t="s">
        <v>8</v>
      </c>
      <c r="K15" s="27"/>
      <c r="L15" s="26" t="s">
        <v>21</v>
      </c>
      <c r="M15" s="27"/>
      <c r="N15" s="5"/>
      <c r="P15" s="82"/>
      <c r="Q15" s="83"/>
      <c r="R15" s="84"/>
      <c r="S15" s="84"/>
      <c r="T15" s="83"/>
      <c r="U15" s="83"/>
      <c r="V15" s="85"/>
      <c r="W15" s="86"/>
      <c r="X15" s="85"/>
      <c r="Y15" s="84"/>
      <c r="Z15" s="87"/>
      <c r="AA15" s="87"/>
      <c r="AB15" s="87"/>
      <c r="AC15" s="88"/>
    </row>
    <row r="16" s="1" customFormat="1" spans="2:32">
      <c r="B16" s="28" t="s">
        <v>24</v>
      </c>
      <c r="C16" s="29">
        <f>412+500</f>
        <v>912</v>
      </c>
      <c r="D16" s="28" t="s">
        <v>25</v>
      </c>
      <c r="E16" s="30">
        <v>0.6</v>
      </c>
      <c r="F16" s="28" t="s">
        <v>26</v>
      </c>
      <c r="G16" s="31">
        <v>0.05</v>
      </c>
      <c r="H16" s="28" t="s">
        <v>26</v>
      </c>
      <c r="I16" s="30">
        <f>150%+16%</f>
        <v>1.66</v>
      </c>
      <c r="J16" s="32" t="s">
        <v>27</v>
      </c>
      <c r="K16" s="30">
        <v>0.15</v>
      </c>
      <c r="L16" s="28" t="s">
        <v>28</v>
      </c>
      <c r="M16" s="31">
        <f>8.6%*2</f>
        <v>0.172</v>
      </c>
      <c r="N16" s="5"/>
      <c r="P16" s="82"/>
      <c r="Q16" s="83"/>
      <c r="R16" s="84"/>
      <c r="S16" s="84"/>
      <c r="T16" s="83"/>
      <c r="U16" s="83"/>
      <c r="V16" s="85"/>
      <c r="W16" s="86"/>
      <c r="X16" s="85"/>
      <c r="Y16" s="84"/>
      <c r="Z16" s="87"/>
      <c r="AA16" s="87"/>
      <c r="AB16" s="87"/>
      <c r="AC16" s="88"/>
    </row>
    <row r="17" s="1" customFormat="1" spans="2:31">
      <c r="B17" s="28" t="s">
        <v>31</v>
      </c>
      <c r="C17" s="30">
        <f>12%+12%</f>
        <v>0.24</v>
      </c>
      <c r="D17" s="28" t="s">
        <v>66</v>
      </c>
      <c r="E17" s="30">
        <f>12%+10%+15%+12%</f>
        <v>0.49</v>
      </c>
      <c r="F17" s="28" t="s">
        <v>33</v>
      </c>
      <c r="G17" s="31">
        <v>0.36</v>
      </c>
      <c r="H17" s="28" t="s">
        <v>34</v>
      </c>
      <c r="I17" s="31">
        <f>44%+M19</f>
        <v>1.25</v>
      </c>
      <c r="J17" s="33"/>
      <c r="K17" s="31"/>
      <c r="L17" s="28" t="s">
        <v>67</v>
      </c>
      <c r="M17" s="31">
        <f>8.6%*2</f>
        <v>0.172</v>
      </c>
      <c r="N17" s="5"/>
      <c r="P17" s="15" t="s">
        <v>65</v>
      </c>
      <c r="Q17" s="16">
        <v>1.9881</v>
      </c>
      <c r="R17" s="17" t="s">
        <v>23</v>
      </c>
      <c r="S17" s="18">
        <f t="shared" ref="S17:S30" si="10">$C$16</f>
        <v>912</v>
      </c>
      <c r="T17" s="19">
        <f t="shared" ref="T17:T30" si="11">($C$17+$C$18+$C$19+$C$20)+($C$21+$C$22)/S17</f>
        <v>1.54577192982456</v>
      </c>
      <c r="U17" s="19">
        <f>SUM($E$16:$E$20)</f>
        <v>1.33</v>
      </c>
      <c r="V17" s="20">
        <f t="shared" ref="V17:V30" si="12">1+$G$21*($I$21-1)</f>
        <v>2.91</v>
      </c>
      <c r="W17" s="21">
        <f t="shared" ref="W17:W26" si="13">$K$16</f>
        <v>0.15</v>
      </c>
      <c r="X17" s="20">
        <f t="shared" ref="X17:X30" si="14">$AE$8</f>
        <v>0.589512876202296</v>
      </c>
      <c r="Y17" s="18">
        <f t="shared" ref="Y17:Y30" si="15">$AE$17</f>
        <v>0.8</v>
      </c>
      <c r="Z17" s="22"/>
      <c r="AA17" s="22"/>
      <c r="AB17" s="22"/>
      <c r="AC17" s="23">
        <f t="shared" ref="AC17:AC25" si="16">Q17*S17*(1+T17)*(1+U17)*V17*(1+W17)*X17*Y17*(1+Z17)*(1+AA17)*(1+AB17)</f>
        <v>16973.9371590889</v>
      </c>
      <c r="AD17" s="48" t="s">
        <v>70</v>
      </c>
      <c r="AE17" s="48">
        <v>0.8</v>
      </c>
    </row>
    <row r="18" s="1" customFormat="1" spans="2:31">
      <c r="B18" s="28" t="s">
        <v>39</v>
      </c>
      <c r="C18" s="30">
        <f>18%+18%+M16</f>
        <v>0.532</v>
      </c>
      <c r="D18" s="28" t="s">
        <v>0</v>
      </c>
      <c r="E18" s="30">
        <v>0.24</v>
      </c>
      <c r="F18" s="28" t="s">
        <v>41</v>
      </c>
      <c r="G18" s="31">
        <v>0.2</v>
      </c>
      <c r="H18" s="28"/>
      <c r="I18" s="31"/>
      <c r="J18" s="33"/>
      <c r="K18" s="31"/>
      <c r="L18" s="28" t="s">
        <v>19</v>
      </c>
      <c r="M18" s="31">
        <f>8.1*5%</f>
        <v>0.405</v>
      </c>
      <c r="N18" s="5"/>
      <c r="P18" s="15" t="s">
        <v>120</v>
      </c>
      <c r="Q18" s="16">
        <v>1.8788</v>
      </c>
      <c r="R18" s="17" t="s">
        <v>69</v>
      </c>
      <c r="S18" s="18">
        <f t="shared" si="10"/>
        <v>912</v>
      </c>
      <c r="T18" s="19">
        <f t="shared" si="11"/>
        <v>1.54577192982456</v>
      </c>
      <c r="U18" s="19">
        <f t="shared" ref="U18:U22" si="17">SUM($E$16:$E$20)+$E$21</f>
        <v>2.042</v>
      </c>
      <c r="V18" s="20">
        <f t="shared" si="12"/>
        <v>2.91</v>
      </c>
      <c r="W18" s="21">
        <f t="shared" si="13"/>
        <v>0.15</v>
      </c>
      <c r="X18" s="20">
        <f t="shared" si="14"/>
        <v>0.589512876202296</v>
      </c>
      <c r="Y18" s="18">
        <f t="shared" si="15"/>
        <v>0.8</v>
      </c>
      <c r="Z18" s="22"/>
      <c r="AA18" s="22"/>
      <c r="AB18" s="22"/>
      <c r="AC18" s="23">
        <f t="shared" si="16"/>
        <v>20942.484606399</v>
      </c>
    </row>
    <row r="19" s="1" customFormat="1" spans="2:31">
      <c r="B19" s="28" t="s">
        <v>72</v>
      </c>
      <c r="C19" s="34">
        <f>25%+14%</f>
        <v>0.39</v>
      </c>
      <c r="D19" s="28" t="s">
        <v>73</v>
      </c>
      <c r="E19" s="30"/>
      <c r="F19" s="28" t="s">
        <v>34</v>
      </c>
      <c r="G19" s="31">
        <f>M18</f>
        <v>0.405</v>
      </c>
      <c r="H19" s="28"/>
      <c r="I19" s="31"/>
      <c r="J19" s="33"/>
      <c r="K19" s="31"/>
      <c r="L19" s="28" t="s">
        <v>46</v>
      </c>
      <c r="M19" s="30">
        <f>16.2%*5</f>
        <v>0.81</v>
      </c>
      <c r="N19" s="5"/>
      <c r="P19" s="15" t="s">
        <v>94</v>
      </c>
      <c r="Q19" s="16">
        <f>62.63%*2</f>
        <v>1.2526</v>
      </c>
      <c r="R19" s="17" t="s">
        <v>30</v>
      </c>
      <c r="S19" s="18">
        <f t="shared" si="10"/>
        <v>912</v>
      </c>
      <c r="T19" s="19">
        <f t="shared" si="11"/>
        <v>1.54577192982456</v>
      </c>
      <c r="U19" s="19">
        <f>SUM($E$16:$E$20)</f>
        <v>1.33</v>
      </c>
      <c r="V19" s="20">
        <f t="shared" si="12"/>
        <v>2.91</v>
      </c>
      <c r="W19" s="21">
        <f t="shared" si="13"/>
        <v>0.15</v>
      </c>
      <c r="X19" s="20">
        <f t="shared" si="14"/>
        <v>0.589512876202296</v>
      </c>
      <c r="Y19" s="18">
        <f t="shared" si="15"/>
        <v>0.8</v>
      </c>
      <c r="Z19" s="22"/>
      <c r="AA19" s="22"/>
      <c r="AB19" s="22"/>
      <c r="AC19" s="23">
        <f t="shared" si="16"/>
        <v>10694.4085737512</v>
      </c>
    </row>
    <row r="20" s="1" customFormat="1" spans="2:31">
      <c r="B20" s="28" t="s">
        <v>48</v>
      </c>
      <c r="C20" s="34"/>
      <c r="D20" s="28"/>
      <c r="E20" s="35"/>
      <c r="F20" s="28" t="s">
        <v>50</v>
      </c>
      <c r="G20" s="31">
        <v>0.125</v>
      </c>
      <c r="H20" s="28" t="s">
        <v>50</v>
      </c>
      <c r="I20" s="31"/>
      <c r="J20" s="33"/>
      <c r="K20" s="31"/>
      <c r="L20" s="28"/>
      <c r="M20" s="29"/>
      <c r="N20" s="5"/>
      <c r="P20" s="15" t="s">
        <v>74</v>
      </c>
      <c r="Q20" s="16">
        <f>59.35%+39.77%*2</f>
        <v>1.3889</v>
      </c>
      <c r="R20" s="17" t="s">
        <v>38</v>
      </c>
      <c r="S20" s="18">
        <f t="shared" si="10"/>
        <v>912</v>
      </c>
      <c r="T20" s="19">
        <f t="shared" si="11"/>
        <v>1.54577192982456</v>
      </c>
      <c r="U20" s="19">
        <f>SUM($E$16:$E$20)+$E$22</f>
        <v>1.75</v>
      </c>
      <c r="V20" s="20">
        <f t="shared" si="12"/>
        <v>2.91</v>
      </c>
      <c r="W20" s="21">
        <f t="shared" si="13"/>
        <v>0.15</v>
      </c>
      <c r="X20" s="20">
        <f t="shared" si="14"/>
        <v>0.589512876202296</v>
      </c>
      <c r="Y20" s="18">
        <f t="shared" si="15"/>
        <v>0.8</v>
      </c>
      <c r="Z20" s="22"/>
      <c r="AA20" s="22"/>
      <c r="AB20" s="22"/>
      <c r="AC20" s="23">
        <f t="shared" si="16"/>
        <v>13995.6191335682</v>
      </c>
    </row>
    <row r="21" s="1" customFormat="1" spans="2:31">
      <c r="B21" s="28" t="s">
        <v>52</v>
      </c>
      <c r="C21" s="29">
        <v>350</v>
      </c>
      <c r="D21" s="28" t="s">
        <v>76</v>
      </c>
      <c r="E21" s="30">
        <f>12%+M17+42%</f>
        <v>0.712</v>
      </c>
      <c r="F21" s="36" t="s">
        <v>53</v>
      </c>
      <c r="G21" s="37">
        <f>MIN(100%,SUM(G16:G20))</f>
        <v>1</v>
      </c>
      <c r="H21" s="36" t="s">
        <v>54</v>
      </c>
      <c r="I21" s="38">
        <f>SUM(I16:I20)</f>
        <v>2.91</v>
      </c>
      <c r="J21" s="33"/>
      <c r="K21" s="31"/>
      <c r="L21" s="28"/>
      <c r="M21" s="29"/>
      <c r="N21" s="5"/>
      <c r="P21" s="15" t="s">
        <v>75</v>
      </c>
      <c r="Q21" s="16">
        <f>82.69%*3</f>
        <v>2.4807</v>
      </c>
      <c r="R21" s="17" t="s">
        <v>69</v>
      </c>
      <c r="S21" s="18">
        <f t="shared" si="10"/>
        <v>912</v>
      </c>
      <c r="T21" s="19">
        <f t="shared" si="11"/>
        <v>1.54577192982456</v>
      </c>
      <c r="U21" s="19">
        <f t="shared" si="17"/>
        <v>2.042</v>
      </c>
      <c r="V21" s="20">
        <f t="shared" si="12"/>
        <v>2.91</v>
      </c>
      <c r="W21" s="21">
        <f t="shared" si="13"/>
        <v>0.15</v>
      </c>
      <c r="X21" s="20">
        <f t="shared" si="14"/>
        <v>0.589512876202296</v>
      </c>
      <c r="Y21" s="18">
        <f t="shared" si="15"/>
        <v>0.8</v>
      </c>
      <c r="Z21" s="22"/>
      <c r="AA21" s="22"/>
      <c r="AB21" s="22"/>
      <c r="AC21" s="23">
        <f t="shared" si="16"/>
        <v>27651.704046782</v>
      </c>
    </row>
    <row r="22" s="1" customFormat="1" spans="2:31">
      <c r="B22" s="39" t="s">
        <v>56</v>
      </c>
      <c r="C22" s="40"/>
      <c r="D22" s="39" t="s">
        <v>77</v>
      </c>
      <c r="E22" s="41">
        <v>0.42</v>
      </c>
      <c r="F22" s="39"/>
      <c r="G22" s="42"/>
      <c r="H22" s="39"/>
      <c r="I22" s="40"/>
      <c r="J22" s="43"/>
      <c r="K22" s="42"/>
      <c r="L22" s="39"/>
      <c r="M22" s="40"/>
      <c r="N22" s="5"/>
      <c r="P22" s="15" t="s">
        <v>61</v>
      </c>
      <c r="Q22" s="16">
        <f>118.8%+59.4%*4</f>
        <v>3.564</v>
      </c>
      <c r="R22" s="17" t="s">
        <v>61</v>
      </c>
      <c r="S22" s="18">
        <f t="shared" si="10"/>
        <v>912</v>
      </c>
      <c r="T22" s="19">
        <f t="shared" si="11"/>
        <v>1.54577192982456</v>
      </c>
      <c r="U22" s="19">
        <f t="shared" si="17"/>
        <v>2.042</v>
      </c>
      <c r="V22" s="20">
        <f t="shared" si="12"/>
        <v>2.91</v>
      </c>
      <c r="W22" s="21">
        <f t="shared" si="13"/>
        <v>0.15</v>
      </c>
      <c r="X22" s="20">
        <f t="shared" si="14"/>
        <v>0.589512876202296</v>
      </c>
      <c r="Y22" s="18">
        <f t="shared" si="15"/>
        <v>0.8</v>
      </c>
      <c r="Z22" s="22"/>
      <c r="AA22" s="22"/>
      <c r="AB22" s="22"/>
      <c r="AC22" s="23">
        <f t="shared" si="16"/>
        <v>39726.9614313424</v>
      </c>
    </row>
    <row r="23" s="1" customFormat="1" spans="2:31">
      <c r="B23" s="44"/>
      <c r="C23" s="44"/>
      <c r="D23" s="44"/>
      <c r="E23" s="45"/>
      <c r="F23" s="44"/>
      <c r="G23" s="46"/>
      <c r="H23" s="44"/>
      <c r="I23" s="44"/>
      <c r="J23" s="46"/>
      <c r="K23" s="46"/>
      <c r="L23" s="44"/>
      <c r="M23" s="44"/>
      <c r="N23" s="5"/>
      <c r="P23" s="15" t="s">
        <v>74</v>
      </c>
      <c r="Q23" s="16">
        <f>59.35%+39.77%*2</f>
        <v>1.3889</v>
      </c>
      <c r="R23" s="17" t="s">
        <v>38</v>
      </c>
      <c r="S23" s="18">
        <f t="shared" si="10"/>
        <v>912</v>
      </c>
      <c r="T23" s="19">
        <f t="shared" si="11"/>
        <v>1.54577192982456</v>
      </c>
      <c r="U23" s="19">
        <f>SUM($E$16:$E$20)+$E$22</f>
        <v>1.75</v>
      </c>
      <c r="V23" s="20">
        <f t="shared" si="12"/>
        <v>2.91</v>
      </c>
      <c r="W23" s="21">
        <f t="shared" si="13"/>
        <v>0.15</v>
      </c>
      <c r="X23" s="20">
        <f t="shared" si="14"/>
        <v>0.589512876202296</v>
      </c>
      <c r="Y23" s="18">
        <f t="shared" si="15"/>
        <v>0.8</v>
      </c>
      <c r="Z23" s="22"/>
      <c r="AA23" s="22"/>
      <c r="AB23" s="22"/>
      <c r="AC23" s="23">
        <f t="shared" si="16"/>
        <v>13995.6191335682</v>
      </c>
    </row>
    <row r="24" s="1" customFormat="1" spans="2:31">
      <c r="B24" s="44"/>
      <c r="C24" s="44"/>
      <c r="D24" s="44"/>
      <c r="E24" s="45"/>
      <c r="F24" s="44"/>
      <c r="G24" s="46"/>
      <c r="H24" s="44"/>
      <c r="I24" s="44"/>
      <c r="J24" s="46"/>
      <c r="K24" s="46"/>
      <c r="L24" s="44"/>
      <c r="M24" s="44"/>
      <c r="N24" s="5"/>
      <c r="P24" s="15" t="s">
        <v>75</v>
      </c>
      <c r="Q24" s="16">
        <f>82.69%*3</f>
        <v>2.4807</v>
      </c>
      <c r="R24" s="17" t="s">
        <v>69</v>
      </c>
      <c r="S24" s="18">
        <f t="shared" si="10"/>
        <v>912</v>
      </c>
      <c r="T24" s="19">
        <f t="shared" si="11"/>
        <v>1.54577192982456</v>
      </c>
      <c r="U24" s="19">
        <f>SUM($E$16:$E$20)+$E$21</f>
        <v>2.042</v>
      </c>
      <c r="V24" s="20">
        <f t="shared" si="12"/>
        <v>2.91</v>
      </c>
      <c r="W24" s="21">
        <f t="shared" si="13"/>
        <v>0.15</v>
      </c>
      <c r="X24" s="20">
        <f t="shared" si="14"/>
        <v>0.589512876202296</v>
      </c>
      <c r="Y24" s="18">
        <f t="shared" si="15"/>
        <v>0.8</v>
      </c>
      <c r="Z24" s="22"/>
      <c r="AA24" s="22"/>
      <c r="AB24" s="22"/>
      <c r="AC24" s="23">
        <f t="shared" si="16"/>
        <v>27651.704046782</v>
      </c>
    </row>
    <row r="25" s="1" customFormat="1" ht="15" spans="2:31">
      <c r="B25" s="25" t="s">
        <v>79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5"/>
      <c r="P25" s="15" t="s">
        <v>78</v>
      </c>
      <c r="Q25" s="16">
        <v>4.016</v>
      </c>
      <c r="R25" s="17" t="s">
        <v>44</v>
      </c>
      <c r="S25" s="18">
        <f t="shared" si="10"/>
        <v>912</v>
      </c>
      <c r="T25" s="19">
        <f t="shared" si="11"/>
        <v>1.54577192982456</v>
      </c>
      <c r="U25" s="19">
        <f>SUM($E$16:$E$20)</f>
        <v>1.33</v>
      </c>
      <c r="V25" s="20">
        <f t="shared" si="12"/>
        <v>2.91</v>
      </c>
      <c r="W25" s="21">
        <f t="shared" si="13"/>
        <v>0.15</v>
      </c>
      <c r="X25" s="20">
        <f t="shared" si="14"/>
        <v>0.589512876202296</v>
      </c>
      <c r="Y25" s="18">
        <f t="shared" si="15"/>
        <v>0.8</v>
      </c>
      <c r="Z25" s="22"/>
      <c r="AA25" s="22"/>
      <c r="AB25" s="22"/>
      <c r="AC25" s="23">
        <f t="shared" si="16"/>
        <v>34287.6774965551</v>
      </c>
    </row>
    <row r="26" s="1" customFormat="1" spans="2:31">
      <c r="B26" s="26" t="s">
        <v>18</v>
      </c>
      <c r="C26" s="27"/>
      <c r="D26" s="26" t="s">
        <v>6</v>
      </c>
      <c r="E26" s="27"/>
      <c r="F26" s="26" t="s">
        <v>19</v>
      </c>
      <c r="G26" s="27"/>
      <c r="H26" s="26" t="s">
        <v>20</v>
      </c>
      <c r="I26" s="27"/>
      <c r="J26" s="26" t="s">
        <v>8</v>
      </c>
      <c r="K26" s="27"/>
      <c r="L26" s="26" t="s">
        <v>21</v>
      </c>
      <c r="M26" s="27"/>
      <c r="N26" s="5"/>
      <c r="P26" s="47" t="s">
        <v>81</v>
      </c>
      <c r="Q26" s="19">
        <f>528.41%</f>
        <v>5.2841</v>
      </c>
      <c r="R26" s="18" t="s">
        <v>82</v>
      </c>
      <c r="S26" s="18">
        <f t="shared" si="10"/>
        <v>912</v>
      </c>
      <c r="T26" s="19">
        <f t="shared" si="11"/>
        <v>1.54577192982456</v>
      </c>
      <c r="U26" s="19">
        <f>SUM($E$16:$E$20)</f>
        <v>1.33</v>
      </c>
      <c r="V26" s="20">
        <f t="shared" si="12"/>
        <v>2.91</v>
      </c>
      <c r="W26" s="21">
        <f t="shared" si="13"/>
        <v>0.15</v>
      </c>
      <c r="X26" s="20">
        <f t="shared" si="14"/>
        <v>0.589512876202296</v>
      </c>
      <c r="Y26" s="18">
        <f t="shared" si="15"/>
        <v>0.8</v>
      </c>
      <c r="Z26" s="22"/>
      <c r="AA26" s="22"/>
      <c r="AB26" s="22"/>
      <c r="AC26" s="23">
        <f t="shared" ref="AC26:AC37" si="18">Q26*S26*(1+T26)*(1+U26)*V26*(1+W26)*X26*Y26*(1+Z26)*(1+AA26)*(1+AB26)</f>
        <v>45114.4214789708</v>
      </c>
    </row>
    <row r="27" s="1" customFormat="1" spans="2:31">
      <c r="B27" s="28" t="s">
        <v>24</v>
      </c>
      <c r="C27" s="29">
        <f>375+587</f>
        <v>962</v>
      </c>
      <c r="D27" s="28" t="s">
        <v>25</v>
      </c>
      <c r="E27" s="30">
        <v>0.6</v>
      </c>
      <c r="F27" s="28" t="s">
        <v>26</v>
      </c>
      <c r="G27" s="31">
        <v>0.05</v>
      </c>
      <c r="H27" s="28" t="s">
        <v>26</v>
      </c>
      <c r="I27" s="30">
        <f>150%+16%</f>
        <v>1.66</v>
      </c>
      <c r="J27" s="32" t="s">
        <v>27</v>
      </c>
      <c r="K27" s="30"/>
      <c r="L27" s="28" t="s">
        <v>28</v>
      </c>
      <c r="M27" s="31">
        <f>8.6%*4</f>
        <v>0.344</v>
      </c>
      <c r="N27" s="5"/>
      <c r="P27" s="56"/>
      <c r="Q27" s="57"/>
      <c r="R27" s="58"/>
      <c r="S27" s="51"/>
      <c r="T27" s="50"/>
      <c r="U27" s="50"/>
      <c r="V27" s="52"/>
      <c r="W27" s="53"/>
      <c r="X27" s="52"/>
      <c r="Y27" s="51"/>
      <c r="Z27" s="54"/>
      <c r="AA27" s="54"/>
      <c r="AB27" s="54"/>
      <c r="AC27" s="55">
        <f t="shared" si="18"/>
        <v>0</v>
      </c>
    </row>
    <row r="28" s="1" customFormat="1" spans="2:31">
      <c r="B28" s="28" t="s">
        <v>31</v>
      </c>
      <c r="C28" s="30">
        <f>12%+12%</f>
        <v>0.24</v>
      </c>
      <c r="D28" s="28" t="s">
        <v>66</v>
      </c>
      <c r="E28" s="30">
        <f>12%+20%</f>
        <v>0.32</v>
      </c>
      <c r="F28" s="28" t="s">
        <v>33</v>
      </c>
      <c r="G28" s="31">
        <v>0.243</v>
      </c>
      <c r="H28" s="28" t="s">
        <v>34</v>
      </c>
      <c r="I28" s="31">
        <f>44%+M30</f>
        <v>1.25</v>
      </c>
      <c r="J28" s="33"/>
      <c r="K28" s="31"/>
      <c r="L28" s="28" t="s">
        <v>30</v>
      </c>
      <c r="M28" s="31"/>
      <c r="N28" s="5"/>
      <c r="P28" s="49" t="s">
        <v>22</v>
      </c>
      <c r="Q28" s="50">
        <v>1.6899</v>
      </c>
      <c r="R28" s="51" t="s">
        <v>23</v>
      </c>
      <c r="S28" s="51">
        <f t="shared" ref="S28:S37" si="19">$C$27</f>
        <v>962</v>
      </c>
      <c r="T28" s="50">
        <f t="shared" ref="T28:T37" si="20">($C$28+$C$29+$C$30+$C$31)+($C$32+$C$33)/S28</f>
        <v>1.70782536382536</v>
      </c>
      <c r="U28" s="50">
        <f t="shared" ref="U28:U31" si="21">SUM($E$27:$E$31)</f>
        <v>1.16</v>
      </c>
      <c r="V28" s="52">
        <f t="shared" ref="V28:V37" si="22">1+$G$32*($I$32-1)</f>
        <v>2.61968</v>
      </c>
      <c r="W28" s="53">
        <f t="shared" ref="W28:W37" si="23">$K$27</f>
        <v>0</v>
      </c>
      <c r="X28" s="52">
        <f t="shared" ref="X28:X37" si="24">$AE$7</f>
        <v>0.589512876202296</v>
      </c>
      <c r="Y28" s="51">
        <f t="shared" ref="Y28:Y37" si="25">$AE$17</f>
        <v>0.8</v>
      </c>
      <c r="Z28" s="54"/>
      <c r="AA28" s="54"/>
      <c r="AB28" s="54"/>
      <c r="AC28" s="55">
        <f t="shared" si="18"/>
        <v>11747.406794409</v>
      </c>
    </row>
    <row r="29" s="1" customFormat="1" spans="2:31">
      <c r="B29" s="28" t="s">
        <v>39</v>
      </c>
      <c r="C29" s="30">
        <f>18%+18%+M27</f>
        <v>0.704</v>
      </c>
      <c r="D29" s="28" t="s">
        <v>0</v>
      </c>
      <c r="E29" s="30">
        <v>0.24</v>
      </c>
      <c r="F29" s="28" t="s">
        <v>80</v>
      </c>
      <c r="G29" s="31">
        <v>0.15</v>
      </c>
      <c r="H29" s="28"/>
      <c r="I29" s="31"/>
      <c r="J29" s="33"/>
      <c r="K29" s="31"/>
      <c r="L29" s="28" t="s">
        <v>19</v>
      </c>
      <c r="M29" s="31">
        <f>8.1*5%</f>
        <v>0.405</v>
      </c>
      <c r="N29" s="5"/>
      <c r="P29" s="56" t="s">
        <v>30</v>
      </c>
      <c r="Q29" s="57">
        <v>2.9793</v>
      </c>
      <c r="R29" s="58" t="s">
        <v>30</v>
      </c>
      <c r="S29" s="51">
        <f t="shared" si="19"/>
        <v>962</v>
      </c>
      <c r="T29" s="50">
        <f t="shared" si="20"/>
        <v>1.70782536382536</v>
      </c>
      <c r="U29" s="50">
        <f t="shared" si="21"/>
        <v>1.16</v>
      </c>
      <c r="V29" s="52">
        <f t="shared" si="22"/>
        <v>2.61968</v>
      </c>
      <c r="W29" s="53">
        <f t="shared" si="23"/>
        <v>0</v>
      </c>
      <c r="X29" s="52">
        <f t="shared" si="24"/>
        <v>0.589512876202296</v>
      </c>
      <c r="Y29" s="51">
        <f t="shared" si="25"/>
        <v>0.8</v>
      </c>
      <c r="Z29" s="54"/>
      <c r="AA29" s="54"/>
      <c r="AB29" s="54"/>
      <c r="AC29" s="55">
        <f t="shared" si="18"/>
        <v>20710.7219732427</v>
      </c>
    </row>
    <row r="30" s="1" customFormat="1" spans="2:31">
      <c r="B30" s="28" t="s">
        <v>72</v>
      </c>
      <c r="C30" s="34">
        <v>0.25</v>
      </c>
      <c r="D30" s="28" t="s">
        <v>73</v>
      </c>
      <c r="E30" s="30"/>
      <c r="F30" s="28" t="s">
        <v>34</v>
      </c>
      <c r="G30" s="31">
        <f>M29</f>
        <v>0.405</v>
      </c>
      <c r="H30" s="28"/>
      <c r="I30" s="31"/>
      <c r="J30" s="33"/>
      <c r="K30" s="31"/>
      <c r="L30" s="28" t="s">
        <v>46</v>
      </c>
      <c r="M30" s="30">
        <f>16.2%*5</f>
        <v>0.81</v>
      </c>
      <c r="N30" s="5"/>
      <c r="P30" s="49" t="s">
        <v>30</v>
      </c>
      <c r="Q30" s="50">
        <v>2.3858</v>
      </c>
      <c r="R30" s="51" t="s">
        <v>30</v>
      </c>
      <c r="S30" s="51">
        <f t="shared" si="19"/>
        <v>962</v>
      </c>
      <c r="T30" s="50">
        <f t="shared" si="20"/>
        <v>1.70782536382536</v>
      </c>
      <c r="U30" s="50">
        <f>SUM($E$27:$E$31)+60%</f>
        <v>1.76</v>
      </c>
      <c r="V30" s="52">
        <f t="shared" si="22"/>
        <v>2.61968</v>
      </c>
      <c r="W30" s="53">
        <f t="shared" si="23"/>
        <v>0</v>
      </c>
      <c r="X30" s="52">
        <f t="shared" si="24"/>
        <v>0.589512876202296</v>
      </c>
      <c r="Y30" s="51">
        <f t="shared" si="25"/>
        <v>0.8</v>
      </c>
      <c r="Z30" s="54"/>
      <c r="AA30" s="54"/>
      <c r="AB30" s="54"/>
      <c r="AC30" s="55">
        <f t="shared" si="18"/>
        <v>21191.9229932187</v>
      </c>
    </row>
    <row r="31" s="1" customFormat="1" spans="2:31">
      <c r="B31" s="28" t="s">
        <v>45</v>
      </c>
      <c r="C31" s="34">
        <v>0.15</v>
      </c>
      <c r="D31" s="28"/>
      <c r="E31" s="35"/>
      <c r="F31" s="28" t="s">
        <v>50</v>
      </c>
      <c r="G31" s="31"/>
      <c r="H31" s="28" t="s">
        <v>50</v>
      </c>
      <c r="I31" s="31"/>
      <c r="J31" s="33"/>
      <c r="K31" s="31"/>
      <c r="L31" s="28"/>
      <c r="M31" s="29"/>
      <c r="N31" s="5"/>
      <c r="P31" s="56" t="s">
        <v>83</v>
      </c>
      <c r="Q31" s="57"/>
      <c r="R31" s="58"/>
      <c r="S31" s="51">
        <f t="shared" si="19"/>
        <v>962</v>
      </c>
      <c r="T31" s="50">
        <f t="shared" si="20"/>
        <v>1.70782536382536</v>
      </c>
      <c r="U31" s="50">
        <f t="shared" si="21"/>
        <v>1.16</v>
      </c>
      <c r="V31" s="52">
        <f t="shared" si="22"/>
        <v>2.61968</v>
      </c>
      <c r="W31" s="53">
        <f t="shared" si="23"/>
        <v>0</v>
      </c>
      <c r="X31" s="52">
        <f t="shared" si="24"/>
        <v>0.589512876202296</v>
      </c>
      <c r="Y31" s="51">
        <f t="shared" si="25"/>
        <v>0.8</v>
      </c>
      <c r="Z31" s="54"/>
      <c r="AA31" s="54"/>
      <c r="AB31" s="54"/>
      <c r="AC31" s="55">
        <f t="shared" si="18"/>
        <v>0</v>
      </c>
    </row>
    <row r="32" s="1" customFormat="1" spans="2:31">
      <c r="B32" s="28" t="s">
        <v>52</v>
      </c>
      <c r="C32" s="29">
        <v>350</v>
      </c>
      <c r="D32" s="28" t="s">
        <v>76</v>
      </c>
      <c r="E32" s="30"/>
      <c r="F32" s="36" t="s">
        <v>53</v>
      </c>
      <c r="G32" s="37">
        <f>MIN(100%,SUM(G27:G31))</f>
        <v>0.848</v>
      </c>
      <c r="H32" s="36" t="s">
        <v>54</v>
      </c>
      <c r="I32" s="38">
        <f>SUM(I27:I31)</f>
        <v>2.91</v>
      </c>
      <c r="J32" s="33"/>
      <c r="K32" s="31"/>
      <c r="L32" s="28"/>
      <c r="M32" s="29"/>
      <c r="N32" s="5"/>
      <c r="P32" s="49" t="s">
        <v>44</v>
      </c>
      <c r="Q32" s="50">
        <v>8.7477</v>
      </c>
      <c r="R32" s="51" t="s">
        <v>44</v>
      </c>
      <c r="S32" s="51">
        <f t="shared" si="19"/>
        <v>962</v>
      </c>
      <c r="T32" s="50">
        <f t="shared" si="20"/>
        <v>1.70782536382536</v>
      </c>
      <c r="U32" s="50">
        <f>SUM($E$27:$E$31)+40%</f>
        <v>1.56</v>
      </c>
      <c r="V32" s="52">
        <f t="shared" si="22"/>
        <v>2.61968</v>
      </c>
      <c r="W32" s="53">
        <f t="shared" si="23"/>
        <v>0</v>
      </c>
      <c r="X32" s="52">
        <f t="shared" si="24"/>
        <v>0.589512876202296</v>
      </c>
      <c r="Y32" s="51">
        <f t="shared" si="25"/>
        <v>0.8</v>
      </c>
      <c r="Z32" s="54"/>
      <c r="AA32" s="54"/>
      <c r="AB32" s="54"/>
      <c r="AC32" s="55">
        <f t="shared" si="18"/>
        <v>72071.0910637811</v>
      </c>
    </row>
    <row r="33" s="1" customFormat="1" spans="2:29">
      <c r="B33" s="39" t="s">
        <v>56</v>
      </c>
      <c r="C33" s="40"/>
      <c r="D33" s="39" t="s">
        <v>77</v>
      </c>
      <c r="E33" s="41"/>
      <c r="F33" s="39"/>
      <c r="G33" s="42"/>
      <c r="H33" s="39"/>
      <c r="I33" s="40"/>
      <c r="J33" s="43"/>
      <c r="K33" s="42"/>
      <c r="L33" s="39"/>
      <c r="M33" s="40"/>
      <c r="N33" s="5"/>
      <c r="P33" s="56" t="s">
        <v>69</v>
      </c>
      <c r="Q33" s="57">
        <v>0.9635</v>
      </c>
      <c r="R33" s="58" t="s">
        <v>69</v>
      </c>
      <c r="S33" s="51">
        <f t="shared" si="19"/>
        <v>962</v>
      </c>
      <c r="T33" s="50">
        <f t="shared" si="20"/>
        <v>1.70782536382536</v>
      </c>
      <c r="U33" s="50">
        <f t="shared" ref="U33:U36" si="26">SUM($E$27:$E$31)</f>
        <v>1.16</v>
      </c>
      <c r="V33" s="52">
        <f t="shared" si="22"/>
        <v>2.61968</v>
      </c>
      <c r="W33" s="53">
        <f t="shared" si="23"/>
        <v>0</v>
      </c>
      <c r="X33" s="52">
        <f t="shared" si="24"/>
        <v>0.589512876202296</v>
      </c>
      <c r="Y33" s="51">
        <f t="shared" si="25"/>
        <v>0.8</v>
      </c>
      <c r="Z33" s="54"/>
      <c r="AA33" s="54"/>
      <c r="AB33" s="54"/>
      <c r="AC33" s="55">
        <f t="shared" si="18"/>
        <v>6697.80841849405</v>
      </c>
    </row>
    <row r="34" s="1" customFormat="1" spans="2:29">
      <c r="B34" s="44"/>
      <c r="C34" s="44"/>
      <c r="D34" s="44"/>
      <c r="E34" s="45"/>
      <c r="F34" s="44"/>
      <c r="G34" s="46"/>
      <c r="H34" s="44"/>
      <c r="I34" s="44"/>
      <c r="J34" s="46"/>
      <c r="K34" s="46"/>
      <c r="L34" s="44"/>
      <c r="M34" s="44"/>
      <c r="N34" s="5"/>
      <c r="P34" s="49" t="s">
        <v>69</v>
      </c>
      <c r="Q34" s="50">
        <v>0.7605</v>
      </c>
      <c r="R34" s="51" t="s">
        <v>69</v>
      </c>
      <c r="S34" s="51">
        <f t="shared" si="19"/>
        <v>962</v>
      </c>
      <c r="T34" s="50">
        <f t="shared" si="20"/>
        <v>1.70782536382536</v>
      </c>
      <c r="U34" s="50">
        <f t="shared" si="26"/>
        <v>1.16</v>
      </c>
      <c r="V34" s="52">
        <f t="shared" si="22"/>
        <v>2.61968</v>
      </c>
      <c r="W34" s="53">
        <f t="shared" si="23"/>
        <v>0</v>
      </c>
      <c r="X34" s="52">
        <f t="shared" si="24"/>
        <v>0.589512876202296</v>
      </c>
      <c r="Y34" s="51">
        <f t="shared" si="25"/>
        <v>0.8</v>
      </c>
      <c r="Z34" s="54"/>
      <c r="AA34" s="54"/>
      <c r="AB34" s="54"/>
      <c r="AC34" s="55">
        <f t="shared" si="18"/>
        <v>5286.64587676671</v>
      </c>
    </row>
    <row r="35" s="1" customFormat="1" ht="15" spans="2:29">
      <c r="B35" s="59" t="s">
        <v>84</v>
      </c>
      <c r="C35" s="5"/>
      <c r="D35" s="5"/>
      <c r="E35" s="5"/>
      <c r="F35" s="5"/>
      <c r="G35" s="6"/>
      <c r="H35" s="5"/>
      <c r="I35" s="5"/>
      <c r="J35" s="5"/>
      <c r="K35" s="5"/>
      <c r="L35" s="5"/>
      <c r="M35" s="5"/>
      <c r="N35" s="5"/>
      <c r="P35" s="56" t="s">
        <v>69</v>
      </c>
      <c r="Q35" s="57">
        <v>1.2675</v>
      </c>
      <c r="R35" s="58" t="s">
        <v>69</v>
      </c>
      <c r="S35" s="51">
        <f t="shared" si="19"/>
        <v>962</v>
      </c>
      <c r="T35" s="50">
        <f t="shared" si="20"/>
        <v>1.70782536382536</v>
      </c>
      <c r="U35" s="50">
        <f t="shared" si="26"/>
        <v>1.16</v>
      </c>
      <c r="V35" s="52">
        <f t="shared" si="22"/>
        <v>2.61968</v>
      </c>
      <c r="W35" s="53">
        <f t="shared" si="23"/>
        <v>0</v>
      </c>
      <c r="X35" s="52">
        <f t="shared" si="24"/>
        <v>0.589512876202296</v>
      </c>
      <c r="Y35" s="51">
        <f t="shared" si="25"/>
        <v>0.8</v>
      </c>
      <c r="Z35" s="54"/>
      <c r="AA35" s="54"/>
      <c r="AB35" s="54"/>
      <c r="AC35" s="55">
        <f t="shared" si="18"/>
        <v>8811.07646127785</v>
      </c>
    </row>
    <row r="36" s="1" customFormat="1" ht="20" customHeight="1" spans="2:29">
      <c r="B36" s="60" t="s">
        <v>85</v>
      </c>
      <c r="C36" s="60" t="s">
        <v>86</v>
      </c>
      <c r="D36" s="60" t="s">
        <v>87</v>
      </c>
      <c r="E36" s="60" t="s">
        <v>88</v>
      </c>
      <c r="F36" s="61"/>
      <c r="G36" s="6"/>
      <c r="H36" s="5"/>
      <c r="I36" s="5"/>
      <c r="J36" s="5"/>
      <c r="K36" s="5"/>
      <c r="L36" s="5"/>
      <c r="M36" s="5"/>
      <c r="N36" s="5"/>
      <c r="P36" s="49" t="s">
        <v>30</v>
      </c>
      <c r="Q36" s="50">
        <v>2.9793</v>
      </c>
      <c r="R36" s="51" t="s">
        <v>30</v>
      </c>
      <c r="S36" s="51">
        <f t="shared" si="19"/>
        <v>962</v>
      </c>
      <c r="T36" s="50">
        <f t="shared" si="20"/>
        <v>1.70782536382536</v>
      </c>
      <c r="U36" s="50">
        <f t="shared" si="26"/>
        <v>1.16</v>
      </c>
      <c r="V36" s="52">
        <f t="shared" si="22"/>
        <v>2.61968</v>
      </c>
      <c r="W36" s="53">
        <f t="shared" si="23"/>
        <v>0</v>
      </c>
      <c r="X36" s="52">
        <f t="shared" si="24"/>
        <v>0.589512876202296</v>
      </c>
      <c r="Y36" s="51">
        <f t="shared" si="25"/>
        <v>0.8</v>
      </c>
      <c r="Z36" s="54"/>
      <c r="AA36" s="54"/>
      <c r="AB36" s="54"/>
      <c r="AC36" s="55">
        <f t="shared" si="18"/>
        <v>20710.7219732427</v>
      </c>
    </row>
    <row r="37" s="1" customFormat="1" ht="20" customHeight="1" spans="2:29">
      <c r="B37" s="62" t="s">
        <v>0</v>
      </c>
      <c r="C37" s="62">
        <f>SUM(AC3:AC14)</f>
        <v>538618.054234054</v>
      </c>
      <c r="D37" s="62">
        <f>C37/E37</f>
        <v>21544.7221693622</v>
      </c>
      <c r="E37" s="61">
        <v>25</v>
      </c>
      <c r="F37" s="61"/>
      <c r="G37" s="6"/>
      <c r="H37" s="5"/>
      <c r="I37" s="5"/>
      <c r="J37" s="5"/>
      <c r="K37" s="5"/>
      <c r="L37" s="5"/>
      <c r="M37" s="5"/>
      <c r="N37" s="5"/>
      <c r="P37" s="56" t="s">
        <v>30</v>
      </c>
      <c r="Q37" s="57">
        <v>2.3858</v>
      </c>
      <c r="R37" s="58" t="s">
        <v>30</v>
      </c>
      <c r="S37" s="51">
        <f t="shared" si="19"/>
        <v>962</v>
      </c>
      <c r="T37" s="50">
        <f t="shared" si="20"/>
        <v>1.70782536382536</v>
      </c>
      <c r="U37" s="50">
        <f>SUM($E$27:$E$31)+60%</f>
        <v>1.76</v>
      </c>
      <c r="V37" s="52">
        <f t="shared" si="22"/>
        <v>2.61968</v>
      </c>
      <c r="W37" s="53">
        <f t="shared" si="23"/>
        <v>0</v>
      </c>
      <c r="X37" s="52">
        <f t="shared" si="24"/>
        <v>0.589512876202296</v>
      </c>
      <c r="Y37" s="51">
        <f t="shared" si="25"/>
        <v>0.8</v>
      </c>
      <c r="Z37" s="54"/>
      <c r="AA37" s="54"/>
      <c r="AB37" s="54"/>
      <c r="AC37" s="55">
        <f t="shared" si="18"/>
        <v>21191.9229932187</v>
      </c>
    </row>
    <row r="38" s="1" customFormat="1" ht="20" customHeight="1" spans="2:29">
      <c r="B38" s="62" t="s">
        <v>63</v>
      </c>
      <c r="C38" s="62">
        <f>SUM(AC17:AC26)</f>
        <v>251034.537106808</v>
      </c>
      <c r="D38" s="62">
        <f>C38/E37</f>
        <v>10041.3814842723</v>
      </c>
      <c r="E38" s="6"/>
      <c r="F38" s="5"/>
      <c r="G38" s="6"/>
      <c r="H38" s="5"/>
      <c r="I38" s="5">
        <v>32177</v>
      </c>
      <c r="J38" s="5"/>
      <c r="K38" s="5"/>
      <c r="L38" s="5"/>
      <c r="M38" s="5"/>
      <c r="N38" s="5"/>
      <c r="Q38" s="2"/>
      <c r="U38" s="2"/>
      <c r="V38" s="3"/>
      <c r="AB38" s="4"/>
      <c r="AC38" s="4"/>
    </row>
    <row r="39" s="1" customFormat="1" ht="20" customHeight="1" spans="2:29">
      <c r="B39" s="62" t="s">
        <v>79</v>
      </c>
      <c r="C39" s="62">
        <v>50000</v>
      </c>
      <c r="D39" s="62">
        <f>C39/E37</f>
        <v>2000</v>
      </c>
      <c r="E39" s="5"/>
      <c r="F39" s="5"/>
      <c r="G39" s="6"/>
      <c r="H39" s="5"/>
      <c r="I39" s="5">
        <v>31453</v>
      </c>
      <c r="J39" s="5">
        <f>I39/I38</f>
        <v>0.977499456133263</v>
      </c>
      <c r="K39" s="5"/>
      <c r="L39" s="5"/>
      <c r="M39" s="5"/>
      <c r="N39" s="5"/>
      <c r="Q39" s="2"/>
      <c r="U39" s="2"/>
      <c r="V39" s="3"/>
      <c r="AB39" s="4"/>
      <c r="AC39" s="4"/>
    </row>
    <row r="40" s="1" customFormat="1" ht="20" customHeight="1" spans="2:29">
      <c r="B40" s="62" t="s">
        <v>89</v>
      </c>
      <c r="C40" s="62">
        <f>D40*E37</f>
        <v>52100</v>
      </c>
      <c r="D40" s="62">
        <v>2084</v>
      </c>
      <c r="E40" s="5"/>
      <c r="F40" s="5"/>
      <c r="G40" s="6"/>
      <c r="H40" s="5"/>
      <c r="I40" s="5"/>
      <c r="J40" s="5"/>
      <c r="K40" s="5"/>
      <c r="L40" s="5"/>
      <c r="M40" s="5"/>
      <c r="N40" s="5"/>
      <c r="Q40" s="2"/>
      <c r="U40" s="2"/>
      <c r="V40" s="3"/>
      <c r="AB40" s="4"/>
      <c r="AC40" s="4"/>
    </row>
    <row r="41" s="1" customFormat="1" ht="20" customHeight="1" spans="2:29">
      <c r="B41" s="62" t="s">
        <v>90</v>
      </c>
      <c r="C41" s="62">
        <f>C37+C38+C39+C40</f>
        <v>891752.591340862</v>
      </c>
      <c r="D41" s="62">
        <f>C41/E37</f>
        <v>35670.1036536345</v>
      </c>
      <c r="E41" s="5"/>
      <c r="F41" s="5"/>
      <c r="G41" s="6"/>
      <c r="H41" s="5"/>
      <c r="I41" s="5"/>
      <c r="J41" s="5"/>
      <c r="K41" s="5"/>
      <c r="L41" s="5"/>
      <c r="M41" s="5"/>
      <c r="N41" s="5"/>
      <c r="Q41" s="2"/>
      <c r="U41" s="2"/>
      <c r="V41" s="3"/>
      <c r="AB41" s="4"/>
      <c r="AC41" s="4"/>
    </row>
    <row r="42" s="1" customFormat="1" ht="20" customHeight="1" spans="2:29">
      <c r="B42" s="62"/>
      <c r="C42" s="62"/>
      <c r="D42" s="62"/>
      <c r="E42" s="5"/>
      <c r="F42" s="5"/>
      <c r="G42" s="6"/>
      <c r="I42" s="5"/>
      <c r="J42" s="5"/>
      <c r="K42" s="5"/>
      <c r="L42" s="5"/>
      <c r="M42" s="5"/>
      <c r="N42" s="5"/>
      <c r="Q42" s="2"/>
      <c r="U42" s="2"/>
      <c r="V42" s="3"/>
      <c r="AB42" s="4"/>
      <c r="AC42" s="4"/>
    </row>
    <row r="43" s="1" customFormat="1" spans="2:29">
      <c r="B43" s="62"/>
      <c r="C43" s="62"/>
      <c r="D43" s="62"/>
      <c r="E43" s="5"/>
      <c r="F43" s="5"/>
      <c r="G43" s="6"/>
      <c r="H43" s="5">
        <v>334890</v>
      </c>
      <c r="I43" s="5"/>
      <c r="J43" s="5"/>
      <c r="K43" s="5"/>
      <c r="L43" s="5"/>
      <c r="M43" s="5"/>
      <c r="N43" s="5"/>
      <c r="Q43" s="2"/>
      <c r="U43" s="2"/>
      <c r="V43" s="3"/>
      <c r="AB43" s="4"/>
      <c r="AC43" s="4"/>
    </row>
    <row r="44" s="1" customFormat="1" spans="2:29">
      <c r="B44" s="5"/>
      <c r="C44" s="5"/>
      <c r="D44" s="5"/>
      <c r="E44" s="5"/>
      <c r="G44" s="6"/>
      <c r="H44" s="5"/>
      <c r="I44" s="5"/>
      <c r="J44" s="5"/>
      <c r="K44" s="5"/>
      <c r="L44" s="5"/>
      <c r="M44" s="5"/>
      <c r="N44" s="5"/>
      <c r="Q44" s="2"/>
      <c r="U44" s="2"/>
      <c r="V44" s="3"/>
      <c r="AB44" s="4"/>
      <c r="AC44" s="4"/>
    </row>
    <row r="45" s="1" customFormat="1" spans="2:29">
      <c r="B45" s="5"/>
      <c r="C45" s="5"/>
      <c r="D45" s="5"/>
      <c r="E45" s="5"/>
      <c r="F45" s="62"/>
      <c r="G45" s="2"/>
      <c r="N45" s="5"/>
      <c r="Q45" s="2"/>
      <c r="U45" s="2"/>
      <c r="V45" s="3"/>
      <c r="AB45" s="4"/>
      <c r="AC45" s="4"/>
    </row>
    <row r="46" s="1" customFormat="1" spans="2:29">
      <c r="B46" s="62"/>
      <c r="C46" s="62"/>
      <c r="D46" s="62"/>
      <c r="E46" s="5"/>
      <c r="F46" s="62"/>
      <c r="N46" s="5"/>
      <c r="Q46" s="2"/>
      <c r="U46" s="2"/>
      <c r="V46" s="3"/>
      <c r="AB46" s="4"/>
      <c r="AC46" s="4"/>
    </row>
    <row r="47" s="1" customFormat="1" spans="2:29">
      <c r="B47" s="62"/>
      <c r="C47" s="62"/>
      <c r="D47" s="62"/>
      <c r="E47" s="5"/>
      <c r="F47" s="5"/>
      <c r="G47" s="2"/>
      <c r="N47" s="5"/>
      <c r="Q47" s="2"/>
      <c r="U47" s="2"/>
      <c r="V47" s="3"/>
      <c r="AB47" s="4"/>
      <c r="AC47" s="4"/>
    </row>
    <row r="48" s="1" customFormat="1" spans="2:29">
      <c r="B48" s="5"/>
      <c r="C48" s="5"/>
      <c r="D48" s="5"/>
      <c r="E48" s="5"/>
      <c r="F48" s="62"/>
      <c r="G48" s="2"/>
      <c r="N48" s="5"/>
      <c r="Q48" s="2"/>
      <c r="U48" s="2"/>
      <c r="V48" s="3"/>
      <c r="AB48" s="4"/>
      <c r="AC48" s="4"/>
    </row>
    <row r="49" s="1" customFormat="1" spans="2:29">
      <c r="B49" s="62"/>
      <c r="C49" s="62"/>
      <c r="D49" s="62"/>
      <c r="E49" s="5"/>
      <c r="F49" s="62"/>
      <c r="G49" s="2"/>
      <c r="N49" s="5"/>
      <c r="Q49" s="2"/>
      <c r="U49" s="2"/>
      <c r="V49" s="3"/>
      <c r="AB49" s="4"/>
      <c r="AC49" s="4"/>
    </row>
    <row r="50" s="1" customFormat="1" spans="2:29">
      <c r="B50" s="62"/>
      <c r="C50" s="62"/>
      <c r="D50" s="62"/>
      <c r="E50" s="5"/>
      <c r="F50" s="5"/>
      <c r="G50" s="2"/>
      <c r="N50" s="5"/>
      <c r="Q50" s="2"/>
      <c r="U50" s="2"/>
      <c r="V50" s="3"/>
      <c r="AB50" s="4"/>
      <c r="AC50" s="4"/>
    </row>
    <row r="51" s="1" customFormat="1" spans="2:29">
      <c r="B51" s="5"/>
      <c r="C51" s="5"/>
      <c r="D51" s="5"/>
      <c r="E51" s="5"/>
      <c r="F51" s="62"/>
      <c r="G51" s="2"/>
      <c r="N51" s="5"/>
      <c r="Q51" s="2"/>
      <c r="U51" s="2"/>
      <c r="V51" s="3"/>
      <c r="AB51" s="4"/>
      <c r="AC51" s="4"/>
    </row>
    <row r="52" s="1" customFormat="1" spans="2:29">
      <c r="B52" s="62"/>
      <c r="C52" s="62"/>
      <c r="D52" s="62"/>
      <c r="E52" s="5"/>
      <c r="F52" s="62"/>
      <c r="G52" s="2"/>
      <c r="N52" s="5"/>
      <c r="Q52" s="2"/>
      <c r="U52" s="2"/>
      <c r="V52" s="3"/>
      <c r="AB52" s="4"/>
      <c r="AC52" s="4"/>
    </row>
    <row r="53" s="1" customFormat="1" spans="2:29">
      <c r="B53" s="62"/>
      <c r="C53" s="62"/>
      <c r="D53" s="62"/>
      <c r="E53" s="5"/>
      <c r="F53" s="5"/>
      <c r="G53" s="2"/>
      <c r="N53" s="5"/>
      <c r="Q53" s="2"/>
      <c r="U53" s="2"/>
      <c r="V53" s="3"/>
      <c r="AB53" s="4"/>
      <c r="AC53" s="4"/>
    </row>
    <row r="54" s="1" customFormat="1" spans="2:29">
      <c r="B54" s="5"/>
      <c r="C54" s="5"/>
      <c r="D54" s="5"/>
      <c r="E54" s="5"/>
      <c r="F54" s="62"/>
      <c r="G54" s="2"/>
      <c r="N54" s="5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2:29">
      <c r="B55" s="62"/>
      <c r="C55" s="62"/>
      <c r="D55" s="62"/>
      <c r="E55" s="5"/>
      <c r="G55" s="2"/>
      <c r="N55" s="5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2:29">
      <c r="G56" s="2"/>
      <c r="N56" s="5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2:29">
      <c r="G57" s="2"/>
      <c r="N57" s="5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57"/>
  <sheetViews>
    <sheetView topLeftCell="A16" workbookViewId="0">
      <selection activeCell="A4" sqref="$A1:$XFD104857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12.1818181818182" style="2" customWidth="1"/>
    <col min="8" max="8" width="8.09090909090909" style="1" customWidth="1"/>
    <col min="9" max="9" width="12.1818181818182" style="1" customWidth="1"/>
    <col min="10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5.1818181818182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11.8181818181818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4" width="9.69090909090909" style="1"/>
  </cols>
  <sheetData>
    <row r="1" ht="14.75"/>
    <row r="2" s="1" customFormat="1" ht="15" spans="2:32">
      <c r="B2" s="63" t="s">
        <v>121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4" t="s">
        <v>9</v>
      </c>
      <c r="AF2" s="14" t="s">
        <v>17</v>
      </c>
    </row>
    <row r="3" s="1" customFormat="1" spans="2:32">
      <c r="B3" s="64" t="s">
        <v>18</v>
      </c>
      <c r="C3" s="65"/>
      <c r="D3" s="64" t="s">
        <v>6</v>
      </c>
      <c r="E3" s="65"/>
      <c r="F3" s="64" t="s">
        <v>19</v>
      </c>
      <c r="G3" s="65"/>
      <c r="H3" s="64" t="s">
        <v>20</v>
      </c>
      <c r="I3" s="65"/>
      <c r="J3" s="64" t="s">
        <v>8</v>
      </c>
      <c r="K3" s="65"/>
      <c r="L3" s="64" t="s">
        <v>21</v>
      </c>
      <c r="M3" s="65"/>
      <c r="N3" s="5"/>
      <c r="P3" s="15" t="s">
        <v>65</v>
      </c>
      <c r="Q3" s="16">
        <v>1.9881</v>
      </c>
      <c r="R3" s="17" t="s">
        <v>23</v>
      </c>
      <c r="S3" s="18">
        <f t="shared" ref="S3:S17" si="0">$C$16</f>
        <v>912</v>
      </c>
      <c r="T3" s="19">
        <f t="shared" ref="T3:T17" si="1">($C$17+$C$18+$C$19+$C$20)+($C$21+$C$22)/S3</f>
        <v>2.14777192982456</v>
      </c>
      <c r="U3" s="19">
        <f t="shared" ref="U3:U6" si="2">SUM($E$16:$E$20)</f>
        <v>1.37</v>
      </c>
      <c r="V3" s="20">
        <f t="shared" ref="V3:V17" si="3">1+$G$21*($I$21-1)</f>
        <v>2.91</v>
      </c>
      <c r="W3" s="21">
        <f t="shared" ref="W3:W7" si="4">$K$16</f>
        <v>0.15</v>
      </c>
      <c r="X3" s="20">
        <f t="shared" ref="X3:X17" si="5">$AE$8</f>
        <v>0.50131926121372</v>
      </c>
      <c r="Y3" s="18">
        <f t="shared" ref="Y3:Y28" si="6">$AE$17</f>
        <v>0.9</v>
      </c>
      <c r="Z3" s="22"/>
      <c r="AA3" s="22"/>
      <c r="AB3" s="22"/>
      <c r="AC3" s="23">
        <f t="shared" ref="AC3:AC28" si="7">Q3*S3*(1+T3)*(1+U3)*V3*(1+W3)*X3*Y3*(1+Z3)*(1+AA3)*(1+AB3)</f>
        <v>20423.6047740937</v>
      </c>
      <c r="AD3" s="13">
        <v>0</v>
      </c>
      <c r="AE3" s="14">
        <f t="shared" ref="AE3:AE8" si="8">1520/(1520+(792+8*AF3)*(1-AD3/100))</f>
        <v>0.50131926121372</v>
      </c>
      <c r="AF3" s="24">
        <v>90</v>
      </c>
    </row>
    <row r="4" s="1" customFormat="1" spans="2:32">
      <c r="B4" s="66" t="s">
        <v>24</v>
      </c>
      <c r="C4" s="67">
        <f>375+588</f>
        <v>963</v>
      </c>
      <c r="D4" s="66" t="s">
        <v>25</v>
      </c>
      <c r="E4" s="68">
        <v>0.3</v>
      </c>
      <c r="F4" s="66" t="s">
        <v>26</v>
      </c>
      <c r="G4" s="69">
        <v>0.13</v>
      </c>
      <c r="H4" s="66" t="s">
        <v>26</v>
      </c>
      <c r="I4" s="68">
        <v>1.5</v>
      </c>
      <c r="J4" s="70" t="s">
        <v>27</v>
      </c>
      <c r="K4" s="68"/>
      <c r="L4" s="66" t="s">
        <v>28</v>
      </c>
      <c r="M4" s="69">
        <f>8.6%*2</f>
        <v>0.172</v>
      </c>
      <c r="N4" s="5"/>
      <c r="P4" s="15" t="s">
        <v>68</v>
      </c>
      <c r="Q4" s="16">
        <v>6.3819</v>
      </c>
      <c r="R4" s="17" t="s">
        <v>69</v>
      </c>
      <c r="S4" s="18">
        <f t="shared" si="0"/>
        <v>912</v>
      </c>
      <c r="T4" s="19">
        <f t="shared" si="1"/>
        <v>2.14777192982456</v>
      </c>
      <c r="U4" s="19">
        <f t="shared" ref="U4:U9" si="9">SUM($E$16:$E$20)+$E$21</f>
        <v>1.91</v>
      </c>
      <c r="V4" s="20">
        <f t="shared" si="3"/>
        <v>2.91</v>
      </c>
      <c r="W4" s="21">
        <f t="shared" si="4"/>
        <v>0.15</v>
      </c>
      <c r="X4" s="20">
        <f t="shared" si="5"/>
        <v>0.50131926121372</v>
      </c>
      <c r="Y4" s="18">
        <f t="shared" si="6"/>
        <v>0.9</v>
      </c>
      <c r="Z4" s="22"/>
      <c r="AA4" s="22"/>
      <c r="AB4" s="22"/>
      <c r="AC4" s="23">
        <f t="shared" si="7"/>
        <v>80498.6894863392</v>
      </c>
      <c r="AD4" s="13">
        <v>0</v>
      </c>
      <c r="AE4" s="14">
        <f t="shared" si="8"/>
        <v>0.50131926121372</v>
      </c>
      <c r="AF4" s="24">
        <v>90</v>
      </c>
    </row>
    <row r="5" s="1" customFormat="1" spans="2:32">
      <c r="B5" s="66" t="s">
        <v>31</v>
      </c>
      <c r="C5" s="68">
        <v>0.24</v>
      </c>
      <c r="D5" s="66" t="s">
        <v>122</v>
      </c>
      <c r="E5" s="68">
        <v>0.25</v>
      </c>
      <c r="F5" s="66" t="s">
        <v>33</v>
      </c>
      <c r="G5" s="69">
        <v>0.243</v>
      </c>
      <c r="H5" s="66" t="s">
        <v>34</v>
      </c>
      <c r="I5" s="69">
        <f>M7+44%</f>
        <v>1.25</v>
      </c>
      <c r="J5" s="71" t="s">
        <v>35</v>
      </c>
      <c r="K5" s="69"/>
      <c r="L5" s="66" t="s">
        <v>123</v>
      </c>
      <c r="M5" s="69">
        <f>8.6%*2</f>
        <v>0.172</v>
      </c>
      <c r="N5" s="5"/>
      <c r="P5" s="15" t="s">
        <v>78</v>
      </c>
      <c r="Q5" s="16">
        <v>4.016</v>
      </c>
      <c r="R5" s="17" t="s">
        <v>44</v>
      </c>
      <c r="S5" s="18">
        <f t="shared" si="0"/>
        <v>912</v>
      </c>
      <c r="T5" s="19">
        <f t="shared" si="1"/>
        <v>2.14777192982456</v>
      </c>
      <c r="U5" s="19">
        <f t="shared" si="2"/>
        <v>1.37</v>
      </c>
      <c r="V5" s="20">
        <f t="shared" si="3"/>
        <v>2.91</v>
      </c>
      <c r="W5" s="21">
        <f>$K$16+K18</f>
        <v>0.4</v>
      </c>
      <c r="X5" s="20">
        <f t="shared" si="5"/>
        <v>0.50131926121372</v>
      </c>
      <c r="Y5" s="18">
        <f t="shared" si="6"/>
        <v>0.9</v>
      </c>
      <c r="Z5" s="22">
        <v>2.55</v>
      </c>
      <c r="AA5" s="22"/>
      <c r="AB5" s="22"/>
      <c r="AC5" s="23">
        <f t="shared" si="7"/>
        <v>178297.980794693</v>
      </c>
      <c r="AD5" s="13">
        <v>0</v>
      </c>
      <c r="AE5" s="14">
        <f t="shared" si="8"/>
        <v>0.50131926121372</v>
      </c>
      <c r="AF5" s="24">
        <v>90</v>
      </c>
    </row>
    <row r="6" s="1" customFormat="1" spans="2:32">
      <c r="B6" s="66" t="s">
        <v>39</v>
      </c>
      <c r="C6" s="68">
        <f>18%+18%+M4+30%</f>
        <v>0.832</v>
      </c>
      <c r="D6" s="66" t="s">
        <v>32</v>
      </c>
      <c r="E6" s="68">
        <f>10%</f>
        <v>0.1</v>
      </c>
      <c r="F6" s="66" t="s">
        <v>124</v>
      </c>
      <c r="G6" s="69"/>
      <c r="H6" s="66" t="s">
        <v>41</v>
      </c>
      <c r="I6" s="69"/>
      <c r="J6" s="71" t="s">
        <v>42</v>
      </c>
      <c r="K6" s="69"/>
      <c r="L6" s="66" t="s">
        <v>19</v>
      </c>
      <c r="M6" s="69">
        <f>8.1*5%</f>
        <v>0.405</v>
      </c>
      <c r="N6" s="5"/>
      <c r="P6" s="15" t="s">
        <v>94</v>
      </c>
      <c r="Q6" s="16">
        <f>62.63%*2</f>
        <v>1.2526</v>
      </c>
      <c r="R6" s="17" t="s">
        <v>30</v>
      </c>
      <c r="S6" s="18">
        <f t="shared" si="0"/>
        <v>912</v>
      </c>
      <c r="T6" s="19">
        <f t="shared" si="1"/>
        <v>2.14777192982456</v>
      </c>
      <c r="U6" s="19">
        <f t="shared" si="2"/>
        <v>1.37</v>
      </c>
      <c r="V6" s="20">
        <f t="shared" si="3"/>
        <v>2.91</v>
      </c>
      <c r="W6" s="21">
        <f t="shared" si="4"/>
        <v>0.15</v>
      </c>
      <c r="X6" s="20">
        <f t="shared" si="5"/>
        <v>0.50131926121372</v>
      </c>
      <c r="Y6" s="18">
        <f t="shared" si="6"/>
        <v>0.9</v>
      </c>
      <c r="Z6" s="22"/>
      <c r="AA6" s="22"/>
      <c r="AB6" s="22"/>
      <c r="AC6" s="23">
        <f t="shared" si="7"/>
        <v>12867.86748153</v>
      </c>
      <c r="AD6" s="13">
        <v>0</v>
      </c>
      <c r="AE6" s="14">
        <f t="shared" si="8"/>
        <v>0.50131926121372</v>
      </c>
      <c r="AF6" s="24">
        <v>90</v>
      </c>
    </row>
    <row r="7" s="1" customFormat="1" spans="2:32">
      <c r="B7" s="66" t="s">
        <v>45</v>
      </c>
      <c r="C7" s="72"/>
      <c r="D7" s="66" t="s">
        <v>73</v>
      </c>
      <c r="E7" s="68">
        <v>0.24</v>
      </c>
      <c r="F7" s="66" t="s">
        <v>34</v>
      </c>
      <c r="G7" s="69">
        <f>M6</f>
        <v>0.405</v>
      </c>
      <c r="H7" s="66"/>
      <c r="I7" s="69"/>
      <c r="J7" s="71"/>
      <c r="K7" s="69"/>
      <c r="L7" s="66" t="s">
        <v>46</v>
      </c>
      <c r="M7" s="68">
        <f>16.2%*5</f>
        <v>0.81</v>
      </c>
      <c r="N7" s="5"/>
      <c r="P7" s="15" t="s">
        <v>74</v>
      </c>
      <c r="Q7" s="16">
        <f t="shared" ref="Q7:Q12" si="10">59.35%+39.77%*2</f>
        <v>1.3889</v>
      </c>
      <c r="R7" s="17" t="s">
        <v>38</v>
      </c>
      <c r="S7" s="18">
        <f t="shared" si="0"/>
        <v>912</v>
      </c>
      <c r="T7" s="19">
        <f t="shared" si="1"/>
        <v>2.14777192982456</v>
      </c>
      <c r="U7" s="19">
        <f t="shared" ref="U7:U12" si="11">SUM($E$16:$E$20)+$E$22</f>
        <v>1.79</v>
      </c>
      <c r="V7" s="20">
        <f t="shared" si="3"/>
        <v>2.91</v>
      </c>
      <c r="W7" s="21">
        <f t="shared" si="4"/>
        <v>0.15</v>
      </c>
      <c r="X7" s="20">
        <f t="shared" si="5"/>
        <v>0.50131926121372</v>
      </c>
      <c r="Y7" s="18">
        <f t="shared" si="6"/>
        <v>0.9</v>
      </c>
      <c r="Z7" s="22"/>
      <c r="AA7" s="22"/>
      <c r="AB7" s="22"/>
      <c r="AC7" s="23">
        <f t="shared" si="7"/>
        <v>16796.5855980979</v>
      </c>
      <c r="AD7" s="13">
        <v>0</v>
      </c>
      <c r="AE7" s="14">
        <f t="shared" si="8"/>
        <v>0.50131926121372</v>
      </c>
      <c r="AF7" s="24">
        <v>90</v>
      </c>
    </row>
    <row r="8" s="1" customFormat="1" spans="2:32">
      <c r="B8" s="66" t="s">
        <v>48</v>
      </c>
      <c r="C8" s="72">
        <f>25%</f>
        <v>0.25</v>
      </c>
      <c r="D8" s="66" t="s">
        <v>125</v>
      </c>
      <c r="E8" s="73">
        <v>0.24</v>
      </c>
      <c r="F8" s="66"/>
      <c r="G8" s="69"/>
      <c r="H8" s="66"/>
      <c r="I8" s="69"/>
      <c r="J8" s="71"/>
      <c r="K8" s="69"/>
      <c r="L8" s="66"/>
      <c r="M8" s="67"/>
      <c r="N8" s="5"/>
      <c r="P8" s="15" t="s">
        <v>75</v>
      </c>
      <c r="Q8" s="16">
        <f t="shared" ref="Q8:Q13" si="12">82.69%*3</f>
        <v>2.4807</v>
      </c>
      <c r="R8" s="17" t="s">
        <v>69</v>
      </c>
      <c r="S8" s="18">
        <f t="shared" si="0"/>
        <v>912</v>
      </c>
      <c r="T8" s="19">
        <f t="shared" si="1"/>
        <v>2.14777192982456</v>
      </c>
      <c r="U8" s="19">
        <f t="shared" si="9"/>
        <v>1.91</v>
      </c>
      <c r="V8" s="20">
        <f t="shared" si="3"/>
        <v>2.91</v>
      </c>
      <c r="W8" s="21">
        <f t="shared" ref="W8:W13" si="13">$K$16+256%</f>
        <v>2.71</v>
      </c>
      <c r="X8" s="20">
        <f t="shared" si="5"/>
        <v>0.50131926121372</v>
      </c>
      <c r="Y8" s="18">
        <f t="shared" si="6"/>
        <v>0.9</v>
      </c>
      <c r="Z8" s="22"/>
      <c r="AA8" s="22"/>
      <c r="AB8" s="22"/>
      <c r="AC8" s="23">
        <f t="shared" si="7"/>
        <v>100946.003857718</v>
      </c>
      <c r="AD8" s="13">
        <v>0</v>
      </c>
      <c r="AE8" s="14">
        <f t="shared" si="8"/>
        <v>0.50131926121372</v>
      </c>
      <c r="AF8" s="24">
        <v>90</v>
      </c>
    </row>
    <row r="9" s="1" customFormat="1" spans="2:32">
      <c r="B9" s="66" t="s">
        <v>52</v>
      </c>
      <c r="C9" s="67">
        <v>350</v>
      </c>
      <c r="D9" s="66" t="s">
        <v>77</v>
      </c>
      <c r="E9" s="30">
        <f>36%+M5</f>
        <v>0.532</v>
      </c>
      <c r="F9" s="74" t="s">
        <v>53</v>
      </c>
      <c r="G9" s="75">
        <f>MIN(100%,SUM(G4:G8))</f>
        <v>0.778</v>
      </c>
      <c r="H9" s="74" t="s">
        <v>54</v>
      </c>
      <c r="I9" s="76">
        <f>SUM(I4:I8)</f>
        <v>2.75</v>
      </c>
      <c r="J9" s="71"/>
      <c r="K9" s="69"/>
      <c r="L9" s="66"/>
      <c r="M9" s="67"/>
      <c r="N9" s="5"/>
      <c r="P9" s="15" t="s">
        <v>61</v>
      </c>
      <c r="Q9" s="16">
        <f>118.8%+59.4%*4</f>
        <v>3.564</v>
      </c>
      <c r="R9" s="17" t="s">
        <v>61</v>
      </c>
      <c r="S9" s="18">
        <f t="shared" si="0"/>
        <v>912</v>
      </c>
      <c r="T9" s="19">
        <f t="shared" si="1"/>
        <v>2.14777192982456</v>
      </c>
      <c r="U9" s="19">
        <f t="shared" si="9"/>
        <v>1.91</v>
      </c>
      <c r="V9" s="20">
        <f t="shared" si="3"/>
        <v>2.91</v>
      </c>
      <c r="W9" s="21">
        <f t="shared" ref="W9:W12" si="14">$K$16</f>
        <v>0.15</v>
      </c>
      <c r="X9" s="20">
        <f t="shared" si="5"/>
        <v>0.50131926121372</v>
      </c>
      <c r="Y9" s="18">
        <f t="shared" si="6"/>
        <v>0.9</v>
      </c>
      <c r="Z9" s="22"/>
      <c r="AA9" s="22"/>
      <c r="AB9" s="22"/>
      <c r="AC9" s="23">
        <f t="shared" si="7"/>
        <v>44954.8456305039</v>
      </c>
    </row>
    <row r="10" s="1" customFormat="1" spans="2:32">
      <c r="B10" s="66"/>
      <c r="C10" s="67"/>
      <c r="D10" s="66"/>
      <c r="E10" s="68"/>
      <c r="F10" s="74"/>
      <c r="G10" s="75"/>
      <c r="H10" s="74"/>
      <c r="I10" s="76"/>
      <c r="J10" s="71"/>
      <c r="K10" s="69"/>
      <c r="L10" s="66"/>
      <c r="M10" s="67"/>
      <c r="N10" s="5"/>
      <c r="P10" s="15" t="s">
        <v>74</v>
      </c>
      <c r="Q10" s="16">
        <f t="shared" si="10"/>
        <v>1.3889</v>
      </c>
      <c r="R10" s="17" t="s">
        <v>38</v>
      </c>
      <c r="S10" s="18">
        <f t="shared" si="0"/>
        <v>912</v>
      </c>
      <c r="T10" s="19">
        <f t="shared" si="1"/>
        <v>2.14777192982456</v>
      </c>
      <c r="U10" s="19">
        <f t="shared" si="11"/>
        <v>1.79</v>
      </c>
      <c r="V10" s="20">
        <f t="shared" si="3"/>
        <v>2.91</v>
      </c>
      <c r="W10" s="21">
        <f t="shared" si="14"/>
        <v>0.15</v>
      </c>
      <c r="X10" s="20">
        <f t="shared" si="5"/>
        <v>0.50131926121372</v>
      </c>
      <c r="Y10" s="18">
        <f t="shared" si="6"/>
        <v>0.9</v>
      </c>
      <c r="Z10" s="22"/>
      <c r="AA10" s="22"/>
      <c r="AB10" s="22"/>
      <c r="AC10" s="23">
        <f t="shared" si="7"/>
        <v>16796.5855980979</v>
      </c>
    </row>
    <row r="11" s="1" customFormat="1" spans="2:32">
      <c r="B11" s="77" t="s">
        <v>56</v>
      </c>
      <c r="C11" s="78"/>
      <c r="D11" s="77"/>
      <c r="E11" s="79"/>
      <c r="F11" s="77"/>
      <c r="G11" s="80"/>
      <c r="H11" s="77"/>
      <c r="I11" s="78"/>
      <c r="J11" s="81"/>
      <c r="K11" s="80"/>
      <c r="L11" s="77"/>
      <c r="M11" s="78"/>
      <c r="N11" s="5"/>
      <c r="P11" s="15" t="s">
        <v>75</v>
      </c>
      <c r="Q11" s="16">
        <f t="shared" si="12"/>
        <v>2.4807</v>
      </c>
      <c r="R11" s="17" t="s">
        <v>69</v>
      </c>
      <c r="S11" s="18">
        <f t="shared" si="0"/>
        <v>912</v>
      </c>
      <c r="T11" s="19">
        <f t="shared" si="1"/>
        <v>2.14777192982456</v>
      </c>
      <c r="U11" s="19">
        <f t="shared" ref="U11:U15" si="15">SUM($E$16:$E$20)+$E$21</f>
        <v>1.91</v>
      </c>
      <c r="V11" s="20">
        <f t="shared" si="3"/>
        <v>2.91</v>
      </c>
      <c r="W11" s="21">
        <f t="shared" si="13"/>
        <v>2.71</v>
      </c>
      <c r="X11" s="20">
        <f t="shared" si="5"/>
        <v>0.50131926121372</v>
      </c>
      <c r="Y11" s="18">
        <f t="shared" si="6"/>
        <v>0.9</v>
      </c>
      <c r="Z11" s="22"/>
      <c r="AA11" s="22"/>
      <c r="AB11" s="22"/>
      <c r="AC11" s="23">
        <f t="shared" si="7"/>
        <v>100946.003857718</v>
      </c>
    </row>
    <row r="12" s="1" customFormat="1" spans="2:32"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P12" s="15" t="s">
        <v>74</v>
      </c>
      <c r="Q12" s="16">
        <f t="shared" si="10"/>
        <v>1.3889</v>
      </c>
      <c r="R12" s="17" t="s">
        <v>38</v>
      </c>
      <c r="S12" s="18">
        <f t="shared" si="0"/>
        <v>912</v>
      </c>
      <c r="T12" s="19">
        <f t="shared" si="1"/>
        <v>2.14777192982456</v>
      </c>
      <c r="U12" s="19">
        <f t="shared" si="11"/>
        <v>1.79</v>
      </c>
      <c r="V12" s="20">
        <f t="shared" si="3"/>
        <v>2.91</v>
      </c>
      <c r="W12" s="21">
        <f t="shared" si="14"/>
        <v>0.15</v>
      </c>
      <c r="X12" s="20">
        <f t="shared" si="5"/>
        <v>0.50131926121372</v>
      </c>
      <c r="Y12" s="18">
        <f t="shared" si="6"/>
        <v>0.9</v>
      </c>
      <c r="Z12" s="22"/>
      <c r="AA12" s="22"/>
      <c r="AB12" s="22"/>
      <c r="AC12" s="23">
        <f t="shared" si="7"/>
        <v>16796.5855980979</v>
      </c>
    </row>
    <row r="13" s="1" customFormat="1" spans="2:32"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P13" s="15" t="s">
        <v>75</v>
      </c>
      <c r="Q13" s="16">
        <f t="shared" si="12"/>
        <v>2.4807</v>
      </c>
      <c r="R13" s="17" t="s">
        <v>69</v>
      </c>
      <c r="S13" s="18">
        <f t="shared" si="0"/>
        <v>912</v>
      </c>
      <c r="T13" s="19">
        <f t="shared" si="1"/>
        <v>2.14777192982456</v>
      </c>
      <c r="U13" s="19">
        <f t="shared" si="15"/>
        <v>1.91</v>
      </c>
      <c r="V13" s="20">
        <f t="shared" si="3"/>
        <v>2.91</v>
      </c>
      <c r="W13" s="21">
        <f t="shared" si="13"/>
        <v>2.71</v>
      </c>
      <c r="X13" s="20">
        <f t="shared" si="5"/>
        <v>0.50131926121372</v>
      </c>
      <c r="Y13" s="18">
        <f t="shared" si="6"/>
        <v>0.9</v>
      </c>
      <c r="Z13" s="22"/>
      <c r="AA13" s="22"/>
      <c r="AB13" s="22"/>
      <c r="AC13" s="23">
        <f t="shared" si="7"/>
        <v>100946.003857718</v>
      </c>
    </row>
    <row r="14" s="1" customFormat="1" ht="15" spans="2:32">
      <c r="B14" s="25" t="s">
        <v>63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5"/>
      <c r="P14" s="15" t="s">
        <v>74</v>
      </c>
      <c r="Q14" s="16">
        <f>59.35%+39.77%*2</f>
        <v>1.3889</v>
      </c>
      <c r="R14" s="17" t="s">
        <v>38</v>
      </c>
      <c r="S14" s="18">
        <f t="shared" si="0"/>
        <v>912</v>
      </c>
      <c r="T14" s="19">
        <f t="shared" si="1"/>
        <v>2.14777192982456</v>
      </c>
      <c r="U14" s="19">
        <f>SUM($E$16:$E$20)+$E$22</f>
        <v>1.79</v>
      </c>
      <c r="V14" s="20">
        <f t="shared" si="3"/>
        <v>2.91</v>
      </c>
      <c r="W14" s="21">
        <f t="shared" ref="W14:W17" si="16">$K$16</f>
        <v>0.15</v>
      </c>
      <c r="X14" s="20">
        <f t="shared" si="5"/>
        <v>0.50131926121372</v>
      </c>
      <c r="Y14" s="18">
        <f t="shared" si="6"/>
        <v>0.9</v>
      </c>
      <c r="Z14" s="22"/>
      <c r="AA14" s="22"/>
      <c r="AB14" s="22"/>
      <c r="AC14" s="23">
        <f t="shared" si="7"/>
        <v>16796.5855980979</v>
      </c>
    </row>
    <row r="15" s="1" customFormat="1" spans="2:32">
      <c r="B15" s="26" t="s">
        <v>18</v>
      </c>
      <c r="C15" s="27"/>
      <c r="D15" s="26" t="s">
        <v>6</v>
      </c>
      <c r="E15" s="27"/>
      <c r="F15" s="26" t="s">
        <v>19</v>
      </c>
      <c r="G15" s="27"/>
      <c r="H15" s="26" t="s">
        <v>20</v>
      </c>
      <c r="I15" s="27"/>
      <c r="J15" s="26" t="s">
        <v>8</v>
      </c>
      <c r="K15" s="27"/>
      <c r="L15" s="26" t="s">
        <v>126</v>
      </c>
      <c r="M15" s="27"/>
      <c r="N15" s="5"/>
      <c r="P15" s="15" t="s">
        <v>75</v>
      </c>
      <c r="Q15" s="16">
        <f>82.69%*3</f>
        <v>2.4807</v>
      </c>
      <c r="R15" s="17" t="s">
        <v>69</v>
      </c>
      <c r="S15" s="18">
        <f t="shared" si="0"/>
        <v>912</v>
      </c>
      <c r="T15" s="19">
        <f t="shared" si="1"/>
        <v>2.14777192982456</v>
      </c>
      <c r="U15" s="19">
        <f t="shared" si="15"/>
        <v>1.91</v>
      </c>
      <c r="V15" s="20">
        <f t="shared" si="3"/>
        <v>2.91</v>
      </c>
      <c r="W15" s="21">
        <f>$K$16+256%</f>
        <v>2.71</v>
      </c>
      <c r="X15" s="20">
        <f t="shared" si="5"/>
        <v>0.50131926121372</v>
      </c>
      <c r="Y15" s="18">
        <f t="shared" si="6"/>
        <v>0.9</v>
      </c>
      <c r="Z15" s="22"/>
      <c r="AA15" s="22"/>
      <c r="AB15" s="22"/>
      <c r="AC15" s="23">
        <f t="shared" si="7"/>
        <v>100946.003857718</v>
      </c>
    </row>
    <row r="16" s="1" customFormat="1" spans="2:32">
      <c r="B16" s="28" t="s">
        <v>24</v>
      </c>
      <c r="C16" s="29">
        <f>412+500</f>
        <v>912</v>
      </c>
      <c r="D16" s="28" t="s">
        <v>25</v>
      </c>
      <c r="E16" s="30">
        <v>0.3</v>
      </c>
      <c r="F16" s="28" t="s">
        <v>26</v>
      </c>
      <c r="G16" s="31">
        <v>0.05</v>
      </c>
      <c r="H16" s="28" t="s">
        <v>26</v>
      </c>
      <c r="I16" s="30">
        <f>150%+16%</f>
        <v>1.66</v>
      </c>
      <c r="J16" s="32" t="s">
        <v>27</v>
      </c>
      <c r="K16" s="30">
        <v>0.15</v>
      </c>
      <c r="L16" s="28" t="s">
        <v>28</v>
      </c>
      <c r="M16" s="31">
        <f>8.6%*4</f>
        <v>0.344</v>
      </c>
      <c r="N16" s="5"/>
      <c r="P16" s="15" t="s">
        <v>94</v>
      </c>
      <c r="Q16" s="16">
        <f>62.63%*2</f>
        <v>1.2526</v>
      </c>
      <c r="R16" s="17" t="s">
        <v>30</v>
      </c>
      <c r="S16" s="18">
        <f t="shared" si="0"/>
        <v>912</v>
      </c>
      <c r="T16" s="19">
        <f t="shared" si="1"/>
        <v>2.14777192982456</v>
      </c>
      <c r="U16" s="19">
        <f>SUM($E$16:$E$20)+32%</f>
        <v>1.69</v>
      </c>
      <c r="V16" s="20">
        <f t="shared" si="3"/>
        <v>2.91</v>
      </c>
      <c r="W16" s="21">
        <f t="shared" si="16"/>
        <v>0.15</v>
      </c>
      <c r="X16" s="20">
        <f t="shared" si="5"/>
        <v>0.50131926121372</v>
      </c>
      <c r="Y16" s="18">
        <f t="shared" si="6"/>
        <v>0.9</v>
      </c>
      <c r="Z16" s="22"/>
      <c r="AA16" s="22"/>
      <c r="AB16" s="22"/>
      <c r="AC16" s="23">
        <f t="shared" si="7"/>
        <v>14605.301065534</v>
      </c>
    </row>
    <row r="17" s="1" customFormat="1" spans="2:31">
      <c r="B17" s="28" t="s">
        <v>31</v>
      </c>
      <c r="C17" s="30">
        <f>12%+12%</f>
        <v>0.24</v>
      </c>
      <c r="D17" s="28" t="s">
        <v>66</v>
      </c>
      <c r="E17" s="30">
        <f>12%+10%+15%+12%</f>
        <v>0.49</v>
      </c>
      <c r="F17" s="28" t="s">
        <v>33</v>
      </c>
      <c r="G17" s="31">
        <v>0.36</v>
      </c>
      <c r="H17" s="28" t="s">
        <v>34</v>
      </c>
      <c r="I17" s="31">
        <f>44%+M19</f>
        <v>1.25</v>
      </c>
      <c r="J17" s="33"/>
      <c r="K17" s="31"/>
      <c r="L17" s="28" t="s">
        <v>67</v>
      </c>
      <c r="M17" s="31"/>
      <c r="N17" s="5"/>
      <c r="P17" s="47" t="s">
        <v>81</v>
      </c>
      <c r="Q17" s="19">
        <f>528.41%</f>
        <v>5.2841</v>
      </c>
      <c r="R17" s="18" t="s">
        <v>82</v>
      </c>
      <c r="S17" s="18">
        <f t="shared" si="0"/>
        <v>912</v>
      </c>
      <c r="T17" s="19">
        <f t="shared" si="1"/>
        <v>2.14777192982456</v>
      </c>
      <c r="U17" s="19">
        <f>SUM($E$16:$E$20)-10%</f>
        <v>1.27</v>
      </c>
      <c r="V17" s="20">
        <f t="shared" si="3"/>
        <v>2.91</v>
      </c>
      <c r="W17" s="21">
        <f t="shared" si="16"/>
        <v>0.15</v>
      </c>
      <c r="X17" s="20">
        <f t="shared" si="5"/>
        <v>0.50131926121372</v>
      </c>
      <c r="Y17" s="18">
        <f t="shared" si="6"/>
        <v>0.9</v>
      </c>
      <c r="Z17" s="22">
        <v>2.55</v>
      </c>
      <c r="AA17" s="22"/>
      <c r="AB17" s="22"/>
      <c r="AC17" s="23">
        <f t="shared" si="7"/>
        <v>184574.229649226</v>
      </c>
      <c r="AD17" s="48" t="s">
        <v>70</v>
      </c>
      <c r="AE17" s="48">
        <v>0.9</v>
      </c>
    </row>
    <row r="18" s="1" customFormat="1" spans="2:31">
      <c r="B18" s="28" t="s">
        <v>39</v>
      </c>
      <c r="C18" s="30">
        <f>18%+18%+M16+30%</f>
        <v>1.004</v>
      </c>
      <c r="D18" s="28" t="s">
        <v>121</v>
      </c>
      <c r="E18" s="30">
        <v>0.58</v>
      </c>
      <c r="F18" s="28" t="s">
        <v>41</v>
      </c>
      <c r="G18" s="31">
        <v>0.2</v>
      </c>
      <c r="H18" s="28"/>
      <c r="I18" s="31"/>
      <c r="J18" s="33" t="s">
        <v>127</v>
      </c>
      <c r="K18" s="31">
        <v>0.25</v>
      </c>
      <c r="L18" s="28" t="s">
        <v>19</v>
      </c>
      <c r="M18" s="31">
        <f>8.1*5%</f>
        <v>0.405</v>
      </c>
      <c r="N18" s="5"/>
      <c r="P18" s="49" t="s">
        <v>22</v>
      </c>
      <c r="Q18" s="50">
        <v>1.6899</v>
      </c>
      <c r="R18" s="51" t="s">
        <v>23</v>
      </c>
      <c r="S18" s="51">
        <f t="shared" ref="S18:S20" si="17">$C$27</f>
        <v>962</v>
      </c>
      <c r="T18" s="50">
        <f t="shared" ref="T18:T20" si="18">($C$28+$C$29+$C$30+$C$31)+($C$32+$C$33)/S18</f>
        <v>1.60782536382536</v>
      </c>
      <c r="U18" s="50">
        <f t="shared" ref="U18:U25" si="19">SUM($E$27:$E$31)</f>
        <v>1.4</v>
      </c>
      <c r="V18" s="52">
        <f t="shared" ref="V18:V20" si="20">1+$G$32*($I$32-1)</f>
        <v>2.61968</v>
      </c>
      <c r="W18" s="53">
        <f t="shared" ref="W18:W20" si="21">$K$27</f>
        <v>0</v>
      </c>
      <c r="X18" s="52">
        <f t="shared" ref="X18:X20" si="22">$AE$7</f>
        <v>0.50131926121372</v>
      </c>
      <c r="Y18" s="51">
        <f t="shared" si="6"/>
        <v>0.9</v>
      </c>
      <c r="Z18" s="54"/>
      <c r="AA18" s="54"/>
      <c r="AB18" s="54"/>
      <c r="AC18" s="55">
        <f t="shared" si="7"/>
        <v>12026.2705451702</v>
      </c>
    </row>
    <row r="19" s="1" customFormat="1" spans="2:31">
      <c r="B19" s="28" t="s">
        <v>72</v>
      </c>
      <c r="C19" s="34">
        <f>25%</f>
        <v>0.25</v>
      </c>
      <c r="D19" s="28"/>
      <c r="E19" s="30"/>
      <c r="F19" s="28" t="s">
        <v>34</v>
      </c>
      <c r="G19" s="31">
        <f>M18</f>
        <v>0.405</v>
      </c>
      <c r="H19" s="28"/>
      <c r="I19" s="31"/>
      <c r="J19" s="33"/>
      <c r="K19" s="31"/>
      <c r="L19" s="28" t="s">
        <v>46</v>
      </c>
      <c r="M19" s="30">
        <f>16.2%*5</f>
        <v>0.81</v>
      </c>
      <c r="N19" s="5"/>
      <c r="P19" s="56" t="s">
        <v>30</v>
      </c>
      <c r="Q19" s="57">
        <v>2.9793</v>
      </c>
      <c r="R19" s="58" t="s">
        <v>30</v>
      </c>
      <c r="S19" s="51">
        <f t="shared" si="17"/>
        <v>962</v>
      </c>
      <c r="T19" s="50">
        <f t="shared" si="18"/>
        <v>1.60782536382536</v>
      </c>
      <c r="U19" s="50">
        <f t="shared" si="19"/>
        <v>1.4</v>
      </c>
      <c r="V19" s="52">
        <f t="shared" si="20"/>
        <v>2.61968</v>
      </c>
      <c r="W19" s="53">
        <f t="shared" si="21"/>
        <v>0</v>
      </c>
      <c r="X19" s="52">
        <f t="shared" si="22"/>
        <v>0.50131926121372</v>
      </c>
      <c r="Y19" s="51">
        <f t="shared" si="6"/>
        <v>0.9</v>
      </c>
      <c r="Z19" s="54"/>
      <c r="AA19" s="54"/>
      <c r="AB19" s="54"/>
      <c r="AC19" s="55">
        <f t="shared" si="7"/>
        <v>21202.3598054474</v>
      </c>
    </row>
    <row r="20" s="1" customFormat="1" spans="2:31">
      <c r="B20" s="28" t="s">
        <v>48</v>
      </c>
      <c r="C20" s="34">
        <v>0.27</v>
      </c>
      <c r="D20" s="28"/>
      <c r="E20" s="35"/>
      <c r="F20" s="28"/>
      <c r="G20" s="31"/>
      <c r="H20" s="28"/>
      <c r="I20" s="31"/>
      <c r="J20" s="33"/>
      <c r="K20" s="31"/>
      <c r="L20" s="28"/>
      <c r="M20" s="29"/>
      <c r="N20" s="5"/>
      <c r="P20" s="49" t="s">
        <v>38</v>
      </c>
      <c r="Q20" s="50">
        <v>2.3858</v>
      </c>
      <c r="R20" s="51" t="s">
        <v>30</v>
      </c>
      <c r="S20" s="51">
        <f t="shared" si="17"/>
        <v>962</v>
      </c>
      <c r="T20" s="50">
        <f t="shared" si="18"/>
        <v>1.60782536382536</v>
      </c>
      <c r="U20" s="50">
        <f>SUM($E$27:$E$31)+60%</f>
        <v>2</v>
      </c>
      <c r="V20" s="52">
        <f t="shared" si="20"/>
        <v>2.61968</v>
      </c>
      <c r="W20" s="53">
        <f t="shared" si="21"/>
        <v>0</v>
      </c>
      <c r="X20" s="52">
        <f t="shared" si="22"/>
        <v>0.50131926121372</v>
      </c>
      <c r="Y20" s="51">
        <f t="shared" si="6"/>
        <v>0.9</v>
      </c>
      <c r="Z20" s="54"/>
      <c r="AA20" s="54"/>
      <c r="AB20" s="54"/>
      <c r="AC20" s="55">
        <f t="shared" si="7"/>
        <v>21223.3536501176</v>
      </c>
    </row>
    <row r="21" s="1" customFormat="1" spans="2:31">
      <c r="B21" s="28" t="s">
        <v>52</v>
      </c>
      <c r="C21" s="29">
        <v>350</v>
      </c>
      <c r="D21" s="28" t="s">
        <v>76</v>
      </c>
      <c r="E21" s="30">
        <f>12%+M17+42%</f>
        <v>0.54</v>
      </c>
      <c r="F21" s="36" t="s">
        <v>53</v>
      </c>
      <c r="G21" s="37">
        <f>MIN(100%,SUM(G16:G20))</f>
        <v>1</v>
      </c>
      <c r="H21" s="36" t="s">
        <v>54</v>
      </c>
      <c r="I21" s="38">
        <f>SUM(I16:I20)</f>
        <v>2.91</v>
      </c>
      <c r="J21" s="33"/>
      <c r="K21" s="31"/>
      <c r="L21" s="28"/>
      <c r="M21" s="29"/>
      <c r="N21" s="5"/>
      <c r="P21" s="82" t="s">
        <v>128</v>
      </c>
      <c r="Q21" s="83">
        <f>139.31%+46.44%*3</f>
        <v>2.7863</v>
      </c>
      <c r="R21" s="84" t="s">
        <v>30</v>
      </c>
      <c r="S21" s="84">
        <f>$C$4</f>
        <v>963</v>
      </c>
      <c r="T21" s="83">
        <f>($C$5+$C$6+$C$7+$C$8)+($C$9+$C$11)/S21</f>
        <v>1.68544755970924</v>
      </c>
      <c r="U21" s="83">
        <f>SUM($E$4:$E$8)</f>
        <v>1.13</v>
      </c>
      <c r="V21" s="85">
        <f>1+$G$9*($I$9-1)</f>
        <v>2.3615</v>
      </c>
      <c r="W21" s="86">
        <f>$K$4</f>
        <v>0</v>
      </c>
      <c r="X21" s="85">
        <f>$AE$3</f>
        <v>0.50131926121372</v>
      </c>
      <c r="Y21" s="84">
        <f t="shared" si="6"/>
        <v>0.9</v>
      </c>
      <c r="Z21" s="87">
        <v>0</v>
      </c>
      <c r="AA21" s="87">
        <v>0</v>
      </c>
      <c r="AB21" s="87">
        <v>0</v>
      </c>
      <c r="AC21" s="88">
        <f t="shared" si="7"/>
        <v>16352.919238615</v>
      </c>
    </row>
    <row r="22" s="1" customFormat="1" spans="2:31">
      <c r="B22" s="39" t="s">
        <v>56</v>
      </c>
      <c r="C22" s="40"/>
      <c r="D22" s="39" t="s">
        <v>77</v>
      </c>
      <c r="E22" s="41">
        <v>0.42</v>
      </c>
      <c r="F22" s="39"/>
      <c r="G22" s="42"/>
      <c r="H22" s="39"/>
      <c r="I22" s="40"/>
      <c r="J22" s="43"/>
      <c r="K22" s="42"/>
      <c r="L22" s="39"/>
      <c r="M22" s="40"/>
      <c r="N22" s="5"/>
      <c r="P22" s="49" t="s">
        <v>44</v>
      </c>
      <c r="Q22" s="50">
        <v>8.7477</v>
      </c>
      <c r="R22" s="51" t="s">
        <v>44</v>
      </c>
      <c r="S22" s="51">
        <f t="shared" ref="S22:S25" si="23">$C$27</f>
        <v>962</v>
      </c>
      <c r="T22" s="50">
        <f t="shared" ref="T22:T25" si="24">($C$28+$C$29+$C$30+$C$31)+($C$32+$C$33)/S22</f>
        <v>1.60782536382536</v>
      </c>
      <c r="U22" s="50">
        <f>SUM($E$27:$E$31)+40%</f>
        <v>1.8</v>
      </c>
      <c r="V22" s="52">
        <f t="shared" ref="V22:V25" si="25">1+$G$32*($I$32-1)</f>
        <v>2.61968</v>
      </c>
      <c r="W22" s="53">
        <f t="shared" ref="W22:W25" si="26">$K$27</f>
        <v>0</v>
      </c>
      <c r="X22" s="52">
        <f t="shared" ref="X22:X25" si="27">$AE$7</f>
        <v>0.50131926121372</v>
      </c>
      <c r="Y22" s="51">
        <f t="shared" si="6"/>
        <v>0.9</v>
      </c>
      <c r="Z22" s="54"/>
      <c r="AA22" s="54"/>
      <c r="AB22" s="54"/>
      <c r="AC22" s="55">
        <f t="shared" si="7"/>
        <v>72629.0952064123</v>
      </c>
    </row>
    <row r="23" s="1" customFormat="1" spans="2:31">
      <c r="B23" s="44"/>
      <c r="C23" s="44"/>
      <c r="D23" s="44"/>
      <c r="E23" s="45"/>
      <c r="F23" s="44"/>
      <c r="G23" s="46"/>
      <c r="H23" s="44"/>
      <c r="I23" s="44"/>
      <c r="J23" s="46"/>
      <c r="K23" s="46"/>
      <c r="L23" s="44"/>
      <c r="M23" s="44"/>
      <c r="N23" s="5"/>
      <c r="P23" s="56" t="s">
        <v>69</v>
      </c>
      <c r="Q23" s="57">
        <v>0.9635</v>
      </c>
      <c r="R23" s="58" t="s">
        <v>69</v>
      </c>
      <c r="S23" s="51">
        <f t="shared" si="23"/>
        <v>962</v>
      </c>
      <c r="T23" s="50">
        <f t="shared" si="24"/>
        <v>1.60782536382536</v>
      </c>
      <c r="U23" s="50">
        <f t="shared" si="19"/>
        <v>1.4</v>
      </c>
      <c r="V23" s="52">
        <f t="shared" si="25"/>
        <v>2.61968</v>
      </c>
      <c r="W23" s="53">
        <f t="shared" si="26"/>
        <v>0</v>
      </c>
      <c r="X23" s="52">
        <f t="shared" si="27"/>
        <v>0.50131926121372</v>
      </c>
      <c r="Y23" s="51">
        <f t="shared" si="6"/>
        <v>0.9</v>
      </c>
      <c r="Z23" s="54"/>
      <c r="AA23" s="54"/>
      <c r="AB23" s="54"/>
      <c r="AC23" s="55">
        <f t="shared" si="7"/>
        <v>6856.80316602845</v>
      </c>
    </row>
    <row r="24" s="1" customFormat="1" spans="2:31">
      <c r="B24" s="44"/>
      <c r="C24" s="44"/>
      <c r="D24" s="44"/>
      <c r="E24" s="45"/>
      <c r="F24" s="44"/>
      <c r="G24" s="46"/>
      <c r="H24" s="44"/>
      <c r="I24" s="44"/>
      <c r="J24" s="46"/>
      <c r="K24" s="46"/>
      <c r="L24" s="44"/>
      <c r="M24" s="44"/>
      <c r="N24" s="5"/>
      <c r="P24" s="49" t="s">
        <v>69</v>
      </c>
      <c r="Q24" s="50">
        <v>0.7605</v>
      </c>
      <c r="R24" s="51" t="s">
        <v>69</v>
      </c>
      <c r="S24" s="51">
        <f t="shared" si="23"/>
        <v>962</v>
      </c>
      <c r="T24" s="50">
        <f t="shared" si="24"/>
        <v>1.60782536382536</v>
      </c>
      <c r="U24" s="50">
        <f t="shared" si="19"/>
        <v>1.4</v>
      </c>
      <c r="V24" s="52">
        <f t="shared" si="25"/>
        <v>2.61968</v>
      </c>
      <c r="W24" s="53">
        <f t="shared" si="26"/>
        <v>0</v>
      </c>
      <c r="X24" s="52">
        <f t="shared" si="27"/>
        <v>0.50131926121372</v>
      </c>
      <c r="Y24" s="51">
        <f t="shared" si="6"/>
        <v>0.9</v>
      </c>
      <c r="Z24" s="54"/>
      <c r="AA24" s="54"/>
      <c r="AB24" s="54"/>
      <c r="AC24" s="55">
        <f t="shared" si="7"/>
        <v>5412.14199041478</v>
      </c>
    </row>
    <row r="25" s="1" customFormat="1" ht="15" spans="2:31">
      <c r="B25" s="25" t="s">
        <v>129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5"/>
      <c r="P25" s="56" t="s">
        <v>69</v>
      </c>
      <c r="Q25" s="57">
        <v>1.2675</v>
      </c>
      <c r="R25" s="58" t="s">
        <v>69</v>
      </c>
      <c r="S25" s="51">
        <f t="shared" si="23"/>
        <v>962</v>
      </c>
      <c r="T25" s="50">
        <f t="shared" si="24"/>
        <v>1.60782536382536</v>
      </c>
      <c r="U25" s="50">
        <f t="shared" si="19"/>
        <v>1.4</v>
      </c>
      <c r="V25" s="52">
        <f t="shared" si="25"/>
        <v>2.61968</v>
      </c>
      <c r="W25" s="53">
        <f t="shared" si="26"/>
        <v>0</v>
      </c>
      <c r="X25" s="52">
        <f t="shared" si="27"/>
        <v>0.50131926121372</v>
      </c>
      <c r="Y25" s="51">
        <f t="shared" si="6"/>
        <v>0.9</v>
      </c>
      <c r="Z25" s="54"/>
      <c r="AA25" s="54"/>
      <c r="AB25" s="54"/>
      <c r="AC25" s="55">
        <f t="shared" si="7"/>
        <v>9020.23665069129</v>
      </c>
    </row>
    <row r="26" s="1" customFormat="1" spans="2:31">
      <c r="B26" s="26" t="s">
        <v>18</v>
      </c>
      <c r="C26" s="27"/>
      <c r="D26" s="26" t="s">
        <v>6</v>
      </c>
      <c r="E26" s="27"/>
      <c r="F26" s="26" t="s">
        <v>19</v>
      </c>
      <c r="G26" s="27"/>
      <c r="H26" s="26" t="s">
        <v>20</v>
      </c>
      <c r="I26" s="27"/>
      <c r="J26" s="26" t="s">
        <v>8</v>
      </c>
      <c r="K26" s="27"/>
      <c r="L26" s="26" t="s">
        <v>21</v>
      </c>
      <c r="M26" s="27"/>
      <c r="N26" s="5"/>
      <c r="P26" s="15" t="s">
        <v>94</v>
      </c>
      <c r="Q26" s="16">
        <f>62.63%*2</f>
        <v>1.2526</v>
      </c>
      <c r="R26" s="17" t="s">
        <v>30</v>
      </c>
      <c r="S26" s="18">
        <f>$C$16</f>
        <v>912</v>
      </c>
      <c r="T26" s="19">
        <f>($C$17+$C$18+$C$19+$C$20)+($C$21+$C$22)/S26-27%</f>
        <v>1.87777192982456</v>
      </c>
      <c r="U26" s="19">
        <f>SUM($E$16:$E$20)-10%</f>
        <v>1.27</v>
      </c>
      <c r="V26" s="20">
        <f>1+$G$21*($I$21-1)</f>
        <v>2.91</v>
      </c>
      <c r="W26" s="21"/>
      <c r="X26" s="20">
        <f>$AE$8</f>
        <v>0.50131926121372</v>
      </c>
      <c r="Y26" s="18">
        <f t="shared" si="6"/>
        <v>0.9</v>
      </c>
      <c r="Z26" s="22"/>
      <c r="AA26" s="22"/>
      <c r="AB26" s="22"/>
      <c r="AC26" s="23">
        <f t="shared" si="7"/>
        <v>9798.04352616208</v>
      </c>
    </row>
    <row r="27" s="1" customFormat="1" spans="2:31">
      <c r="B27" s="28" t="s">
        <v>24</v>
      </c>
      <c r="C27" s="29">
        <f>375+587</f>
        <v>962</v>
      </c>
      <c r="D27" s="28" t="s">
        <v>25</v>
      </c>
      <c r="E27" s="30">
        <v>0.6</v>
      </c>
      <c r="F27" s="28" t="s">
        <v>26</v>
      </c>
      <c r="G27" s="31">
        <v>0.05</v>
      </c>
      <c r="H27" s="28" t="s">
        <v>26</v>
      </c>
      <c r="I27" s="30">
        <f>150%+16%</f>
        <v>1.66</v>
      </c>
      <c r="J27" s="32" t="s">
        <v>27</v>
      </c>
      <c r="K27" s="30"/>
      <c r="L27" s="28" t="s">
        <v>28</v>
      </c>
      <c r="M27" s="31">
        <f>8.6%*4</f>
        <v>0.344</v>
      </c>
      <c r="N27" s="5"/>
      <c r="P27" s="49" t="s">
        <v>30</v>
      </c>
      <c r="Q27" s="50">
        <v>2.9793</v>
      </c>
      <c r="R27" s="51" t="s">
        <v>30</v>
      </c>
      <c r="S27" s="51">
        <f>$C$27</f>
        <v>962</v>
      </c>
      <c r="T27" s="50">
        <f>($C$28+$C$29+$C$30+$C$31)+($C$32+$C$33)/S27</f>
        <v>1.60782536382536</v>
      </c>
      <c r="U27" s="50">
        <f>SUM($E$27:$E$31)</f>
        <v>1.4</v>
      </c>
      <c r="V27" s="52">
        <f>1+$G$32*($I$32-1)</f>
        <v>2.61968</v>
      </c>
      <c r="W27" s="53">
        <f>$K$27</f>
        <v>0</v>
      </c>
      <c r="X27" s="52">
        <f>$AE$7</f>
        <v>0.50131926121372</v>
      </c>
      <c r="Y27" s="51">
        <f t="shared" si="6"/>
        <v>0.9</v>
      </c>
      <c r="Z27" s="54"/>
      <c r="AA27" s="54"/>
      <c r="AB27" s="54"/>
      <c r="AC27" s="55">
        <f t="shared" si="7"/>
        <v>21202.3598054474</v>
      </c>
    </row>
    <row r="28" s="1" customFormat="1" spans="2:31">
      <c r="B28" s="28" t="s">
        <v>31</v>
      </c>
      <c r="C28" s="30">
        <f>12%+12%</f>
        <v>0.24</v>
      </c>
      <c r="D28" s="28" t="s">
        <v>66</v>
      </c>
      <c r="E28" s="30">
        <f>12%+20%</f>
        <v>0.32</v>
      </c>
      <c r="F28" s="28" t="s">
        <v>33</v>
      </c>
      <c r="G28" s="31">
        <v>0.243</v>
      </c>
      <c r="H28" s="28" t="s">
        <v>34</v>
      </c>
      <c r="I28" s="31">
        <f>44%+M30</f>
        <v>1.25</v>
      </c>
      <c r="J28" s="33"/>
      <c r="K28" s="31"/>
      <c r="L28" s="28" t="s">
        <v>30</v>
      </c>
      <c r="M28" s="31"/>
      <c r="N28" s="5"/>
      <c r="P28" s="56" t="s">
        <v>30</v>
      </c>
      <c r="Q28" s="57">
        <v>2.3858</v>
      </c>
      <c r="R28" s="58" t="s">
        <v>30</v>
      </c>
      <c r="S28" s="51">
        <f>$C$27</f>
        <v>962</v>
      </c>
      <c r="T28" s="50">
        <f>($C$28+$C$29+$C$30+$C$31)+($C$32+$C$33)/S28</f>
        <v>1.60782536382536</v>
      </c>
      <c r="U28" s="50">
        <f>SUM($E$27:$E$31)+60%</f>
        <v>2</v>
      </c>
      <c r="V28" s="52">
        <f>1+$G$32*($I$32-1)</f>
        <v>2.61968</v>
      </c>
      <c r="W28" s="53">
        <f>$K$27</f>
        <v>0</v>
      </c>
      <c r="X28" s="52">
        <f>$AE$7</f>
        <v>0.50131926121372</v>
      </c>
      <c r="Y28" s="51">
        <f t="shared" si="6"/>
        <v>0.9</v>
      </c>
      <c r="Z28" s="54"/>
      <c r="AA28" s="54"/>
      <c r="AB28" s="54"/>
      <c r="AC28" s="55">
        <f t="shared" si="7"/>
        <v>21223.3536501176</v>
      </c>
    </row>
    <row r="29" s="1" customFormat="1" spans="2:31">
      <c r="B29" s="28" t="s">
        <v>39</v>
      </c>
      <c r="C29" s="30">
        <f>18%+18%+M27</f>
        <v>0.704</v>
      </c>
      <c r="D29" s="28" t="s">
        <v>121</v>
      </c>
      <c r="E29" s="30">
        <v>0.48</v>
      </c>
      <c r="F29" s="28" t="s">
        <v>80</v>
      </c>
      <c r="G29" s="31">
        <v>0.15</v>
      </c>
      <c r="H29" s="28"/>
      <c r="I29" s="31"/>
      <c r="J29" s="33"/>
      <c r="K29" s="31"/>
      <c r="L29" s="28" t="s">
        <v>19</v>
      </c>
      <c r="M29" s="31">
        <f>8.1*5%</f>
        <v>0.405</v>
      </c>
      <c r="N29" s="5"/>
      <c r="P29" s="56" t="s">
        <v>83</v>
      </c>
      <c r="Q29" s="57"/>
      <c r="R29" s="58"/>
      <c r="S29" s="51"/>
      <c r="T29" s="50"/>
      <c r="U29" s="50"/>
      <c r="V29" s="52"/>
      <c r="W29" s="53"/>
      <c r="X29" s="52"/>
      <c r="Y29" s="51"/>
      <c r="Z29" s="54"/>
      <c r="AA29" s="54"/>
      <c r="AB29" s="54"/>
      <c r="AC29" s="55">
        <v>2000</v>
      </c>
    </row>
    <row r="30" s="1" customFormat="1" spans="2:31">
      <c r="B30" s="28" t="s">
        <v>130</v>
      </c>
      <c r="C30" s="34">
        <v>0.15</v>
      </c>
      <c r="D30" s="28" t="s">
        <v>73</v>
      </c>
      <c r="E30" s="30"/>
      <c r="F30" s="28" t="s">
        <v>34</v>
      </c>
      <c r="G30" s="31">
        <f>M29</f>
        <v>0.405</v>
      </c>
      <c r="H30" s="28"/>
      <c r="I30" s="31"/>
      <c r="J30" s="33"/>
      <c r="K30" s="31"/>
      <c r="L30" s="28" t="s">
        <v>46</v>
      </c>
      <c r="M30" s="30">
        <f>16.2%*5</f>
        <v>0.81</v>
      </c>
      <c r="N30" s="5"/>
      <c r="P30" s="82" t="s">
        <v>22</v>
      </c>
      <c r="Q30" s="83">
        <f>22.48%*10</f>
        <v>2.248</v>
      </c>
      <c r="R30" s="84" t="s">
        <v>23</v>
      </c>
      <c r="S30" s="84">
        <f t="shared" ref="S30:S36" si="28">$C$4</f>
        <v>963</v>
      </c>
      <c r="T30" s="83">
        <f t="shared" ref="T30:T36" si="29">($C$5+$C$6+$C$7+$C$8)+($C$9+$C$11)/S30</f>
        <v>1.68544755970924</v>
      </c>
      <c r="U30" s="83">
        <f t="shared" ref="U30:U36" si="30">SUM($E$4:$E$8)</f>
        <v>1.13</v>
      </c>
      <c r="V30" s="85">
        <f t="shared" ref="V30:V36" si="31">1+$G$9*($I$9-1)</f>
        <v>2.3615</v>
      </c>
      <c r="W30" s="86">
        <f t="shared" ref="W30:W36" si="32">$K$4</f>
        <v>0</v>
      </c>
      <c r="X30" s="85">
        <f t="shared" ref="X30:X36" si="33">$AE$3</f>
        <v>0.50131926121372</v>
      </c>
      <c r="Y30" s="84">
        <f t="shared" ref="Y30:Y36" si="34">$AE$17</f>
        <v>0.9</v>
      </c>
      <c r="Z30" s="87">
        <v>0</v>
      </c>
      <c r="AA30" s="87">
        <v>0</v>
      </c>
      <c r="AB30" s="87">
        <v>0</v>
      </c>
      <c r="AC30" s="88">
        <f t="shared" ref="AC30:AC36" si="35">Q30*S30*(1+T30)*(1+U30)*V30*(1+W30)*X30*Y30*(1+Z30)*(1+AA30)*(1+AB30)</f>
        <v>13193.6124783428</v>
      </c>
    </row>
    <row r="31" s="1" customFormat="1" spans="2:31">
      <c r="B31" s="28" t="s">
        <v>45</v>
      </c>
      <c r="C31" s="34">
        <v>0.15</v>
      </c>
      <c r="D31" s="28"/>
      <c r="E31" s="35"/>
      <c r="F31" s="28"/>
      <c r="G31" s="31"/>
      <c r="H31" s="28"/>
      <c r="I31" s="31"/>
      <c r="J31" s="33"/>
      <c r="K31" s="31"/>
      <c r="L31" s="28"/>
      <c r="M31" s="29"/>
      <c r="N31" s="5"/>
      <c r="P31" s="82" t="s">
        <v>131</v>
      </c>
      <c r="Q31" s="83">
        <f>87.48%*10</f>
        <v>8.748</v>
      </c>
      <c r="R31" s="84" t="s">
        <v>44</v>
      </c>
      <c r="S31" s="84">
        <f t="shared" si="28"/>
        <v>963</v>
      </c>
      <c r="T31" s="83">
        <f t="shared" si="29"/>
        <v>1.68544755970924</v>
      </c>
      <c r="U31" s="83">
        <f t="shared" si="30"/>
        <v>1.13</v>
      </c>
      <c r="V31" s="85">
        <f t="shared" si="31"/>
        <v>2.3615</v>
      </c>
      <c r="W31" s="86">
        <f t="shared" si="32"/>
        <v>0</v>
      </c>
      <c r="X31" s="85">
        <f t="shared" si="33"/>
        <v>0.50131926121372</v>
      </c>
      <c r="Y31" s="84">
        <f t="shared" si="34"/>
        <v>0.9</v>
      </c>
      <c r="Z31" s="87">
        <v>0</v>
      </c>
      <c r="AA31" s="87">
        <v>0</v>
      </c>
      <c r="AB31" s="87">
        <v>0</v>
      </c>
      <c r="AC31" s="88">
        <f t="shared" si="35"/>
        <v>51342.4030073587</v>
      </c>
    </row>
    <row r="32" s="1" customFormat="1" spans="2:31">
      <c r="B32" s="28" t="s">
        <v>52</v>
      </c>
      <c r="C32" s="29">
        <v>350</v>
      </c>
      <c r="D32" s="28" t="s">
        <v>76</v>
      </c>
      <c r="E32" s="30"/>
      <c r="F32" s="36" t="s">
        <v>53</v>
      </c>
      <c r="G32" s="37">
        <f>MIN(100%,SUM(G27:G31))</f>
        <v>0.848</v>
      </c>
      <c r="H32" s="36" t="s">
        <v>54</v>
      </c>
      <c r="I32" s="38">
        <f>SUM(I27:I31)</f>
        <v>2.91</v>
      </c>
      <c r="J32" s="33"/>
      <c r="K32" s="31"/>
      <c r="L32" s="28"/>
      <c r="M32" s="29"/>
      <c r="N32" s="5"/>
      <c r="P32" s="82" t="s">
        <v>132</v>
      </c>
      <c r="Q32" s="83">
        <f>277.78%*2</f>
        <v>5.5556</v>
      </c>
      <c r="R32" s="84" t="s">
        <v>38</v>
      </c>
      <c r="S32" s="84">
        <f t="shared" si="28"/>
        <v>963</v>
      </c>
      <c r="T32" s="83">
        <f t="shared" si="29"/>
        <v>1.68544755970924</v>
      </c>
      <c r="U32" s="83">
        <f t="shared" ref="U32:U34" si="36">SUM($E$4:$E$9)</f>
        <v>1.662</v>
      </c>
      <c r="V32" s="85">
        <f t="shared" si="31"/>
        <v>2.3615</v>
      </c>
      <c r="W32" s="86">
        <f t="shared" si="32"/>
        <v>0</v>
      </c>
      <c r="X32" s="85">
        <f t="shared" si="33"/>
        <v>0.50131926121372</v>
      </c>
      <c r="Y32" s="84">
        <f t="shared" si="34"/>
        <v>0.9</v>
      </c>
      <c r="Z32" s="87">
        <v>0</v>
      </c>
      <c r="AA32" s="87">
        <v>0</v>
      </c>
      <c r="AB32" s="87">
        <v>0</v>
      </c>
      <c r="AC32" s="88">
        <f t="shared" si="35"/>
        <v>40749.9268909288</v>
      </c>
    </row>
    <row r="33" s="1" customFormat="1" spans="2:29">
      <c r="B33" s="39" t="s">
        <v>56</v>
      </c>
      <c r="C33" s="40"/>
      <c r="D33" s="39" t="s">
        <v>77</v>
      </c>
      <c r="E33" s="41"/>
      <c r="F33" s="39"/>
      <c r="G33" s="42"/>
      <c r="H33" s="39"/>
      <c r="I33" s="40"/>
      <c r="J33" s="43"/>
      <c r="K33" s="42"/>
      <c r="L33" s="39"/>
      <c r="M33" s="40"/>
      <c r="N33" s="5"/>
      <c r="P33" s="82" t="s">
        <v>133</v>
      </c>
      <c r="Q33" s="83">
        <f>33.8%*3+16.9%*6+13.1%*8</f>
        <v>3.076</v>
      </c>
      <c r="R33" s="84" t="s">
        <v>38</v>
      </c>
      <c r="S33" s="84">
        <f t="shared" si="28"/>
        <v>963</v>
      </c>
      <c r="T33" s="83">
        <f t="shared" si="29"/>
        <v>1.68544755970924</v>
      </c>
      <c r="U33" s="83">
        <f t="shared" si="36"/>
        <v>1.662</v>
      </c>
      <c r="V33" s="85">
        <f t="shared" si="31"/>
        <v>2.3615</v>
      </c>
      <c r="W33" s="86">
        <f t="shared" si="32"/>
        <v>0</v>
      </c>
      <c r="X33" s="85">
        <f t="shared" si="33"/>
        <v>0.50131926121372</v>
      </c>
      <c r="Y33" s="84">
        <f t="shared" si="34"/>
        <v>0.9</v>
      </c>
      <c r="Z33" s="87">
        <v>0</v>
      </c>
      <c r="AA33" s="87">
        <v>0</v>
      </c>
      <c r="AB33" s="87">
        <v>0</v>
      </c>
      <c r="AC33" s="88">
        <f t="shared" si="35"/>
        <v>22562.2390230573</v>
      </c>
    </row>
    <row r="34" s="1" customFormat="1" spans="2:29">
      <c r="B34" s="44"/>
      <c r="C34" s="44"/>
      <c r="D34" s="44"/>
      <c r="E34" s="45"/>
      <c r="F34" s="44"/>
      <c r="G34" s="46"/>
      <c r="H34" s="44"/>
      <c r="I34" s="44"/>
      <c r="J34" s="46"/>
      <c r="K34" s="46"/>
      <c r="L34" s="44"/>
      <c r="M34" s="44"/>
      <c r="N34" s="5"/>
      <c r="P34" s="82" t="s">
        <v>134</v>
      </c>
      <c r="Q34" s="83">
        <v>12.1672</v>
      </c>
      <c r="R34" s="84" t="s">
        <v>38</v>
      </c>
      <c r="S34" s="84">
        <f t="shared" si="28"/>
        <v>963</v>
      </c>
      <c r="T34" s="83">
        <f t="shared" si="29"/>
        <v>1.68544755970924</v>
      </c>
      <c r="U34" s="83">
        <f t="shared" si="36"/>
        <v>1.662</v>
      </c>
      <c r="V34" s="85">
        <f t="shared" si="31"/>
        <v>2.3615</v>
      </c>
      <c r="W34" s="86">
        <f t="shared" si="32"/>
        <v>0</v>
      </c>
      <c r="X34" s="85">
        <f t="shared" si="33"/>
        <v>0.50131926121372</v>
      </c>
      <c r="Y34" s="84">
        <f t="shared" si="34"/>
        <v>0.9</v>
      </c>
      <c r="Z34" s="87">
        <v>0</v>
      </c>
      <c r="AA34" s="87">
        <v>0</v>
      </c>
      <c r="AB34" s="87">
        <v>0</v>
      </c>
      <c r="AC34" s="88">
        <f t="shared" si="35"/>
        <v>89245.5379198122</v>
      </c>
    </row>
    <row r="35" s="1" customFormat="1" ht="15" spans="2:29">
      <c r="B35" s="59" t="s">
        <v>84</v>
      </c>
      <c r="C35" s="5"/>
      <c r="D35" s="5"/>
      <c r="E35" s="5"/>
      <c r="F35" s="5"/>
      <c r="G35" s="6"/>
      <c r="H35" s="5"/>
      <c r="I35" s="5"/>
      <c r="J35" s="5"/>
      <c r="K35" s="5"/>
      <c r="L35" s="5"/>
      <c r="M35" s="5"/>
      <c r="N35" s="5"/>
      <c r="P35" s="82" t="s">
        <v>135</v>
      </c>
      <c r="Q35" s="83">
        <v>1</v>
      </c>
      <c r="R35" s="84" t="s">
        <v>82</v>
      </c>
      <c r="S35" s="84">
        <f t="shared" si="28"/>
        <v>963</v>
      </c>
      <c r="T35" s="83">
        <f t="shared" si="29"/>
        <v>1.68544755970924</v>
      </c>
      <c r="U35" s="83">
        <f t="shared" si="30"/>
        <v>1.13</v>
      </c>
      <c r="V35" s="85">
        <f t="shared" si="31"/>
        <v>2.3615</v>
      </c>
      <c r="W35" s="86">
        <f t="shared" si="32"/>
        <v>0</v>
      </c>
      <c r="X35" s="85">
        <f t="shared" si="33"/>
        <v>0.50131926121372</v>
      </c>
      <c r="Y35" s="84">
        <f t="shared" si="34"/>
        <v>0.9</v>
      </c>
      <c r="Z35" s="87">
        <v>0</v>
      </c>
      <c r="AA35" s="87">
        <v>0</v>
      </c>
      <c r="AB35" s="87">
        <v>0</v>
      </c>
      <c r="AC35" s="88">
        <f t="shared" si="35"/>
        <v>5869.04469677169</v>
      </c>
    </row>
    <row r="36" s="1" customFormat="1" ht="20" customHeight="1" spans="2:29">
      <c r="B36" s="60"/>
      <c r="C36" s="60" t="s">
        <v>86</v>
      </c>
      <c r="D36" s="60" t="s">
        <v>87</v>
      </c>
      <c r="E36" s="60" t="s">
        <v>88</v>
      </c>
      <c r="F36" s="61"/>
      <c r="G36" s="6"/>
      <c r="H36" s="5"/>
      <c r="I36" s="5"/>
      <c r="J36" s="5"/>
      <c r="K36" s="5"/>
      <c r="L36" s="5"/>
      <c r="M36" s="5"/>
      <c r="N36" s="5"/>
      <c r="P36" s="82" t="s">
        <v>136</v>
      </c>
      <c r="Q36" s="83">
        <f>27.36%*10</f>
        <v>2.736</v>
      </c>
      <c r="R36" s="84" t="s">
        <v>61</v>
      </c>
      <c r="S36" s="84">
        <f t="shared" si="28"/>
        <v>963</v>
      </c>
      <c r="T36" s="83">
        <f t="shared" si="29"/>
        <v>1.68544755970924</v>
      </c>
      <c r="U36" s="83">
        <f t="shared" si="30"/>
        <v>1.13</v>
      </c>
      <c r="V36" s="85">
        <f t="shared" si="31"/>
        <v>2.3615</v>
      </c>
      <c r="W36" s="86">
        <f t="shared" si="32"/>
        <v>0</v>
      </c>
      <c r="X36" s="85">
        <f t="shared" si="33"/>
        <v>0.50131926121372</v>
      </c>
      <c r="Y36" s="84">
        <f t="shared" si="34"/>
        <v>0.9</v>
      </c>
      <c r="Z36" s="87">
        <v>0</v>
      </c>
      <c r="AA36" s="87">
        <v>0</v>
      </c>
      <c r="AB36" s="87">
        <v>0</v>
      </c>
      <c r="AC36" s="88">
        <f t="shared" si="35"/>
        <v>16057.7062903673</v>
      </c>
    </row>
    <row r="37" s="1" customFormat="1" ht="20" customHeight="1" spans="2:29">
      <c r="B37" s="62" t="s">
        <v>121</v>
      </c>
      <c r="C37" s="62">
        <f>SUM(AC30:AC39)+AC21</f>
        <v>368821.619017549</v>
      </c>
      <c r="D37" s="62">
        <f>C37/E37</f>
        <v>14752.864760702</v>
      </c>
      <c r="E37" s="61">
        <v>25</v>
      </c>
      <c r="F37" s="61"/>
      <c r="G37" s="6"/>
      <c r="H37" s="5"/>
      <c r="I37" s="5"/>
      <c r="J37" s="5"/>
      <c r="K37" s="5"/>
      <c r="L37" s="5"/>
      <c r="M37" s="5"/>
      <c r="N37" s="5"/>
      <c r="P37" s="82"/>
      <c r="Q37" s="83"/>
      <c r="R37" s="84"/>
      <c r="S37" s="84"/>
      <c r="T37" s="83"/>
      <c r="U37" s="83"/>
      <c r="V37" s="85"/>
      <c r="W37" s="86"/>
      <c r="X37" s="85"/>
      <c r="Y37" s="84"/>
      <c r="Z37" s="87"/>
      <c r="AA37" s="87"/>
      <c r="AB37" s="87"/>
      <c r="AC37" s="88"/>
    </row>
    <row r="38" s="1" customFormat="1" ht="20" customHeight="1" spans="2:29">
      <c r="B38" s="62" t="s">
        <v>63</v>
      </c>
      <c r="C38" s="62">
        <f>SUM(AC3:AC17)+AC26+AC40</f>
        <v>1016990.92023135</v>
      </c>
      <c r="D38" s="62">
        <f>C38/E37</f>
        <v>40679.6368092538</v>
      </c>
      <c r="E38" s="6"/>
      <c r="F38" s="5"/>
      <c r="G38" s="6"/>
      <c r="H38" s="5"/>
      <c r="I38" s="5"/>
      <c r="J38" s="5"/>
      <c r="K38" s="5"/>
      <c r="L38" s="5"/>
      <c r="M38" s="5"/>
      <c r="N38" s="5"/>
      <c r="P38" s="82"/>
      <c r="Q38" s="83"/>
      <c r="R38" s="84"/>
      <c r="S38" s="84"/>
      <c r="T38" s="83"/>
      <c r="U38" s="83"/>
      <c r="V38" s="85"/>
      <c r="W38" s="86"/>
      <c r="X38" s="85"/>
      <c r="Y38" s="84"/>
      <c r="Z38" s="87"/>
      <c r="AA38" s="87"/>
      <c r="AB38" s="87"/>
      <c r="AC38" s="88"/>
    </row>
    <row r="39" s="1" customFormat="1" ht="20" customHeight="1" spans="2:29">
      <c r="B39" s="62" t="s">
        <v>79</v>
      </c>
      <c r="C39" s="62">
        <f>SUM(AC18:AC29)-AC21</f>
        <v>202594.017996009</v>
      </c>
      <c r="D39" s="62">
        <f>C39/E37</f>
        <v>8103.76071984037</v>
      </c>
      <c r="E39" s="5"/>
      <c r="F39" s="5"/>
      <c r="G39" s="6"/>
      <c r="H39" s="5"/>
      <c r="I39" s="5"/>
      <c r="J39" s="5"/>
      <c r="K39" s="5"/>
      <c r="L39" s="5"/>
      <c r="M39" s="5"/>
      <c r="N39" s="5"/>
      <c r="P39" s="82" t="s">
        <v>137</v>
      </c>
      <c r="Q39" s="83">
        <v>18.8075</v>
      </c>
      <c r="R39" s="84" t="s">
        <v>138</v>
      </c>
      <c r="S39" s="84">
        <v>10027</v>
      </c>
      <c r="T39" s="83">
        <v>0</v>
      </c>
      <c r="U39" s="83">
        <v>0</v>
      </c>
      <c r="V39" s="85">
        <v>1</v>
      </c>
      <c r="W39" s="86">
        <v>0</v>
      </c>
      <c r="X39" s="85">
        <f>$AE$3</f>
        <v>0.50131926121372</v>
      </c>
      <c r="Y39" s="84">
        <v>0.8</v>
      </c>
      <c r="Z39" s="87">
        <v>0</v>
      </c>
      <c r="AA39" s="87">
        <v>0</v>
      </c>
      <c r="AB39" s="87">
        <v>0.5</v>
      </c>
      <c r="AC39" s="88">
        <f>Q39*S39*(1+T39)*(1+U39)*V39*(1+W39)*X39*Y39*(1+Z39)*(1+AA39)*(1+AB39)</f>
        <v>113448.229472296</v>
      </c>
    </row>
    <row r="40" s="1" customFormat="1" ht="20" customHeight="1" spans="2:29">
      <c r="B40" s="62" t="s">
        <v>89</v>
      </c>
      <c r="C40" s="62">
        <f>D40*E37</f>
        <v>52100</v>
      </c>
      <c r="D40" s="62">
        <v>2084</v>
      </c>
      <c r="E40" s="5"/>
      <c r="F40" s="5"/>
      <c r="G40" s="6"/>
      <c r="H40" s="5"/>
      <c r="I40" s="5"/>
      <c r="J40" s="5"/>
      <c r="K40" s="5"/>
      <c r="L40" s="5"/>
      <c r="M40" s="5"/>
      <c r="N40" s="5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="1" customFormat="1" ht="20" customHeight="1" spans="2:29">
      <c r="B41" s="62" t="s">
        <v>90</v>
      </c>
      <c r="C41" s="62">
        <f>C37+C38+C39+C40</f>
        <v>1640506.5572449</v>
      </c>
      <c r="D41" s="62">
        <f>C41/E37</f>
        <v>65620.2622897962</v>
      </c>
      <c r="E41" s="5"/>
      <c r="F41" s="5"/>
      <c r="G41" s="6"/>
      <c r="H41" s="5"/>
      <c r="I41" s="5"/>
      <c r="J41" s="5"/>
      <c r="K41" s="5"/>
      <c r="L41" s="5"/>
      <c r="M41" s="5"/>
      <c r="N41" s="5"/>
      <c r="Q41" s="2"/>
      <c r="U41" s="2"/>
      <c r="V41" s="3"/>
      <c r="AB41" s="4"/>
      <c r="AC41" s="4"/>
    </row>
    <row r="42" s="1" customFormat="1" spans="2:29">
      <c r="B42" s="62"/>
      <c r="C42" s="62"/>
      <c r="D42" s="62"/>
      <c r="E42" s="5"/>
      <c r="F42" s="5"/>
      <c r="G42" s="2"/>
      <c r="J42" s="5"/>
      <c r="K42" s="5"/>
      <c r="L42" s="5"/>
      <c r="M42" s="5"/>
      <c r="N42" s="5"/>
      <c r="Q42" s="2"/>
      <c r="U42" s="2"/>
      <c r="V42" s="3"/>
      <c r="AB42" s="4"/>
      <c r="AC42" s="4"/>
    </row>
    <row r="43" s="1" customFormat="1" spans="2:29">
      <c r="B43" s="62"/>
      <c r="C43" s="62"/>
      <c r="D43" s="62"/>
      <c r="E43" s="5"/>
      <c r="F43" s="5"/>
      <c r="G43" s="2"/>
      <c r="J43" s="5"/>
      <c r="K43" s="5"/>
      <c r="L43" s="5"/>
      <c r="M43" s="5"/>
      <c r="N43" s="5"/>
      <c r="Q43" s="2"/>
      <c r="U43" s="2"/>
      <c r="V43" s="3"/>
      <c r="AB43" s="4"/>
      <c r="AC43" s="4"/>
    </row>
    <row r="44" s="1" customFormat="1" spans="2:29">
      <c r="B44" s="5"/>
      <c r="C44" s="5"/>
      <c r="D44" s="5"/>
      <c r="E44" s="5"/>
      <c r="G44" s="2"/>
      <c r="J44" s="5"/>
      <c r="K44" s="5"/>
      <c r="L44" s="5"/>
      <c r="M44" s="5"/>
      <c r="N44" s="5"/>
      <c r="Q44" s="2"/>
      <c r="U44" s="2"/>
      <c r="V44" s="3"/>
      <c r="AB44" s="4"/>
      <c r="AC44" s="4"/>
    </row>
    <row r="45" s="1" customFormat="1" spans="2:29">
      <c r="B45" s="5"/>
      <c r="C45" s="5"/>
      <c r="D45" s="5"/>
      <c r="E45" s="5"/>
      <c r="F45" s="62"/>
      <c r="G45" s="2"/>
      <c r="N45" s="5"/>
      <c r="Q45" s="2"/>
      <c r="U45" s="2"/>
      <c r="V45" s="3"/>
      <c r="AB45" s="4"/>
      <c r="AC45" s="4"/>
    </row>
    <row r="46" s="1" customFormat="1" spans="2:29">
      <c r="B46" s="62"/>
      <c r="C46" s="62"/>
      <c r="D46" s="62"/>
      <c r="E46" s="5"/>
      <c r="F46" s="62"/>
      <c r="G46" s="2"/>
      <c r="N46" s="5"/>
      <c r="Q46" s="2"/>
      <c r="U46" s="2"/>
      <c r="V46" s="3"/>
      <c r="AB46" s="4"/>
      <c r="AC46" s="4"/>
    </row>
    <row r="47" s="1" customFormat="1" spans="2:29">
      <c r="B47" s="62"/>
      <c r="C47" s="62"/>
      <c r="D47" s="62"/>
      <c r="E47" s="5"/>
      <c r="F47" s="5"/>
      <c r="G47" s="2"/>
      <c r="N47" s="5"/>
      <c r="Q47" s="2"/>
      <c r="U47" s="2"/>
      <c r="V47" s="3"/>
      <c r="AB47" s="4"/>
      <c r="AC47" s="4"/>
    </row>
    <row r="48" s="1" customFormat="1" spans="2:29">
      <c r="B48" s="5"/>
      <c r="C48" s="5"/>
      <c r="D48" s="5"/>
      <c r="E48" s="5"/>
      <c r="F48" s="62"/>
      <c r="G48" s="2"/>
      <c r="N48" s="5"/>
      <c r="Q48" s="2"/>
      <c r="U48" s="2"/>
      <c r="V48" s="3"/>
      <c r="AB48" s="4"/>
      <c r="AC48" s="4"/>
    </row>
    <row r="49" s="1" customFormat="1" spans="2:29">
      <c r="B49" s="62"/>
      <c r="C49" s="62"/>
      <c r="D49" s="62"/>
      <c r="E49" s="5"/>
      <c r="F49" s="62"/>
      <c r="G49" s="2"/>
      <c r="N49" s="5"/>
      <c r="Q49" s="2"/>
      <c r="U49" s="2"/>
      <c r="V49" s="3"/>
      <c r="AB49" s="4"/>
      <c r="AC49" s="4"/>
    </row>
    <row r="50" s="1" customFormat="1" spans="2:29">
      <c r="B50" s="62"/>
      <c r="C50" s="62"/>
      <c r="D50" s="62"/>
      <c r="E50" s="5"/>
      <c r="F50" s="5"/>
      <c r="G50" s="2"/>
      <c r="N50" s="5"/>
      <c r="Q50" s="2"/>
      <c r="U50" s="2"/>
      <c r="V50" s="3"/>
      <c r="AB50" s="4"/>
      <c r="AC50" s="4"/>
    </row>
    <row r="51" s="1" customFormat="1" spans="2:29">
      <c r="B51" s="5"/>
      <c r="C51" s="5"/>
      <c r="D51" s="5"/>
      <c r="E51" s="5"/>
      <c r="F51" s="62"/>
      <c r="G51" s="2"/>
      <c r="N51" s="5"/>
      <c r="Q51" s="2"/>
      <c r="U51" s="2"/>
      <c r="V51" s="3"/>
      <c r="AB51" s="4"/>
      <c r="AC51" s="4"/>
    </row>
    <row r="52" s="1" customFormat="1" spans="2:29">
      <c r="B52" s="62"/>
      <c r="C52" s="62"/>
      <c r="D52" s="62"/>
      <c r="E52" s="5"/>
      <c r="F52" s="62"/>
      <c r="G52" s="2"/>
      <c r="N52" s="5"/>
      <c r="Q52" s="2"/>
      <c r="U52" s="2"/>
      <c r="V52" s="3"/>
      <c r="AB52" s="4"/>
      <c r="AC52" s="4"/>
    </row>
    <row r="53" s="1" customFormat="1" spans="2:29">
      <c r="B53" s="62"/>
      <c r="C53" s="62"/>
      <c r="D53" s="62"/>
      <c r="E53" s="5"/>
      <c r="F53" s="5"/>
      <c r="G53" s="2"/>
      <c r="N53" s="5"/>
      <c r="Q53" s="2"/>
      <c r="U53" s="2"/>
      <c r="V53" s="3"/>
      <c r="AB53" s="4"/>
      <c r="AC53" s="4"/>
    </row>
    <row r="54" s="1" customFormat="1" spans="2:29">
      <c r="B54" s="5"/>
      <c r="C54" s="5"/>
      <c r="D54" s="5"/>
      <c r="E54" s="5"/>
      <c r="F54" s="62"/>
      <c r="G54" s="2"/>
      <c r="N54" s="5"/>
      <c r="Q54" s="2"/>
      <c r="U54" s="2"/>
      <c r="V54" s="3"/>
      <c r="AB54" s="4"/>
      <c r="AC54" s="4"/>
    </row>
    <row r="55" s="1" customFormat="1" spans="2:29">
      <c r="B55" s="62"/>
      <c r="C55" s="62"/>
      <c r="D55" s="62"/>
      <c r="E55" s="5"/>
      <c r="G55" s="2"/>
      <c r="N55" s="5"/>
      <c r="Q55" s="2"/>
      <c r="U55" s="2"/>
      <c r="V55" s="3"/>
      <c r="AB55" s="4"/>
      <c r="AC55" s="4"/>
    </row>
    <row r="56" s="1" customFormat="1" spans="2:29">
      <c r="G56" s="2"/>
      <c r="N56" s="5"/>
      <c r="Q56" s="2"/>
      <c r="U56" s="2"/>
      <c r="V56" s="3"/>
      <c r="AB56" s="4"/>
      <c r="AC56" s="4"/>
    </row>
    <row r="57" s="1" customFormat="1" spans="2:29">
      <c r="G57" s="2"/>
      <c r="N57" s="5"/>
      <c r="Q57" s="2"/>
      <c r="U57" s="2"/>
      <c r="V57" s="3"/>
      <c r="AB57" s="4"/>
      <c r="AC57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57"/>
  <sheetViews>
    <sheetView tabSelected="1" zoomScale="80" zoomScaleNormal="80" workbookViewId="0">
      <selection activeCell="M28" sqref="M2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12.1818181818182" style="2" customWidth="1"/>
    <col min="8" max="8" width="8.09090909090909" style="1" customWidth="1"/>
    <col min="9" max="9" width="12.1818181818182" style="1" customWidth="1"/>
    <col min="10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15.1818181818182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11.8181818181818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7.22727272727273" style="4" customWidth="1"/>
    <col min="30" max="30" width="6" style="1" customWidth="1"/>
    <col min="31" max="31" width="8.15454545454545" style="1" customWidth="1"/>
    <col min="32" max="32" width="10.3090909090909" style="1" customWidth="1"/>
    <col min="33" max="16384" width="9.69090909090909" style="1"/>
  </cols>
  <sheetData>
    <row r="1" ht="14.75"/>
    <row r="2" s="1" customFormat="1" ht="15" spans="2:32">
      <c r="B2" s="5"/>
      <c r="C2" s="5"/>
      <c r="D2" s="5"/>
      <c r="E2" s="5"/>
      <c r="F2" s="5"/>
      <c r="G2" s="6"/>
      <c r="H2" s="5"/>
      <c r="I2" s="5"/>
      <c r="J2" s="5"/>
      <c r="K2" s="5"/>
      <c r="L2" s="5"/>
      <c r="M2" s="5"/>
      <c r="N2" s="5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4" t="s">
        <v>9</v>
      </c>
      <c r="AF2" s="14" t="s">
        <v>17</v>
      </c>
    </row>
    <row r="3" s="1" customFormat="1" spans="2:32">
      <c r="B3" s="5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P3" s="15" t="s">
        <v>65</v>
      </c>
      <c r="Q3" s="16">
        <v>1.9881</v>
      </c>
      <c r="R3" s="17" t="s">
        <v>23</v>
      </c>
      <c r="S3" s="18">
        <f t="shared" ref="S3:S17" si="0">$C$6</f>
        <v>912</v>
      </c>
      <c r="T3" s="19">
        <f t="shared" ref="T3:T17" si="1">($C$7+$C$8+$C$9+$C$10)+($C$11+$C$12)/S3</f>
        <v>1.80277192982456</v>
      </c>
      <c r="U3" s="19">
        <f t="shared" ref="U3:U6" si="2">SUM($E$6:$E$10)</f>
        <v>1.61</v>
      </c>
      <c r="V3" s="20">
        <f t="shared" ref="V3:V17" si="3">1+$G$11*($I$11-1)</f>
        <v>2.91</v>
      </c>
      <c r="W3" s="21">
        <f t="shared" ref="W3:W7" si="4">$K$6</f>
        <v>0.25</v>
      </c>
      <c r="X3" s="20">
        <f t="shared" ref="X3:X17" si="5">$AE$8</f>
        <v>0.50131926121372</v>
      </c>
      <c r="Y3" s="18">
        <f t="shared" ref="Y3:Y28" si="6">$AE$17</f>
        <v>0.9</v>
      </c>
      <c r="Z3" s="22"/>
      <c r="AA3" s="22"/>
      <c r="AB3" s="22"/>
      <c r="AC3" s="23">
        <f t="shared" ref="AC3:AC28" si="7">Q3*S3*(1+T3)*(1+U3)*V3*(1+W3)*X3*Y3*(1+Z3)*(1+AA3)*(1+AB3)</f>
        <v>21768.1355293032</v>
      </c>
      <c r="AD3" s="13">
        <v>0</v>
      </c>
      <c r="AE3" s="14">
        <f t="shared" ref="AE3:AE8" si="8">1520/(1520+(792+8*AF3)*(1-AD3/100))</f>
        <v>0.50131926121372</v>
      </c>
      <c r="AF3" s="24">
        <v>90</v>
      </c>
    </row>
    <row r="4" s="1" customFormat="1" ht="15" spans="2:32">
      <c r="B4" s="25" t="s">
        <v>63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5"/>
      <c r="P4" s="15" t="s">
        <v>68</v>
      </c>
      <c r="Q4" s="16">
        <v>6.3819</v>
      </c>
      <c r="R4" s="17" t="s">
        <v>69</v>
      </c>
      <c r="S4" s="18">
        <f t="shared" si="0"/>
        <v>912</v>
      </c>
      <c r="T4" s="19">
        <f t="shared" si="1"/>
        <v>1.80277192982456</v>
      </c>
      <c r="U4" s="19">
        <f t="shared" ref="U4:U9" si="9">SUM($E$6:$E$10)+$E$11</f>
        <v>2.15</v>
      </c>
      <c r="V4" s="20">
        <f t="shared" si="3"/>
        <v>2.91</v>
      </c>
      <c r="W4" s="21">
        <f t="shared" si="4"/>
        <v>0.25</v>
      </c>
      <c r="X4" s="20">
        <f t="shared" si="5"/>
        <v>0.50131926121372</v>
      </c>
      <c r="Y4" s="18">
        <f t="shared" si="6"/>
        <v>0.9</v>
      </c>
      <c r="Z4" s="22"/>
      <c r="AA4" s="22"/>
      <c r="AB4" s="22"/>
      <c r="AC4" s="23">
        <f t="shared" si="7"/>
        <v>84334.0677844572</v>
      </c>
      <c r="AD4" s="13">
        <v>0</v>
      </c>
      <c r="AE4" s="14">
        <f t="shared" si="8"/>
        <v>0.50131926121372</v>
      </c>
      <c r="AF4" s="24">
        <v>90</v>
      </c>
    </row>
    <row r="5" s="1" customFormat="1" spans="2:32">
      <c r="B5" s="26" t="s">
        <v>18</v>
      </c>
      <c r="C5" s="27"/>
      <c r="D5" s="26" t="s">
        <v>6</v>
      </c>
      <c r="E5" s="27"/>
      <c r="F5" s="26" t="s">
        <v>19</v>
      </c>
      <c r="G5" s="27"/>
      <c r="H5" s="26" t="s">
        <v>20</v>
      </c>
      <c r="I5" s="27"/>
      <c r="J5" s="26" t="s">
        <v>8</v>
      </c>
      <c r="K5" s="27"/>
      <c r="L5" s="26" t="s">
        <v>126</v>
      </c>
      <c r="M5" s="27"/>
      <c r="N5" s="5"/>
      <c r="P5" s="15" t="s">
        <v>78</v>
      </c>
      <c r="Q5" s="16">
        <v>4.016</v>
      </c>
      <c r="R5" s="17" t="s">
        <v>44</v>
      </c>
      <c r="S5" s="18">
        <f t="shared" si="0"/>
        <v>912</v>
      </c>
      <c r="T5" s="19">
        <f t="shared" si="1"/>
        <v>1.80277192982456</v>
      </c>
      <c r="U5" s="19">
        <f t="shared" si="2"/>
        <v>1.61</v>
      </c>
      <c r="V5" s="20">
        <f t="shared" si="3"/>
        <v>2.91</v>
      </c>
      <c r="W5" s="21">
        <f>$K$6+K8</f>
        <v>0.25</v>
      </c>
      <c r="X5" s="20">
        <f t="shared" si="5"/>
        <v>0.50131926121372</v>
      </c>
      <c r="Y5" s="18">
        <f t="shared" si="6"/>
        <v>0.9</v>
      </c>
      <c r="Z5" s="22">
        <v>2.55</v>
      </c>
      <c r="AA5" s="22"/>
      <c r="AB5" s="22"/>
      <c r="AC5" s="23">
        <f t="shared" si="7"/>
        <v>156100.776929817</v>
      </c>
      <c r="AD5" s="13">
        <v>0</v>
      </c>
      <c r="AE5" s="14">
        <f t="shared" si="8"/>
        <v>0.50131926121372</v>
      </c>
      <c r="AF5" s="24">
        <v>90</v>
      </c>
    </row>
    <row r="6" s="1" customFormat="1" spans="2:32">
      <c r="B6" s="28" t="s">
        <v>24</v>
      </c>
      <c r="C6" s="29">
        <f>412+500</f>
        <v>912</v>
      </c>
      <c r="D6" s="28" t="s">
        <v>25</v>
      </c>
      <c r="E6" s="30">
        <v>0.6</v>
      </c>
      <c r="F6" s="28" t="s">
        <v>26</v>
      </c>
      <c r="G6" s="31">
        <v>0.05</v>
      </c>
      <c r="H6" s="28" t="s">
        <v>26</v>
      </c>
      <c r="I6" s="30">
        <f>150%+16%</f>
        <v>1.66</v>
      </c>
      <c r="J6" s="32" t="s">
        <v>27</v>
      </c>
      <c r="K6" s="30">
        <v>0.25</v>
      </c>
      <c r="L6" s="28" t="s">
        <v>28</v>
      </c>
      <c r="M6" s="31">
        <f>8.6%*4</f>
        <v>0.344</v>
      </c>
      <c r="N6" s="5"/>
      <c r="P6" s="15" t="s">
        <v>94</v>
      </c>
      <c r="Q6" s="16">
        <f>62.63%*2</f>
        <v>1.2526</v>
      </c>
      <c r="R6" s="17" t="s">
        <v>30</v>
      </c>
      <c r="S6" s="18">
        <f t="shared" si="0"/>
        <v>912</v>
      </c>
      <c r="T6" s="19">
        <f t="shared" si="1"/>
        <v>1.80277192982456</v>
      </c>
      <c r="U6" s="19">
        <f t="shared" si="2"/>
        <v>1.61</v>
      </c>
      <c r="V6" s="20">
        <f t="shared" si="3"/>
        <v>2.91</v>
      </c>
      <c r="W6" s="21">
        <f t="shared" si="4"/>
        <v>0.25</v>
      </c>
      <c r="X6" s="20">
        <f t="shared" si="5"/>
        <v>0.50131926121372</v>
      </c>
      <c r="Y6" s="18">
        <f t="shared" si="6"/>
        <v>0.9</v>
      </c>
      <c r="Z6" s="22"/>
      <c r="AA6" s="22"/>
      <c r="AB6" s="22"/>
      <c r="AC6" s="23">
        <f t="shared" si="7"/>
        <v>13714.987457374</v>
      </c>
      <c r="AD6" s="13">
        <v>0</v>
      </c>
      <c r="AE6" s="14">
        <f t="shared" si="8"/>
        <v>0.50131926121372</v>
      </c>
      <c r="AF6" s="24">
        <v>90</v>
      </c>
    </row>
    <row r="7" s="1" customFormat="1" spans="2:32">
      <c r="B7" s="28" t="s">
        <v>31</v>
      </c>
      <c r="C7" s="30">
        <f>12%+12%</f>
        <v>0.24</v>
      </c>
      <c r="D7" s="28" t="s">
        <v>66</v>
      </c>
      <c r="E7" s="30">
        <f>12%+10%+15%+12%+40%</f>
        <v>0.89</v>
      </c>
      <c r="F7" s="28" t="s">
        <v>33</v>
      </c>
      <c r="G7" s="31">
        <v>0.36</v>
      </c>
      <c r="H7" s="28" t="s">
        <v>34</v>
      </c>
      <c r="I7" s="31">
        <f>44%+M9</f>
        <v>1.25</v>
      </c>
      <c r="J7" s="33"/>
      <c r="K7" s="31"/>
      <c r="L7" s="28" t="s">
        <v>67</v>
      </c>
      <c r="M7" s="31"/>
      <c r="N7" s="5"/>
      <c r="P7" s="15" t="s">
        <v>74</v>
      </c>
      <c r="Q7" s="16">
        <f t="shared" ref="Q7:Q12" si="10">59.35%+39.77%*2</f>
        <v>1.3889</v>
      </c>
      <c r="R7" s="17" t="s">
        <v>38</v>
      </c>
      <c r="S7" s="18">
        <f t="shared" si="0"/>
        <v>912</v>
      </c>
      <c r="T7" s="19">
        <f t="shared" si="1"/>
        <v>1.80277192982456</v>
      </c>
      <c r="U7" s="19">
        <f t="shared" ref="U7:U12" si="11">SUM($E$6:$E$10)+$E$12</f>
        <v>2.03</v>
      </c>
      <c r="V7" s="20">
        <f t="shared" si="3"/>
        <v>2.91</v>
      </c>
      <c r="W7" s="21">
        <f t="shared" si="4"/>
        <v>0.25</v>
      </c>
      <c r="X7" s="20">
        <f t="shared" si="5"/>
        <v>0.50131926121372</v>
      </c>
      <c r="Y7" s="18">
        <f t="shared" si="6"/>
        <v>0.9</v>
      </c>
      <c r="Z7" s="22"/>
      <c r="AA7" s="22"/>
      <c r="AB7" s="22"/>
      <c r="AC7" s="23">
        <f t="shared" si="7"/>
        <v>17654.5278146441</v>
      </c>
      <c r="AD7" s="13">
        <v>0</v>
      </c>
      <c r="AE7" s="14">
        <f t="shared" si="8"/>
        <v>0.50131926121372</v>
      </c>
      <c r="AF7" s="24">
        <v>90</v>
      </c>
    </row>
    <row r="8" s="1" customFormat="1" spans="2:32">
      <c r="B8" s="28" t="s">
        <v>39</v>
      </c>
      <c r="C8" s="30">
        <f>18%+18%+M6</f>
        <v>0.704</v>
      </c>
      <c r="D8" s="28" t="s">
        <v>139</v>
      </c>
      <c r="E8" s="30">
        <v>0.12</v>
      </c>
      <c r="F8" s="28" t="s">
        <v>41</v>
      </c>
      <c r="G8" s="31">
        <v>0.2</v>
      </c>
      <c r="H8" s="28"/>
      <c r="I8" s="31"/>
      <c r="J8" s="33" t="s">
        <v>127</v>
      </c>
      <c r="K8" s="31"/>
      <c r="L8" s="28" t="s">
        <v>19</v>
      </c>
      <c r="M8" s="31">
        <f>8.1*5%</f>
        <v>0.405</v>
      </c>
      <c r="N8" s="5"/>
      <c r="P8" s="15" t="s">
        <v>75</v>
      </c>
      <c r="Q8" s="16">
        <f t="shared" ref="Q8:Q13" si="12">82.69%*3</f>
        <v>2.4807</v>
      </c>
      <c r="R8" s="17" t="s">
        <v>69</v>
      </c>
      <c r="S8" s="18">
        <f t="shared" si="0"/>
        <v>912</v>
      </c>
      <c r="T8" s="19">
        <f t="shared" si="1"/>
        <v>1.80277192982456</v>
      </c>
      <c r="U8" s="19">
        <f t="shared" si="9"/>
        <v>2.15</v>
      </c>
      <c r="V8" s="20">
        <f t="shared" si="3"/>
        <v>2.91</v>
      </c>
      <c r="W8" s="21">
        <f t="shared" ref="W8:W13" si="13">$K$6+256%</f>
        <v>2.81</v>
      </c>
      <c r="X8" s="20">
        <f t="shared" si="5"/>
        <v>0.50131926121372</v>
      </c>
      <c r="Y8" s="18">
        <f t="shared" si="6"/>
        <v>0.9</v>
      </c>
      <c r="Z8" s="22"/>
      <c r="AA8" s="22"/>
      <c r="AB8" s="22"/>
      <c r="AC8" s="23">
        <f t="shared" si="7"/>
        <v>99917.6619678228</v>
      </c>
      <c r="AD8" s="13">
        <v>0</v>
      </c>
      <c r="AE8" s="14">
        <f t="shared" si="8"/>
        <v>0.50131926121372</v>
      </c>
      <c r="AF8" s="24">
        <v>90</v>
      </c>
    </row>
    <row r="9" s="1" customFormat="1" spans="2:32">
      <c r="B9" s="28" t="s">
        <v>72</v>
      </c>
      <c r="C9" s="34">
        <f>25%</f>
        <v>0.25</v>
      </c>
      <c r="D9" s="28"/>
      <c r="E9" s="30"/>
      <c r="F9" s="28" t="s">
        <v>34</v>
      </c>
      <c r="G9" s="31">
        <f>M8</f>
        <v>0.405</v>
      </c>
      <c r="H9" s="28"/>
      <c r="I9" s="31"/>
      <c r="J9" s="33"/>
      <c r="K9" s="31"/>
      <c r="L9" s="28" t="s">
        <v>46</v>
      </c>
      <c r="M9" s="30">
        <f>16.2%*5</f>
        <v>0.81</v>
      </c>
      <c r="N9" s="5"/>
      <c r="P9" s="15" t="s">
        <v>61</v>
      </c>
      <c r="Q9" s="16">
        <f>118.8%+59.4%*4</f>
        <v>3.564</v>
      </c>
      <c r="R9" s="17" t="s">
        <v>61</v>
      </c>
      <c r="S9" s="18">
        <f t="shared" si="0"/>
        <v>912</v>
      </c>
      <c r="T9" s="19">
        <f t="shared" si="1"/>
        <v>1.80277192982456</v>
      </c>
      <c r="U9" s="19">
        <f t="shared" si="9"/>
        <v>2.15</v>
      </c>
      <c r="V9" s="20">
        <f t="shared" si="3"/>
        <v>2.91</v>
      </c>
      <c r="W9" s="21">
        <f t="shared" ref="W9:W12" si="14">$K$6</f>
        <v>0.25</v>
      </c>
      <c r="X9" s="20">
        <f t="shared" si="5"/>
        <v>0.50131926121372</v>
      </c>
      <c r="Y9" s="18">
        <f t="shared" si="6"/>
        <v>0.9</v>
      </c>
      <c r="Z9" s="22"/>
      <c r="AA9" s="22"/>
      <c r="AB9" s="22"/>
      <c r="AC9" s="23">
        <f t="shared" si="7"/>
        <v>47096.7294354041</v>
      </c>
    </row>
    <row r="10" s="1" customFormat="1" spans="2:32">
      <c r="B10" s="28" t="s">
        <v>140</v>
      </c>
      <c r="C10" s="34">
        <v>0.225</v>
      </c>
      <c r="D10" s="28"/>
      <c r="E10" s="35"/>
      <c r="F10" s="28"/>
      <c r="G10" s="31"/>
      <c r="H10" s="28"/>
      <c r="I10" s="31"/>
      <c r="J10" s="33"/>
      <c r="K10" s="31"/>
      <c r="L10" s="28"/>
      <c r="M10" s="29"/>
      <c r="N10" s="5"/>
      <c r="P10" s="15" t="s">
        <v>74</v>
      </c>
      <c r="Q10" s="16">
        <f t="shared" si="10"/>
        <v>1.3889</v>
      </c>
      <c r="R10" s="17" t="s">
        <v>38</v>
      </c>
      <c r="S10" s="18">
        <f t="shared" si="0"/>
        <v>912</v>
      </c>
      <c r="T10" s="19">
        <f t="shared" si="1"/>
        <v>1.80277192982456</v>
      </c>
      <c r="U10" s="19">
        <f t="shared" si="11"/>
        <v>2.03</v>
      </c>
      <c r="V10" s="20">
        <f t="shared" si="3"/>
        <v>2.91</v>
      </c>
      <c r="W10" s="21">
        <f t="shared" si="14"/>
        <v>0.25</v>
      </c>
      <c r="X10" s="20">
        <f t="shared" si="5"/>
        <v>0.50131926121372</v>
      </c>
      <c r="Y10" s="18">
        <f t="shared" si="6"/>
        <v>0.9</v>
      </c>
      <c r="Z10" s="22"/>
      <c r="AA10" s="22"/>
      <c r="AB10" s="22"/>
      <c r="AC10" s="23">
        <f t="shared" si="7"/>
        <v>17654.5278146441</v>
      </c>
    </row>
    <row r="11" s="1" customFormat="1" spans="2:32">
      <c r="B11" s="28" t="s">
        <v>52</v>
      </c>
      <c r="C11" s="29">
        <v>350</v>
      </c>
      <c r="D11" s="28" t="s">
        <v>76</v>
      </c>
      <c r="E11" s="30">
        <f>12%+M7+42%</f>
        <v>0.54</v>
      </c>
      <c r="F11" s="36" t="s">
        <v>53</v>
      </c>
      <c r="G11" s="37">
        <f>MIN(100%,SUM(G6:G10))</f>
        <v>1</v>
      </c>
      <c r="H11" s="36" t="s">
        <v>54</v>
      </c>
      <c r="I11" s="38">
        <f>SUM(I6:I10)</f>
        <v>2.91</v>
      </c>
      <c r="J11" s="33"/>
      <c r="K11" s="31"/>
      <c r="L11" s="28"/>
      <c r="M11" s="29"/>
      <c r="N11" s="5"/>
      <c r="P11" s="15" t="s">
        <v>75</v>
      </c>
      <c r="Q11" s="16">
        <f t="shared" si="12"/>
        <v>2.4807</v>
      </c>
      <c r="R11" s="17" t="s">
        <v>69</v>
      </c>
      <c r="S11" s="18">
        <f t="shared" si="0"/>
        <v>912</v>
      </c>
      <c r="T11" s="19">
        <f t="shared" si="1"/>
        <v>1.80277192982456</v>
      </c>
      <c r="U11" s="19">
        <f t="shared" ref="U11:U15" si="15">SUM($E$6:$E$10)+$E$11</f>
        <v>2.15</v>
      </c>
      <c r="V11" s="20">
        <f t="shared" si="3"/>
        <v>2.91</v>
      </c>
      <c r="W11" s="21">
        <f t="shared" si="13"/>
        <v>2.81</v>
      </c>
      <c r="X11" s="20">
        <f t="shared" si="5"/>
        <v>0.50131926121372</v>
      </c>
      <c r="Y11" s="18">
        <f t="shared" si="6"/>
        <v>0.9</v>
      </c>
      <c r="Z11" s="22"/>
      <c r="AA11" s="22"/>
      <c r="AB11" s="22"/>
      <c r="AC11" s="23">
        <f t="shared" si="7"/>
        <v>99917.6619678228</v>
      </c>
    </row>
    <row r="12" s="1" customFormat="1" spans="2:32">
      <c r="B12" s="39" t="s">
        <v>56</v>
      </c>
      <c r="C12" s="40"/>
      <c r="D12" s="39" t="s">
        <v>77</v>
      </c>
      <c r="E12" s="41">
        <v>0.42</v>
      </c>
      <c r="F12" s="39"/>
      <c r="G12" s="42"/>
      <c r="H12" s="39"/>
      <c r="I12" s="40"/>
      <c r="J12" s="43"/>
      <c r="K12" s="42"/>
      <c r="L12" s="39"/>
      <c r="M12" s="40"/>
      <c r="N12" s="5"/>
      <c r="P12" s="15" t="s">
        <v>74</v>
      </c>
      <c r="Q12" s="16">
        <f t="shared" si="10"/>
        <v>1.3889</v>
      </c>
      <c r="R12" s="17" t="s">
        <v>38</v>
      </c>
      <c r="S12" s="18">
        <f t="shared" si="0"/>
        <v>912</v>
      </c>
      <c r="T12" s="19">
        <f t="shared" si="1"/>
        <v>1.80277192982456</v>
      </c>
      <c r="U12" s="19">
        <f t="shared" si="11"/>
        <v>2.03</v>
      </c>
      <c r="V12" s="20">
        <f t="shared" si="3"/>
        <v>2.91</v>
      </c>
      <c r="W12" s="21">
        <f t="shared" si="14"/>
        <v>0.25</v>
      </c>
      <c r="X12" s="20">
        <f t="shared" si="5"/>
        <v>0.50131926121372</v>
      </c>
      <c r="Y12" s="18">
        <f t="shared" si="6"/>
        <v>0.9</v>
      </c>
      <c r="Z12" s="22"/>
      <c r="AA12" s="22"/>
      <c r="AB12" s="22"/>
      <c r="AC12" s="23">
        <f t="shared" si="7"/>
        <v>17654.5278146441</v>
      </c>
    </row>
    <row r="13" s="1" customFormat="1" spans="2:32">
      <c r="B13" s="44"/>
      <c r="C13" s="44"/>
      <c r="D13" s="44"/>
      <c r="E13" s="45"/>
      <c r="F13" s="44"/>
      <c r="G13" s="46"/>
      <c r="H13" s="44"/>
      <c r="I13" s="44"/>
      <c r="J13" s="46"/>
      <c r="K13" s="46"/>
      <c r="L13" s="44"/>
      <c r="M13" s="44"/>
      <c r="N13" s="5"/>
      <c r="P13" s="15" t="s">
        <v>75</v>
      </c>
      <c r="Q13" s="16">
        <f t="shared" si="12"/>
        <v>2.4807</v>
      </c>
      <c r="R13" s="17" t="s">
        <v>69</v>
      </c>
      <c r="S13" s="18">
        <f t="shared" si="0"/>
        <v>912</v>
      </c>
      <c r="T13" s="19">
        <f t="shared" si="1"/>
        <v>1.80277192982456</v>
      </c>
      <c r="U13" s="19">
        <f t="shared" si="15"/>
        <v>2.15</v>
      </c>
      <c r="V13" s="20">
        <f t="shared" si="3"/>
        <v>2.91</v>
      </c>
      <c r="W13" s="21">
        <f t="shared" si="13"/>
        <v>2.81</v>
      </c>
      <c r="X13" s="20">
        <f t="shared" si="5"/>
        <v>0.50131926121372</v>
      </c>
      <c r="Y13" s="18">
        <f t="shared" si="6"/>
        <v>0.9</v>
      </c>
      <c r="Z13" s="22"/>
      <c r="AA13" s="22"/>
      <c r="AB13" s="22"/>
      <c r="AC13" s="23">
        <f t="shared" si="7"/>
        <v>99917.6619678228</v>
      </c>
    </row>
    <row r="14" s="1" customFormat="1" ht="15" spans="2:32">
      <c r="B14" s="44"/>
      <c r="C14" s="44"/>
      <c r="D14" s="44"/>
      <c r="E14" s="45"/>
      <c r="F14" s="44"/>
      <c r="G14" s="46"/>
      <c r="H14" s="44"/>
      <c r="I14" s="44"/>
      <c r="J14" s="46"/>
      <c r="K14" s="46"/>
      <c r="L14" s="44"/>
      <c r="M14" s="44"/>
      <c r="N14" s="5"/>
      <c r="P14" s="15" t="s">
        <v>74</v>
      </c>
      <c r="Q14" s="16">
        <f>59.35%+39.77%*2</f>
        <v>1.3889</v>
      </c>
      <c r="R14" s="17" t="s">
        <v>38</v>
      </c>
      <c r="S14" s="18">
        <f t="shared" si="0"/>
        <v>912</v>
      </c>
      <c r="T14" s="19">
        <f t="shared" si="1"/>
        <v>1.80277192982456</v>
      </c>
      <c r="U14" s="19">
        <f>SUM($E$6:$E$10)+$E$12</f>
        <v>2.03</v>
      </c>
      <c r="V14" s="20">
        <f t="shared" si="3"/>
        <v>2.91</v>
      </c>
      <c r="W14" s="21">
        <f t="shared" ref="W14:W17" si="16">$K$6</f>
        <v>0.25</v>
      </c>
      <c r="X14" s="20">
        <f t="shared" si="5"/>
        <v>0.50131926121372</v>
      </c>
      <c r="Y14" s="18">
        <f t="shared" si="6"/>
        <v>0.9</v>
      </c>
      <c r="Z14" s="22"/>
      <c r="AA14" s="22"/>
      <c r="AB14" s="22"/>
      <c r="AC14" s="23">
        <f t="shared" si="7"/>
        <v>17654.5278146441</v>
      </c>
    </row>
    <row r="15" s="1" customFormat="1" ht="15" spans="2:32">
      <c r="B15" s="25" t="s">
        <v>141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5"/>
      <c r="P15" s="15" t="s">
        <v>75</v>
      </c>
      <c r="Q15" s="16">
        <f>82.69%*3</f>
        <v>2.4807</v>
      </c>
      <c r="R15" s="17" t="s">
        <v>69</v>
      </c>
      <c r="S15" s="18">
        <f t="shared" si="0"/>
        <v>912</v>
      </c>
      <c r="T15" s="19">
        <f t="shared" si="1"/>
        <v>1.80277192982456</v>
      </c>
      <c r="U15" s="19">
        <f t="shared" si="15"/>
        <v>2.15</v>
      </c>
      <c r="V15" s="20">
        <f t="shared" si="3"/>
        <v>2.91</v>
      </c>
      <c r="W15" s="21">
        <f>$K$6+256%</f>
        <v>2.81</v>
      </c>
      <c r="X15" s="20">
        <f t="shared" si="5"/>
        <v>0.50131926121372</v>
      </c>
      <c r="Y15" s="18">
        <f t="shared" si="6"/>
        <v>0.9</v>
      </c>
      <c r="Z15" s="22"/>
      <c r="AA15" s="22"/>
      <c r="AB15" s="22"/>
      <c r="AC15" s="23">
        <f t="shared" si="7"/>
        <v>99917.6619678228</v>
      </c>
    </row>
    <row r="16" s="1" customFormat="1" spans="2:32">
      <c r="B16" s="26" t="s">
        <v>18</v>
      </c>
      <c r="C16" s="27"/>
      <c r="D16" s="26" t="s">
        <v>6</v>
      </c>
      <c r="E16" s="27"/>
      <c r="F16" s="26" t="s">
        <v>19</v>
      </c>
      <c r="G16" s="27"/>
      <c r="H16" s="26" t="s">
        <v>20</v>
      </c>
      <c r="I16" s="27"/>
      <c r="J16" s="26" t="s">
        <v>8</v>
      </c>
      <c r="K16" s="27"/>
      <c r="L16" s="26" t="s">
        <v>21</v>
      </c>
      <c r="M16" s="27"/>
      <c r="N16" s="5"/>
      <c r="P16" s="15" t="s">
        <v>94</v>
      </c>
      <c r="Q16" s="16">
        <f>62.63%*2</f>
        <v>1.2526</v>
      </c>
      <c r="R16" s="17" t="s">
        <v>30</v>
      </c>
      <c r="S16" s="18">
        <f t="shared" si="0"/>
        <v>912</v>
      </c>
      <c r="T16" s="19">
        <f t="shared" si="1"/>
        <v>1.80277192982456</v>
      </c>
      <c r="U16" s="19">
        <f>SUM($E$6:$E$10)+32%</f>
        <v>1.93</v>
      </c>
      <c r="V16" s="20">
        <f t="shared" si="3"/>
        <v>2.91</v>
      </c>
      <c r="W16" s="21">
        <f t="shared" si="16"/>
        <v>0.25</v>
      </c>
      <c r="X16" s="20">
        <f t="shared" si="5"/>
        <v>0.50131926121372</v>
      </c>
      <c r="Y16" s="18">
        <f t="shared" si="6"/>
        <v>0.9</v>
      </c>
      <c r="Z16" s="22"/>
      <c r="AA16" s="22"/>
      <c r="AB16" s="22"/>
      <c r="AC16" s="23">
        <f t="shared" si="7"/>
        <v>15396.5184866305</v>
      </c>
    </row>
    <row r="17" s="1" customFormat="1" spans="2:31">
      <c r="B17" s="28" t="s">
        <v>24</v>
      </c>
      <c r="C17" s="29">
        <f>375+587</f>
        <v>962</v>
      </c>
      <c r="D17" s="28" t="s">
        <v>25</v>
      </c>
      <c r="E17" s="30">
        <v>0.6</v>
      </c>
      <c r="F17" s="28" t="s">
        <v>26</v>
      </c>
      <c r="G17" s="31">
        <v>0.05</v>
      </c>
      <c r="H17" s="28" t="s">
        <v>26</v>
      </c>
      <c r="I17" s="30">
        <f>150%+16%</f>
        <v>1.66</v>
      </c>
      <c r="J17" s="32" t="s">
        <v>27</v>
      </c>
      <c r="K17" s="30">
        <v>0.25</v>
      </c>
      <c r="L17" s="28" t="s">
        <v>28</v>
      </c>
      <c r="M17" s="31">
        <f>8.6%*4</f>
        <v>0.344</v>
      </c>
      <c r="N17" s="5"/>
      <c r="P17" s="47" t="s">
        <v>81</v>
      </c>
      <c r="Q17" s="19">
        <f>528.41%</f>
        <v>5.2841</v>
      </c>
      <c r="R17" s="18" t="s">
        <v>82</v>
      </c>
      <c r="S17" s="18">
        <f t="shared" si="0"/>
        <v>912</v>
      </c>
      <c r="T17" s="19">
        <f t="shared" si="1"/>
        <v>1.80277192982456</v>
      </c>
      <c r="U17" s="19">
        <f>SUM($E$6:$E$10)-10%</f>
        <v>1.51</v>
      </c>
      <c r="V17" s="20">
        <f t="shared" si="3"/>
        <v>2.91</v>
      </c>
      <c r="W17" s="21">
        <f t="shared" si="16"/>
        <v>0.25</v>
      </c>
      <c r="X17" s="20">
        <f t="shared" si="5"/>
        <v>0.50131926121372</v>
      </c>
      <c r="Y17" s="18">
        <f t="shared" si="6"/>
        <v>0.9</v>
      </c>
      <c r="Z17" s="22">
        <v>2.55</v>
      </c>
      <c r="AA17" s="22"/>
      <c r="AB17" s="22"/>
      <c r="AC17" s="23">
        <f t="shared" si="7"/>
        <v>197522.058279418</v>
      </c>
      <c r="AD17" s="48" t="s">
        <v>70</v>
      </c>
      <c r="AE17" s="48">
        <v>0.9</v>
      </c>
    </row>
    <row r="18" s="1" customFormat="1" spans="2:31">
      <c r="B18" s="28" t="s">
        <v>31</v>
      </c>
      <c r="C18" s="30">
        <f>12%+12%</f>
        <v>0.24</v>
      </c>
      <c r="D18" s="28" t="s">
        <v>66</v>
      </c>
      <c r="E18" s="30">
        <f>12%+20%</f>
        <v>0.32</v>
      </c>
      <c r="F18" s="28" t="s">
        <v>33</v>
      </c>
      <c r="G18" s="31">
        <v>0.243</v>
      </c>
      <c r="H18" s="28" t="s">
        <v>34</v>
      </c>
      <c r="I18" s="31">
        <f>44%+M20</f>
        <v>1.25</v>
      </c>
      <c r="J18" s="33"/>
      <c r="K18" s="31"/>
      <c r="L18" s="28" t="s">
        <v>30</v>
      </c>
      <c r="M18" s="31"/>
      <c r="N18" s="5"/>
      <c r="P18" s="49" t="s">
        <v>22</v>
      </c>
      <c r="Q18" s="50">
        <v>1.6899</v>
      </c>
      <c r="R18" s="51" t="s">
        <v>23</v>
      </c>
      <c r="S18" s="51">
        <f t="shared" ref="S18:S20" si="17">$C$17</f>
        <v>962</v>
      </c>
      <c r="T18" s="50">
        <f t="shared" ref="T18:T20" si="18">($C$18+$C$19+$C$20+$C$21)+($C$22+$C$23)/S18</f>
        <v>1.70782536382536</v>
      </c>
      <c r="U18" s="50">
        <f>SUM($E$17:$E$21)</f>
        <v>1.32</v>
      </c>
      <c r="V18" s="52">
        <f t="shared" ref="V18:V20" si="19">1+$G$22*($I$22-1)</f>
        <v>2.61968</v>
      </c>
      <c r="W18" s="53">
        <f t="shared" ref="W18:W20" si="20">$K$17</f>
        <v>0.25</v>
      </c>
      <c r="X18" s="52">
        <f t="shared" ref="X18:X20" si="21">$AE$7</f>
        <v>0.50131926121372</v>
      </c>
      <c r="Y18" s="51">
        <f t="shared" si="6"/>
        <v>0.9</v>
      </c>
      <c r="Z18" s="54"/>
      <c r="AA18" s="54"/>
      <c r="AB18" s="54"/>
      <c r="AC18" s="55">
        <f t="shared" si="7"/>
        <v>15088.9796456276</v>
      </c>
    </row>
    <row r="19" s="1" customFormat="1" spans="2:31">
      <c r="B19" s="28" t="s">
        <v>39</v>
      </c>
      <c r="C19" s="30">
        <f>18%+18%+M17</f>
        <v>0.704</v>
      </c>
      <c r="D19" s="28" t="s">
        <v>142</v>
      </c>
      <c r="E19" s="30">
        <v>0.4</v>
      </c>
      <c r="F19" s="28" t="s">
        <v>80</v>
      </c>
      <c r="G19" s="31">
        <v>0.15</v>
      </c>
      <c r="H19" s="28"/>
      <c r="I19" s="31"/>
      <c r="J19" s="33"/>
      <c r="K19" s="31"/>
      <c r="L19" s="28" t="s">
        <v>19</v>
      </c>
      <c r="M19" s="31">
        <f>8.1*5%</f>
        <v>0.405</v>
      </c>
      <c r="N19" s="5"/>
      <c r="P19" s="56" t="s">
        <v>30</v>
      </c>
      <c r="Q19" s="57">
        <v>2.9793</v>
      </c>
      <c r="R19" s="58" t="s">
        <v>30</v>
      </c>
      <c r="S19" s="51">
        <f t="shared" si="17"/>
        <v>962</v>
      </c>
      <c r="T19" s="50">
        <f t="shared" si="18"/>
        <v>1.70782536382536</v>
      </c>
      <c r="U19" s="50">
        <f>SUM($E$17:$E$21)</f>
        <v>1.32</v>
      </c>
      <c r="V19" s="52">
        <f t="shared" si="19"/>
        <v>2.61968</v>
      </c>
      <c r="W19" s="53">
        <f t="shared" si="20"/>
        <v>0.25</v>
      </c>
      <c r="X19" s="52">
        <f t="shared" si="21"/>
        <v>0.50131926121372</v>
      </c>
      <c r="Y19" s="51">
        <f t="shared" si="6"/>
        <v>0.9</v>
      </c>
      <c r="Z19" s="54"/>
      <c r="AA19" s="54"/>
      <c r="AB19" s="54"/>
      <c r="AC19" s="55">
        <f t="shared" si="7"/>
        <v>26601.927367429</v>
      </c>
    </row>
    <row r="20" s="1" customFormat="1" spans="2:31">
      <c r="B20" s="28" t="s">
        <v>72</v>
      </c>
      <c r="C20" s="34">
        <v>0.25</v>
      </c>
      <c r="D20" s="28" t="s">
        <v>73</v>
      </c>
      <c r="E20" s="30"/>
      <c r="F20" s="28" t="s">
        <v>34</v>
      </c>
      <c r="G20" s="31">
        <f>M19</f>
        <v>0.405</v>
      </c>
      <c r="H20" s="28"/>
      <c r="I20" s="31"/>
      <c r="J20" s="33"/>
      <c r="K20" s="31"/>
      <c r="L20" s="28" t="s">
        <v>46</v>
      </c>
      <c r="M20" s="30">
        <f>16.2%*5</f>
        <v>0.81</v>
      </c>
      <c r="N20" s="5"/>
      <c r="P20" s="49" t="s">
        <v>38</v>
      </c>
      <c r="Q20" s="50">
        <v>2.3858</v>
      </c>
      <c r="R20" s="51" t="s">
        <v>30</v>
      </c>
      <c r="S20" s="51">
        <f t="shared" si="17"/>
        <v>962</v>
      </c>
      <c r="T20" s="50">
        <f t="shared" si="18"/>
        <v>1.70782536382536</v>
      </c>
      <c r="U20" s="50">
        <f>SUM($E$17:$E$21)+60%</f>
        <v>1.92</v>
      </c>
      <c r="V20" s="52">
        <f t="shared" si="19"/>
        <v>2.61968</v>
      </c>
      <c r="W20" s="53">
        <f t="shared" si="20"/>
        <v>0.25</v>
      </c>
      <c r="X20" s="52">
        <f t="shared" si="21"/>
        <v>0.50131926121372</v>
      </c>
      <c r="Y20" s="51">
        <f t="shared" si="6"/>
        <v>0.9</v>
      </c>
      <c r="Z20" s="54"/>
      <c r="AA20" s="54"/>
      <c r="AB20" s="54"/>
      <c r="AC20" s="55">
        <f t="shared" si="7"/>
        <v>26811.9109028416</v>
      </c>
    </row>
    <row r="21" s="1" customFormat="1" spans="2:31">
      <c r="B21" s="28" t="s">
        <v>45</v>
      </c>
      <c r="C21" s="34">
        <v>0.15</v>
      </c>
      <c r="D21" s="28"/>
      <c r="E21" s="35"/>
      <c r="F21" s="28"/>
      <c r="G21" s="31"/>
      <c r="H21" s="28"/>
      <c r="I21" s="31"/>
      <c r="J21" s="33"/>
      <c r="K21" s="31"/>
      <c r="L21" s="28"/>
      <c r="M21" s="29"/>
      <c r="N21" s="5"/>
      <c r="P21" s="49" t="s">
        <v>44</v>
      </c>
      <c r="Q21" s="50">
        <v>8.7477</v>
      </c>
      <c r="R21" s="51" t="s">
        <v>44</v>
      </c>
      <c r="S21" s="51">
        <f t="shared" ref="S21:S24" si="22">$C$17</f>
        <v>962</v>
      </c>
      <c r="T21" s="50">
        <f t="shared" ref="T21:T24" si="23">($C$18+$C$19+$C$20+$C$21)+($C$22+$C$23)/S21</f>
        <v>1.70782536382536</v>
      </c>
      <c r="U21" s="50">
        <f>SUM($E$17:$E$21)+40%</f>
        <v>1.72</v>
      </c>
      <c r="V21" s="52">
        <f t="shared" ref="V21:V24" si="24">1+$G$22*($I$22-1)</f>
        <v>2.61968</v>
      </c>
      <c r="W21" s="53">
        <f t="shared" ref="W21:W24" si="25">$K$17</f>
        <v>0.25</v>
      </c>
      <c r="X21" s="52">
        <f t="shared" ref="X21:X24" si="26">$AE$7</f>
        <v>0.50131926121372</v>
      </c>
      <c r="Y21" s="51">
        <f>$AE$17</f>
        <v>0.9</v>
      </c>
      <c r="Z21" s="54"/>
      <c r="AA21" s="54"/>
      <c r="AB21" s="54"/>
      <c r="AC21" s="55">
        <f>Q21*S21*(1+T21)*(1+U21)*V21*(1+W21)*X21*Y21*(1+Z21)*(1+AA21)*(1+AB21)</f>
        <v>91574.3124234227</v>
      </c>
    </row>
    <row r="22" s="1" customFormat="1" spans="2:31">
      <c r="B22" s="28" t="s">
        <v>52</v>
      </c>
      <c r="C22" s="29">
        <v>350</v>
      </c>
      <c r="D22" s="28" t="s">
        <v>76</v>
      </c>
      <c r="E22" s="30"/>
      <c r="F22" s="36" t="s">
        <v>53</v>
      </c>
      <c r="G22" s="37">
        <f>MIN(100%,SUM(G17:G21))</f>
        <v>0.848</v>
      </c>
      <c r="H22" s="36" t="s">
        <v>54</v>
      </c>
      <c r="I22" s="38">
        <f>SUM(I17:I21)</f>
        <v>2.91</v>
      </c>
      <c r="J22" s="33"/>
      <c r="K22" s="31"/>
      <c r="L22" s="28"/>
      <c r="M22" s="29"/>
      <c r="N22" s="5"/>
      <c r="P22" s="56" t="s">
        <v>69</v>
      </c>
      <c r="Q22" s="57">
        <v>0.9635</v>
      </c>
      <c r="R22" s="58" t="s">
        <v>69</v>
      </c>
      <c r="S22" s="51">
        <f t="shared" si="22"/>
        <v>962</v>
      </c>
      <c r="T22" s="50">
        <f t="shared" si="23"/>
        <v>1.70782536382536</v>
      </c>
      <c r="U22" s="50">
        <f>SUM($E$17:$E$21)</f>
        <v>1.32</v>
      </c>
      <c r="V22" s="52">
        <f t="shared" si="24"/>
        <v>2.61968</v>
      </c>
      <c r="W22" s="53">
        <f t="shared" si="25"/>
        <v>0.25</v>
      </c>
      <c r="X22" s="52">
        <f t="shared" si="26"/>
        <v>0.50131926121372</v>
      </c>
      <c r="Y22" s="51">
        <f>$AE$17</f>
        <v>0.9</v>
      </c>
      <c r="Z22" s="54"/>
      <c r="AA22" s="54"/>
      <c r="AB22" s="54"/>
      <c r="AC22" s="55">
        <f>Q22*S22*(1+T22)*(1+U22)*V22*(1+W22)*X22*Y22*(1+Z22)*(1+AA22)*(1+AB22)</f>
        <v>8603.01313010366</v>
      </c>
    </row>
    <row r="23" s="1" customFormat="1" spans="2:31">
      <c r="B23" s="39" t="s">
        <v>56</v>
      </c>
      <c r="C23" s="40"/>
      <c r="D23" s="39" t="s">
        <v>77</v>
      </c>
      <c r="E23" s="41"/>
      <c r="F23" s="39"/>
      <c r="G23" s="42"/>
      <c r="H23" s="39"/>
      <c r="I23" s="40"/>
      <c r="J23" s="43"/>
      <c r="K23" s="42"/>
      <c r="L23" s="39"/>
      <c r="M23" s="40"/>
      <c r="N23" s="5"/>
      <c r="P23" s="49" t="s">
        <v>69</v>
      </c>
      <c r="Q23" s="50">
        <v>0.7605</v>
      </c>
      <c r="R23" s="51" t="s">
        <v>69</v>
      </c>
      <c r="S23" s="51">
        <f t="shared" si="22"/>
        <v>962</v>
      </c>
      <c r="T23" s="50">
        <f t="shared" si="23"/>
        <v>1.70782536382536</v>
      </c>
      <c r="U23" s="50">
        <f>SUM($E$17:$E$21)</f>
        <v>1.32</v>
      </c>
      <c r="V23" s="52">
        <f t="shared" si="24"/>
        <v>2.61968</v>
      </c>
      <c r="W23" s="53">
        <f t="shared" si="25"/>
        <v>0.25</v>
      </c>
      <c r="X23" s="52">
        <f t="shared" si="26"/>
        <v>0.50131926121372</v>
      </c>
      <c r="Y23" s="51">
        <f>$AE$17</f>
        <v>0.9</v>
      </c>
      <c r="Z23" s="54"/>
      <c r="AA23" s="54"/>
      <c r="AB23" s="54"/>
      <c r="AC23" s="55">
        <f>Q23*S23*(1+T23)*(1+U23)*V23*(1+W23)*X23*Y23*(1+Z23)*(1+AA23)*(1+AB23)</f>
        <v>6790.44264187217</v>
      </c>
    </row>
    <row r="24" s="1" customFormat="1" spans="2:31">
      <c r="B24" s="44"/>
      <c r="C24" s="44"/>
      <c r="D24" s="44"/>
      <c r="E24" s="45"/>
      <c r="F24" s="44"/>
      <c r="G24" s="46"/>
      <c r="H24" s="44"/>
      <c r="I24" s="44"/>
      <c r="J24" s="46"/>
      <c r="K24" s="46"/>
      <c r="L24" s="44"/>
      <c r="M24" s="44"/>
      <c r="N24" s="5"/>
      <c r="P24" s="56" t="s">
        <v>69</v>
      </c>
      <c r="Q24" s="57">
        <v>1.2675</v>
      </c>
      <c r="R24" s="58" t="s">
        <v>69</v>
      </c>
      <c r="S24" s="51">
        <f t="shared" si="22"/>
        <v>962</v>
      </c>
      <c r="T24" s="50">
        <f t="shared" si="23"/>
        <v>1.70782536382536</v>
      </c>
      <c r="U24" s="50">
        <f>SUM($E$17:$E$21)</f>
        <v>1.32</v>
      </c>
      <c r="V24" s="52">
        <f t="shared" si="24"/>
        <v>2.61968</v>
      </c>
      <c r="W24" s="53">
        <f t="shared" si="25"/>
        <v>0.25</v>
      </c>
      <c r="X24" s="52">
        <f t="shared" si="26"/>
        <v>0.50131926121372</v>
      </c>
      <c r="Y24" s="51">
        <f>$AE$17</f>
        <v>0.9</v>
      </c>
      <c r="Z24" s="54"/>
      <c r="AA24" s="54"/>
      <c r="AB24" s="54"/>
      <c r="AC24" s="55">
        <f>Q24*S24*(1+T24)*(1+U24)*V24*(1+W24)*X24*Y24*(1+Z24)*(1+AA24)*(1+AB24)</f>
        <v>11317.4044031203</v>
      </c>
    </row>
    <row r="25" s="1" customFormat="1" ht="15" spans="2:31">
      <c r="B25" s="59" t="s">
        <v>84</v>
      </c>
      <c r="C25" s="5"/>
      <c r="D25" s="5"/>
      <c r="E25" s="5"/>
      <c r="F25" s="5"/>
      <c r="G25" s="6"/>
      <c r="H25" s="5"/>
      <c r="I25" s="5"/>
      <c r="J25" s="5"/>
      <c r="K25" s="5"/>
      <c r="L25" s="5"/>
      <c r="M25" s="5"/>
      <c r="N25" s="5"/>
      <c r="P25" s="15" t="s">
        <v>94</v>
      </c>
      <c r="Q25" s="16">
        <f>62.63%*2</f>
        <v>1.2526</v>
      </c>
      <c r="R25" s="17" t="s">
        <v>30</v>
      </c>
      <c r="S25" s="18">
        <f>$C$6</f>
        <v>912</v>
      </c>
      <c r="T25" s="19">
        <f>($C$7+$C$8+$C$9+$C$10)+($C$11+$C$12)/S25-27%</f>
        <v>1.53277192982456</v>
      </c>
      <c r="U25" s="19">
        <f>SUM($E$6:$E$10)-10%</f>
        <v>1.51</v>
      </c>
      <c r="V25" s="20">
        <f>1+$G$11*($I$11-1)</f>
        <v>2.91</v>
      </c>
      <c r="W25" s="21"/>
      <c r="X25" s="20">
        <f>$AE$8</f>
        <v>0.50131926121372</v>
      </c>
      <c r="Y25" s="18">
        <f>$AE$17</f>
        <v>0.9</v>
      </c>
      <c r="Z25" s="22"/>
      <c r="AA25" s="22"/>
      <c r="AB25" s="22"/>
      <c r="AC25" s="23">
        <f>Q25*S25*(1+T25)*(1+U25)*V25*(1+W25)*X25*Y25*(1+Z25)*(1+AA25)*(1+AB25)</f>
        <v>9535.13707913847</v>
      </c>
    </row>
    <row r="26" s="1" customFormat="1" spans="2:31">
      <c r="B26" s="60"/>
      <c r="C26" s="60" t="s">
        <v>86</v>
      </c>
      <c r="D26" s="60" t="s">
        <v>87</v>
      </c>
      <c r="E26" s="60" t="s">
        <v>88</v>
      </c>
      <c r="F26" s="61"/>
      <c r="G26" s="6"/>
      <c r="H26" s="5"/>
      <c r="I26" s="5"/>
      <c r="J26" s="5"/>
      <c r="K26" s="5"/>
      <c r="L26" s="5"/>
      <c r="M26" s="5"/>
      <c r="N26" s="5"/>
      <c r="P26" s="49" t="s">
        <v>30</v>
      </c>
      <c r="Q26" s="50">
        <v>2.9793</v>
      </c>
      <c r="R26" s="51" t="s">
        <v>30</v>
      </c>
      <c r="S26" s="51">
        <f>$C$17</f>
        <v>962</v>
      </c>
      <c r="T26" s="50">
        <f>($C$18+$C$19+$C$20+$C$21)+($C$22+$C$23)/S26</f>
        <v>1.70782536382536</v>
      </c>
      <c r="U26" s="50">
        <f>SUM($E$17:$E$21)</f>
        <v>1.32</v>
      </c>
      <c r="V26" s="52">
        <f>1+$G$22*($I$22-1)</f>
        <v>2.61968</v>
      </c>
      <c r="W26" s="53">
        <f>$K$17</f>
        <v>0.25</v>
      </c>
      <c r="X26" s="52">
        <f>$AE$7</f>
        <v>0.50131926121372</v>
      </c>
      <c r="Y26" s="51">
        <f>$AE$17</f>
        <v>0.9</v>
      </c>
      <c r="Z26" s="54"/>
      <c r="AA26" s="54"/>
      <c r="AB26" s="54"/>
      <c r="AC26" s="55">
        <f>Q26*S26*(1+T26)*(1+U26)*V26*(1+W26)*X26*Y26*(1+Z26)*(1+AA26)*(1+AB26)</f>
        <v>26601.927367429</v>
      </c>
    </row>
    <row r="27" s="1" customFormat="1" spans="2:31">
      <c r="B27" s="62" t="s">
        <v>142</v>
      </c>
      <c r="C27" s="62">
        <v>50000</v>
      </c>
      <c r="D27" s="62">
        <f>C27/E27</f>
        <v>2000</v>
      </c>
      <c r="E27" s="61">
        <v>25</v>
      </c>
      <c r="F27" s="61"/>
      <c r="G27" s="6"/>
      <c r="H27" s="5"/>
      <c r="I27" s="5"/>
      <c r="J27" s="5"/>
      <c r="K27" s="5"/>
      <c r="L27" s="5"/>
      <c r="M27" s="5"/>
      <c r="N27" s="5"/>
      <c r="P27" s="56" t="s">
        <v>30</v>
      </c>
      <c r="Q27" s="57">
        <v>2.3858</v>
      </c>
      <c r="R27" s="58" t="s">
        <v>30</v>
      </c>
      <c r="S27" s="51">
        <f>$C$17</f>
        <v>962</v>
      </c>
      <c r="T27" s="50">
        <f>($C$18+$C$19+$C$20+$C$21)+($C$22+$C$23)/S27</f>
        <v>1.70782536382536</v>
      </c>
      <c r="U27" s="50">
        <f>SUM($E$17:$E$21)+60%</f>
        <v>1.92</v>
      </c>
      <c r="V27" s="52">
        <f>1+$G$22*($I$22-1)</f>
        <v>2.61968</v>
      </c>
      <c r="W27" s="53">
        <f>$K$17</f>
        <v>0.25</v>
      </c>
      <c r="X27" s="52">
        <f>$AE$7</f>
        <v>0.50131926121372</v>
      </c>
      <c r="Y27" s="51">
        <f>$AE$17</f>
        <v>0.9</v>
      </c>
      <c r="Z27" s="54"/>
      <c r="AA27" s="54"/>
      <c r="AB27" s="54"/>
      <c r="AC27" s="55">
        <f>Q27*S27*(1+T27)*(1+U27)*V27*(1+W27)*X27*Y27*(1+Z27)*(1+AA27)*(1+AB27)</f>
        <v>26811.9109028416</v>
      </c>
    </row>
    <row r="28" s="1" customFormat="1" spans="2:31">
      <c r="B28" s="62" t="s">
        <v>63</v>
      </c>
      <c r="C28" s="62">
        <f>SUM(AC3:AC17)+AC25+AC29</f>
        <v>1015757.17011141</v>
      </c>
      <c r="D28" s="62">
        <f>C28/E27</f>
        <v>40630.2868044564</v>
      </c>
      <c r="E28" s="6"/>
      <c r="F28" s="5"/>
      <c r="G28" s="6"/>
      <c r="H28" s="5"/>
      <c r="I28" s="5"/>
      <c r="J28" s="5"/>
      <c r="K28" s="5"/>
      <c r="L28" s="5"/>
      <c r="M28" s="5"/>
      <c r="N28" s="5"/>
      <c r="P28" s="56" t="s">
        <v>61</v>
      </c>
      <c r="Q28" s="57"/>
      <c r="R28" s="58"/>
      <c r="S28" s="51"/>
      <c r="T28" s="50"/>
      <c r="U28" s="50"/>
      <c r="V28" s="52"/>
      <c r="W28" s="53"/>
      <c r="X28" s="52"/>
      <c r="Y28" s="51"/>
      <c r="Z28" s="54"/>
      <c r="AA28" s="54"/>
      <c r="AB28" s="54"/>
      <c r="AC28" s="55"/>
    </row>
    <row r="29" s="1" customFormat="1" spans="2:31">
      <c r="B29" s="62" t="s">
        <v>79</v>
      </c>
      <c r="C29" s="62">
        <f>SUM(AC18:AC28)-AC25</f>
        <v>240201.828784687</v>
      </c>
      <c r="D29" s="62">
        <f>C29/E27</f>
        <v>9608.0731513875</v>
      </c>
      <c r="E29" s="5"/>
      <c r="F29" s="5"/>
      <c r="G29" s="6"/>
      <c r="H29" s="5"/>
      <c r="I29" s="5"/>
      <c r="J29" s="5"/>
      <c r="K29" s="5"/>
      <c r="L29" s="5"/>
      <c r="M29" s="5"/>
      <c r="N29" s="5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="1" customFormat="1" spans="2:31">
      <c r="B30" s="62" t="s">
        <v>89</v>
      </c>
      <c r="C30" s="62">
        <f>D30*E27</f>
        <v>52100</v>
      </c>
      <c r="D30" s="62">
        <v>2084</v>
      </c>
      <c r="E30" s="5"/>
      <c r="F30" s="5"/>
      <c r="G30" s="6"/>
      <c r="H30" s="5"/>
      <c r="I30" s="5"/>
      <c r="J30" s="5"/>
      <c r="K30" s="5"/>
      <c r="L30" s="5"/>
      <c r="M30" s="5"/>
      <c r="N30" s="5"/>
      <c r="Q30" s="2"/>
      <c r="U30" s="2"/>
      <c r="V30" s="3"/>
      <c r="AB30" s="4"/>
      <c r="AC30" s="4"/>
    </row>
    <row r="31" s="1" customFormat="1" spans="2:31">
      <c r="B31" s="62" t="s">
        <v>90</v>
      </c>
      <c r="C31" s="62">
        <f>C27+C28+C29+C30</f>
        <v>1358058.9988961</v>
      </c>
      <c r="D31" s="62">
        <f>C31/E27</f>
        <v>54322.3599558439</v>
      </c>
      <c r="E31" s="5"/>
      <c r="F31" s="5"/>
      <c r="G31" s="6"/>
      <c r="H31" s="5"/>
      <c r="I31" s="5"/>
      <c r="J31" s="5"/>
      <c r="K31" s="5"/>
      <c r="L31" s="5"/>
      <c r="M31" s="5"/>
      <c r="N31" s="5"/>
      <c r="Q31" s="2"/>
      <c r="U31" s="2"/>
      <c r="V31" s="3"/>
      <c r="AB31" s="4"/>
      <c r="AC31" s="4"/>
    </row>
    <row r="32" s="1" customFormat="1" spans="2:31">
      <c r="B32" s="62"/>
      <c r="C32" s="62"/>
      <c r="D32" s="62"/>
      <c r="E32" s="5"/>
      <c r="F32" s="5"/>
      <c r="G32" s="2"/>
      <c r="J32" s="5"/>
      <c r="K32" s="5"/>
      <c r="L32" s="5"/>
      <c r="M32" s="5"/>
      <c r="N32" s="5"/>
      <c r="Q32" s="2"/>
      <c r="U32" s="2"/>
      <c r="V32" s="3"/>
      <c r="AB32" s="4"/>
      <c r="AC32" s="4"/>
    </row>
    <row r="33" s="1" customFormat="1" spans="2:29">
      <c r="B33" s="62"/>
      <c r="C33" s="62"/>
      <c r="D33" s="62"/>
      <c r="E33" s="5"/>
      <c r="F33" s="5"/>
      <c r="G33" s="2"/>
      <c r="J33" s="5"/>
      <c r="K33" s="5"/>
      <c r="L33" s="5"/>
      <c r="M33" s="5"/>
      <c r="N33" s="5"/>
      <c r="Q33" s="2"/>
      <c r="U33" s="2"/>
      <c r="V33" s="3"/>
      <c r="AB33" s="4"/>
      <c r="AC33" s="4"/>
    </row>
    <row r="34" s="1" customFormat="1" spans="2:29">
      <c r="B34" s="5"/>
      <c r="C34" s="5"/>
      <c r="D34" s="5"/>
      <c r="E34" s="5"/>
      <c r="G34" s="2"/>
      <c r="J34" s="5"/>
      <c r="K34" s="5"/>
      <c r="L34" s="5"/>
      <c r="M34" s="5"/>
      <c r="N34" s="5"/>
      <c r="Q34" s="2"/>
      <c r="U34" s="2"/>
      <c r="V34" s="3"/>
      <c r="AB34" s="4"/>
      <c r="AC34" s="4"/>
    </row>
    <row r="35" s="1" customFormat="1" spans="2:29">
      <c r="B35" s="5"/>
      <c r="C35" s="5"/>
      <c r="D35" s="5"/>
      <c r="E35" s="5"/>
      <c r="F35" s="62"/>
      <c r="G35" s="2"/>
      <c r="N35" s="5"/>
      <c r="Q35" s="2"/>
      <c r="U35" s="2"/>
      <c r="V35" s="3"/>
      <c r="AB35" s="4"/>
      <c r="AC35" s="4"/>
    </row>
    <row r="36" s="1" customFormat="1" ht="20" customHeight="1" spans="2:29">
      <c r="B36" s="62"/>
      <c r="C36" s="62"/>
      <c r="D36" s="62"/>
      <c r="E36" s="5"/>
      <c r="F36" s="62"/>
      <c r="G36" s="2"/>
      <c r="N36" s="5"/>
      <c r="Q36" s="2"/>
      <c r="U36" s="2"/>
      <c r="V36" s="3"/>
      <c r="AB36" s="4"/>
      <c r="AC36" s="4"/>
    </row>
    <row r="37" s="1" customFormat="1" ht="20" customHeight="1" spans="2:29">
      <c r="B37" s="62"/>
      <c r="C37" s="62"/>
      <c r="D37" s="62"/>
      <c r="E37" s="5"/>
      <c r="F37" s="5"/>
      <c r="G37" s="2"/>
      <c r="N37" s="5"/>
      <c r="Q37" s="2"/>
      <c r="U37" s="2"/>
      <c r="V37" s="3"/>
      <c r="AB37" s="4"/>
      <c r="AC37" s="4"/>
    </row>
    <row r="38" s="1" customFormat="1" ht="20" customHeight="1" spans="2:29">
      <c r="B38" s="5"/>
      <c r="C38" s="5"/>
      <c r="D38" s="5"/>
      <c r="E38" s="5"/>
      <c r="F38" s="62"/>
      <c r="G38" s="2"/>
      <c r="N38" s="5"/>
      <c r="Q38" s="2"/>
      <c r="U38" s="2"/>
      <c r="V38" s="3"/>
      <c r="AB38" s="4"/>
      <c r="AC38" s="4"/>
    </row>
    <row r="39" s="1" customFormat="1" ht="20" customHeight="1" spans="2:29">
      <c r="B39" s="62"/>
      <c r="C39" s="62"/>
      <c r="D39" s="62"/>
      <c r="E39" s="5"/>
      <c r="F39" s="62"/>
      <c r="G39" s="2"/>
      <c r="N39" s="5"/>
      <c r="Q39" s="2"/>
      <c r="U39" s="2"/>
      <c r="V39" s="3"/>
      <c r="AB39" s="4"/>
      <c r="AC39" s="4"/>
    </row>
    <row r="40" s="1" customFormat="1" ht="20" customHeight="1" spans="2:29">
      <c r="B40" s="62"/>
      <c r="C40" s="62"/>
      <c r="D40" s="62"/>
      <c r="E40" s="5"/>
      <c r="F40" s="5"/>
      <c r="G40" s="2"/>
      <c r="N40" s="5"/>
      <c r="Q40" s="2"/>
      <c r="U40" s="2"/>
      <c r="V40" s="3"/>
      <c r="AB40" s="4"/>
      <c r="AC40" s="4"/>
    </row>
    <row r="41" s="1" customFormat="1" ht="20" customHeight="1" spans="2:29">
      <c r="B41" s="5"/>
      <c r="C41" s="5"/>
      <c r="D41" s="5"/>
      <c r="E41" s="5"/>
      <c r="F41" s="62"/>
      <c r="G41" s="2"/>
      <c r="N41" s="5"/>
      <c r="Q41" s="2"/>
      <c r="U41" s="2"/>
      <c r="V41" s="3"/>
      <c r="AB41" s="4"/>
      <c r="AC41" s="4"/>
    </row>
    <row r="42" s="1" customFormat="1" spans="2:29">
      <c r="B42" s="62"/>
      <c r="C42" s="62"/>
      <c r="D42" s="62"/>
      <c r="E42" s="5"/>
      <c r="F42" s="62"/>
      <c r="G42" s="2"/>
      <c r="N42" s="5"/>
      <c r="Q42" s="2"/>
      <c r="U42" s="2"/>
      <c r="V42" s="3"/>
      <c r="AB42" s="4"/>
      <c r="AC42" s="4"/>
    </row>
    <row r="43" s="1" customFormat="1" spans="2:29">
      <c r="B43" s="62"/>
      <c r="C43" s="62"/>
      <c r="D43" s="62"/>
      <c r="E43" s="5"/>
      <c r="F43" s="5"/>
      <c r="G43" s="2"/>
      <c r="N43" s="5"/>
      <c r="Q43" s="2"/>
      <c r="U43" s="2"/>
      <c r="V43" s="3"/>
      <c r="AB43" s="4"/>
      <c r="AC43" s="4"/>
    </row>
    <row r="44" s="1" customFormat="1" spans="2:29">
      <c r="B44" s="5"/>
      <c r="C44" s="5"/>
      <c r="D44" s="5"/>
      <c r="E44" s="5"/>
      <c r="F44" s="62"/>
      <c r="G44" s="2"/>
      <c r="N44" s="5"/>
      <c r="Q44" s="2"/>
      <c r="U44" s="2"/>
      <c r="V44" s="3"/>
      <c r="AB44" s="4"/>
      <c r="AC44" s="4"/>
    </row>
    <row r="45" s="1" customFormat="1" spans="2:29">
      <c r="B45" s="62"/>
      <c r="C45" s="62"/>
      <c r="D45" s="62"/>
      <c r="E45" s="5"/>
      <c r="G45" s="2"/>
      <c r="N45" s="5"/>
      <c r="Q45" s="2"/>
      <c r="U45" s="2"/>
      <c r="V45" s="3"/>
      <c r="AB45" s="4"/>
      <c r="AC45" s="4"/>
    </row>
    <row r="46" s="1" customFormat="1" spans="2:29">
      <c r="G46" s="2"/>
      <c r="N46" s="5"/>
      <c r="Q46" s="2"/>
      <c r="U46" s="2"/>
      <c r="V46" s="3"/>
      <c r="AB46" s="4"/>
      <c r="AC46" s="4"/>
    </row>
    <row r="47" s="1" customFormat="1" spans="2:29">
      <c r="G47" s="2"/>
      <c r="N47" s="5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2:29">
      <c r="G48" s="2"/>
      <c r="H48" s="1"/>
      <c r="I48" s="1"/>
      <c r="J48" s="1"/>
      <c r="K48" s="1"/>
      <c r="L48" s="1"/>
      <c r="M48" s="1"/>
      <c r="N48" s="5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H49" s="1"/>
      <c r="I49" s="1"/>
      <c r="J49" s="1"/>
      <c r="K49" s="1"/>
      <c r="L49" s="1"/>
      <c r="M49" s="1"/>
      <c r="N49" s="5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H50" s="1"/>
      <c r="I50" s="1"/>
      <c r="J50" s="1"/>
      <c r="K50" s="1"/>
      <c r="L50" s="1"/>
      <c r="M50" s="1"/>
      <c r="N50" s="5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H51" s="1"/>
      <c r="I51" s="1"/>
      <c r="J51" s="1"/>
      <c r="K51" s="1"/>
      <c r="L51" s="1"/>
      <c r="M51" s="1"/>
      <c r="N51" s="5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H52" s="1"/>
      <c r="I52" s="1"/>
      <c r="J52" s="1"/>
      <c r="K52" s="1"/>
      <c r="L52" s="1"/>
      <c r="M52" s="1"/>
      <c r="N52" s="5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H53" s="1"/>
      <c r="I53" s="1"/>
      <c r="J53" s="1"/>
      <c r="K53" s="1"/>
      <c r="L53" s="1"/>
      <c r="M53" s="1"/>
      <c r="N53" s="5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H54" s="1"/>
      <c r="I54" s="1"/>
      <c r="J54" s="1"/>
      <c r="K54" s="1"/>
      <c r="L54" s="1"/>
      <c r="M54" s="1"/>
      <c r="N54" s="5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I55" s="1"/>
      <c r="J55" s="1"/>
      <c r="K55" s="1"/>
      <c r="L55" s="1"/>
      <c r="M55" s="1"/>
      <c r="N55" s="5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I56" s="1"/>
      <c r="J56" s="1"/>
      <c r="K56" s="1"/>
      <c r="L56" s="1"/>
      <c r="M56" s="1"/>
      <c r="N56" s="5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I57" s="1"/>
      <c r="J57" s="1"/>
      <c r="K57" s="1"/>
      <c r="L57" s="1"/>
      <c r="M57" s="1"/>
      <c r="N57" s="5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</sheetData>
  <mergeCells count="14">
    <mergeCell ref="B4:M4"/>
    <mergeCell ref="B5:C5"/>
    <mergeCell ref="D5:E5"/>
    <mergeCell ref="F5:G5"/>
    <mergeCell ref="H5:I5"/>
    <mergeCell ref="J5:K5"/>
    <mergeCell ref="L5:M5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菲咲光</vt:lpstr>
      <vt:lpstr>菲光守</vt:lpstr>
      <vt:lpstr>链菲光守</vt:lpstr>
      <vt:lpstr>链菲咲光</vt:lpstr>
      <vt:lpstr>赦罪轮</vt:lpstr>
      <vt:lpstr>告解轮</vt:lpstr>
      <vt:lpstr>菲琳光</vt:lpstr>
      <vt:lpstr>菲光莫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2025-10-21T06:58:00Z</dcterms:created>
  <dcterms:modified xsi:type="dcterms:W3CDTF">2025-12-26T16:39:51Z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666D2CABB715430680EBF9057B178BD7_11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