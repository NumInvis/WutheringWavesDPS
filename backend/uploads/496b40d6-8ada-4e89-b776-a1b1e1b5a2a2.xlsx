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10750" activeTab="3"/>
  </bookViews>
  <sheets>
    <sheet name="01" sheetId="1" r:id="rId1"/>
    <sheet name="11" sheetId="2" r:id="rId2"/>
    <sheet name="21" sheetId="3" r:id="rId3"/>
    <sheet name="卜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<sst xmlns="http://schemas.openxmlformats.org/spreadsheetml/2006/main" count="533" uniqueCount="96">
  <si>
    <t>弗洛洛</t>
  </si>
  <si>
    <t>动作</t>
  </si>
  <si>
    <t>倍率</t>
  </si>
  <si>
    <t>类型</t>
  </si>
  <si>
    <t>攻击白值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</si>
  <si>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</si>
  <si>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</si>
  <si>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</si>
  <si>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</si>
  <si>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</si>
  <si>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</si>
  <si>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</si>
  <si>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</si>
  <si>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</si>
  <si>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</si>
  <si>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特殊计数</t>
  </si>
  <si>
    <t>溢出</t>
  </si>
  <si>
    <t>减防</t>
  </si>
  <si>
    <t>怪物等级</t>
  </si>
  <si>
    <t>攻击</t>
  </si>
  <si>
    <t>暴击</t>
  </si>
  <si>
    <t>暴击伤害</t>
  </si>
  <si>
    <t>10双爆2攻2技</t>
  </si>
  <si>
    <t>弗变奏</t>
  </si>
  <si>
    <t>e</t>
  </si>
  <si>
    <t>白值</t>
  </si>
  <si>
    <t>3C声骸</t>
  </si>
  <si>
    <t>基础</t>
  </si>
  <si>
    <t>全加深</t>
  </si>
  <si>
    <t>大攻击</t>
  </si>
  <si>
    <t>a3</t>
  </si>
  <si>
    <t>a</t>
  </si>
  <si>
    <t>固有和武器</t>
  </si>
  <si>
    <t>首位加成</t>
  </si>
  <si>
    <t>武器</t>
  </si>
  <si>
    <t>声骸</t>
  </si>
  <si>
    <t>声骸加深</t>
  </si>
  <si>
    <t>共技伤害</t>
  </si>
  <si>
    <t>回路1</t>
  </si>
  <si>
    <t>声骸和词条</t>
  </si>
  <si>
    <t>套装效果</t>
  </si>
  <si>
    <t>套装</t>
  </si>
  <si>
    <t>共技加深</t>
  </si>
  <si>
    <t>声骸技</t>
  </si>
  <si>
    <t>q</t>
  </si>
  <si>
    <t>卜灵</t>
  </si>
  <si>
    <t>其他buff</t>
  </si>
  <si>
    <t>爆伤</t>
  </si>
  <si>
    <t>队友buff</t>
  </si>
  <si>
    <t>武器效果</t>
  </si>
  <si>
    <t>守岸人</t>
  </si>
  <si>
    <t>声骸固定攻击</t>
  </si>
  <si>
    <t>e加成</t>
  </si>
  <si>
    <t>面板暴击率</t>
  </si>
  <si>
    <t>面板暴击伤害</t>
  </si>
  <si>
    <t>a123</t>
  </si>
  <si>
    <t>额外固定攻击</t>
  </si>
  <si>
    <t>q加成</t>
  </si>
  <si>
    <t xml:space="preserve">                                                                             </t>
  </si>
  <si>
    <t>谱曲终末基础</t>
  </si>
  <si>
    <t>坎特蕾拉</t>
  </si>
  <si>
    <t>谱曲终末附加</t>
  </si>
  <si>
    <t>普攻加深</t>
  </si>
  <si>
    <t>a伤害</t>
  </si>
  <si>
    <t>赫卡忒普攻4组</t>
  </si>
  <si>
    <t>赫卡忒强化7组</t>
  </si>
  <si>
    <t>自拐</t>
  </si>
  <si>
    <t>坎变奏</t>
  </si>
  <si>
    <t>变奏</t>
  </si>
  <si>
    <t>e1</t>
  </si>
  <si>
    <t>加成</t>
  </si>
  <si>
    <t>z</t>
  </si>
  <si>
    <t>e2</t>
  </si>
  <si>
    <t>惊醒</t>
  </si>
  <si>
    <t>20抗90级怪</t>
  </si>
  <si>
    <t>r</t>
  </si>
  <si>
    <t>4A7赫第二轮</t>
  </si>
  <si>
    <t>总伤</t>
  </si>
  <si>
    <t>dps</t>
  </si>
  <si>
    <t>秒数</t>
  </si>
  <si>
    <t>强化a123</t>
  </si>
  <si>
    <t>e3</t>
  </si>
  <si>
    <t>a1</t>
  </si>
  <si>
    <t>合计</t>
  </si>
  <si>
    <t>声骸技能</t>
  </si>
  <si>
    <t>协同</t>
  </si>
  <si>
    <t>召劾鬼神</t>
  </si>
  <si>
    <t>bz</t>
  </si>
  <si>
    <t>遁影牵雷</t>
  </si>
  <si>
    <t>重击加深</t>
  </si>
  <si>
    <t>重击·山雷颐</t>
  </si>
  <si>
    <t>无归</t>
  </si>
  <si>
    <t>a1234</t>
  </si>
  <si>
    <t>奶套</t>
  </si>
  <si>
    <t>重击·震为雷</t>
  </si>
  <si>
    <t>飞雷诀·归一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</si>
</sst>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%"/>
    <numFmt numFmtId="179" formatCode="0.0000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2"/>
      <color rgb="FF000000"/>
      <name val="宋体"/>
      <charset val="134"/>
    </font>
    <font>
      <b/>
      <i/>
      <sz val="12"/>
      <color rgb="FF843E0B"/>
      <name val="宋体"/>
      <charset val="134"/>
    </font>
    <font>
      <b/>
      <sz val="11"/>
      <color rgb="FF000000"/>
      <name val="宋体"/>
      <charset val="134"/>
    </font>
    <font>
      <b/>
      <i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4" applyNumberFormat="0" applyAlignment="0" applyProtection="0">
      <alignment vertical="center"/>
    </xf>
    <xf numFmtId="0" fontId="16" fillId="11" borderId="25" applyNumberFormat="0" applyAlignment="0" applyProtection="0">
      <alignment vertical="center"/>
    </xf>
    <xf numFmtId="0" fontId="17" fillId="11" borderId="24" applyNumberFormat="0" applyAlignment="0" applyProtection="0">
      <alignment vertical="center"/>
    </xf>
    <xf numFmtId="0" fontId="18" fillId="12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/>
    <xf numFmtId="10" fontId="1" fillId="0" borderId="0" xfId="0" applyNumberFormat="1" applyFont="1" applyFill="1" applyAlignment="1"/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9" fontId="1" fillId="0" borderId="5" xfId="0" applyNumberFormat="1" applyFont="1" applyFill="1" applyBorder="1" applyAlignment="1">
      <alignment horizontal="center" vertical="center"/>
    </xf>
    <xf numFmtId="10" fontId="1" fillId="0" borderId="5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0" fontId="1" fillId="3" borderId="5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9" fontId="1" fillId="0" borderId="7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0" fontId="1" fillId="5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9" fontId="1" fillId="0" borderId="4" xfId="0" applyNumberFormat="1" applyFont="1" applyFill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9" fontId="1" fillId="3" borderId="5" xfId="0" applyNumberFormat="1" applyFont="1" applyFill="1" applyBorder="1" applyAlignment="1">
      <alignment horizontal="center" vertical="center"/>
    </xf>
    <xf numFmtId="10" fontId="1" fillId="0" borderId="6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79" fontId="1" fillId="5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77" fontId="1" fillId="5" borderId="9" xfId="0" applyNumberFormat="1" applyFont="1" applyFill="1" applyBorder="1" applyAlignment="1">
      <alignment horizontal="center" vertical="center"/>
    </xf>
    <xf numFmtId="177" fontId="1" fillId="5" borderId="1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9" fontId="1" fillId="6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177" fontId="1" fillId="2" borderId="12" xfId="0" applyNumberFormat="1" applyFont="1" applyFill="1" applyBorder="1" applyAlignment="1">
      <alignment horizontal="center" vertical="center"/>
    </xf>
    <xf numFmtId="177" fontId="1" fillId="6" borderId="0" xfId="0" applyNumberFormat="1" applyFont="1" applyFill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9" fontId="1" fillId="0" borderId="3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10" fontId="1" fillId="7" borderId="0" xfId="0" applyNumberFormat="1" applyFont="1" applyFill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10" fontId="1" fillId="7" borderId="20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0" fontId="1" fillId="7" borderId="0" xfId="0" applyNumberFormat="1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9" fontId="1" fillId="7" borderId="0" xfId="0" applyNumberFormat="1" applyFont="1" applyFill="1" applyAlignment="1">
      <alignment horizontal="center" vertical="center"/>
    </xf>
    <xf numFmtId="177" fontId="1" fillId="7" borderId="1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9"/>
  <sheetViews>
    <sheetView workbookViewId="0">
      <selection activeCell="A1" sqref="$A1:$XFD1048576"/>
    </sheetView>
  </sheetViews>
  <sheetFormatPr defaultColWidth="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636363636364" style="1" customWidth="1"/>
    <col min="7" max="7" width="18.6909090909091" style="2" customWidth="1"/>
    <col min="8" max="8" width="18.6909090909091" style="1" customWidth="1"/>
    <col min="9" max="9" width="12.5363636363636" style="1" customWidth="1"/>
    <col min="10" max="10" width="9" style="1" customWidth="1"/>
    <col min="11" max="11" width="8.91818181818182" style="1" customWidth="1"/>
    <col min="12" max="12" width="10.3090909090909" style="1" customWidth="1"/>
    <col min="13" max="13" width="7.91818181818182" style="1" customWidth="1"/>
    <col min="14" max="14" width="9.69090909090909" style="1"/>
    <col min="15" max="15" width="21.8454545454545" style="1" customWidth="1"/>
    <col min="16" max="16" width="8.91818181818182" style="2" customWidth="1"/>
    <col min="17" max="17" width="6" style="1" customWidth="1"/>
    <col min="18" max="18" width="10.3090909090909" style="1" customWidth="1"/>
    <col min="19" max="19" width="9.69090909090909" style="1" customWidth="1"/>
    <col min="20" max="20" width="8.15454545454545" style="2" customWidth="1"/>
    <col min="21" max="21" width="8.15454545454545" style="3" customWidth="1"/>
    <col min="22" max="24" width="8.15454545454545" style="1" customWidth="1"/>
    <col min="25" max="25" width="10.3090909090909" style="1" customWidth="1"/>
    <col min="26" max="26" width="8.15454545454545" style="1" customWidth="1"/>
    <col min="27" max="27" width="10.3090909090909" style="4" customWidth="1"/>
    <col min="28" max="28" width="7.22727272727273" style="4" customWidth="1"/>
    <col min="29" max="30" width="10.7636363636364" style="1" customWidth="1"/>
    <col min="31" max="31" width="6" style="1" customWidth="1"/>
    <col min="32" max="32" width="8.15454545454545" style="1" customWidth="1"/>
    <col min="33" max="33" width="10.3090909090909" style="1" customWidth="1"/>
    <col min="34" max="15895" width="9.69090909090909" style="1"/>
    <col min="15896" max="15896" width="9.69090909090909" style="5"/>
    <col min="15897" max="16384" width="9" style="5"/>
  </cols>
  <sheetData>
    <row r="1" s="1" customFormat="1" ht="15" spans="2:3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1"/>
      <c r="O1" s="29" t="s">
        <v>1</v>
      </c>
      <c r="P1" s="30" t="s">
        <v>2</v>
      </c>
      <c r="Q1" s="37" t="s">
        <v>3</v>
      </c>
      <c r="R1" s="37" t="s">
        <v>4</v>
      </c>
      <c r="S1" s="37" t="s">
        <v>5</v>
      </c>
      <c r="T1" s="30" t="s">
        <v>6</v>
      </c>
      <c r="U1" s="38" t="s">
        <v>7</v>
      </c>
      <c r="V1" s="37" t="s">
        <v>8</v>
      </c>
      <c r="W1" s="37" t="s">
        <v>9</v>
      </c>
      <c r="X1" s="37" t="s">
        <v>10</v>
      </c>
      <c r="Y1" s="37" t="s">
        <v>11</v>
      </c>
      <c r="Z1" s="37" t="s">
        <v>12</v>
      </c>
      <c r="AA1" s="41" t="s">
        <v>13</v>
      </c>
      <c r="AB1" s="42" t="s">
        <v>14</v>
      </c>
      <c r="AC1" s="64" t="s">
        <v>15</v>
      </c>
      <c r="AD1" s="64" t="s">
        <v>16</v>
      </c>
      <c r="AE1" s="43" t="s">
        <v>17</v>
      </c>
      <c r="AF1" s="44" t="s">
        <v>9</v>
      </c>
      <c r="AG1" s="44" t="s">
        <v>18</v>
      </c>
    </row>
    <row r="2" s="1" customFormat="1" spans="2:33">
      <c r="B2" s="7" t="s">
        <v>19</v>
      </c>
      <c r="C2" s="8"/>
      <c r="D2" s="7" t="s">
        <v>6</v>
      </c>
      <c r="E2" s="8"/>
      <c r="F2" s="7" t="s">
        <v>20</v>
      </c>
      <c r="G2" s="8"/>
      <c r="H2" s="7" t="s">
        <v>21</v>
      </c>
      <c r="I2" s="8"/>
      <c r="J2" s="7" t="s">
        <v>8</v>
      </c>
      <c r="K2" s="8"/>
      <c r="L2" s="7" t="s">
        <v>22</v>
      </c>
      <c r="M2" s="8"/>
      <c r="N2" s="21"/>
      <c r="O2" s="31" t="s">
        <v>23</v>
      </c>
      <c r="P2" s="32">
        <v>5.9643</v>
      </c>
      <c r="Q2" s="39" t="s">
        <v>24</v>
      </c>
      <c r="R2" s="39">
        <f t="shared" ref="R2:R15" si="0">$C$3</f>
        <v>1024</v>
      </c>
      <c r="S2" s="32">
        <f t="shared" ref="S2:S13" si="1">($C$4+$C$5+$C$6+$C$7)+($C$8+$C$9)/R2</f>
        <v>1.738796875</v>
      </c>
      <c r="T2" s="32">
        <f t="shared" ref="T2:T7" si="2">SUM($E$3:$E$6,$E$8)</f>
        <v>1.832</v>
      </c>
      <c r="U2" s="40">
        <f t="shared" ref="U2:U15" si="3">1+$G$8*($I$8-1+AC2*2.5%+AD2*1%)</f>
        <v>3.12715</v>
      </c>
      <c r="V2" s="32">
        <f t="shared" ref="V2:V7" si="4">$K$3+$K$5</f>
        <v>0.6</v>
      </c>
      <c r="W2" s="40">
        <f t="shared" ref="W2:W15" si="5">$AF$3</f>
        <v>0.522150159393207</v>
      </c>
      <c r="X2" s="39">
        <v>0.8</v>
      </c>
      <c r="Y2" s="45">
        <v>0</v>
      </c>
      <c r="Z2" s="45">
        <v>0</v>
      </c>
      <c r="AA2" s="45">
        <v>0</v>
      </c>
      <c r="AB2" s="46">
        <f t="shared" ref="AB2:AB27" si="6">P2*R2*(1+S2)*(1+T2)*U2*(1+V2)*W2*X2*(1+Y2)*(1+Z2)*(1+AA2)</f>
        <v>99007.161006092</v>
      </c>
      <c r="AC2" s="65">
        <v>17</v>
      </c>
      <c r="AD2" s="65"/>
      <c r="AE2" s="43">
        <v>0</v>
      </c>
      <c r="AF2" s="44">
        <f t="shared" ref="AF2:AF7" si="7">1520/(1520+(792+8*AG2)*(1-AE2/100))</f>
        <v>0.50131926121372</v>
      </c>
      <c r="AG2" s="47">
        <v>90</v>
      </c>
    </row>
    <row r="3" s="1" customFormat="1" spans="2:33">
      <c r="B3" s="9" t="s">
        <v>25</v>
      </c>
      <c r="C3" s="10">
        <v>1024</v>
      </c>
      <c r="D3" s="9" t="s">
        <v>26</v>
      </c>
      <c r="E3" s="11">
        <v>0.6</v>
      </c>
      <c r="F3" s="9" t="s">
        <v>27</v>
      </c>
      <c r="G3" s="12">
        <v>0.13</v>
      </c>
      <c r="H3" s="9" t="s">
        <v>27</v>
      </c>
      <c r="I3" s="11">
        <v>1.5</v>
      </c>
      <c r="J3" s="33" t="s">
        <v>28</v>
      </c>
      <c r="K3" s="11">
        <v>0.35</v>
      </c>
      <c r="L3" s="9" t="s">
        <v>29</v>
      </c>
      <c r="M3" s="12">
        <f>8.6%*2</f>
        <v>0.172</v>
      </c>
      <c r="N3" s="21"/>
      <c r="O3" s="31" t="s">
        <v>30</v>
      </c>
      <c r="P3" s="32">
        <f>32.69%*6</f>
        <v>1.9614</v>
      </c>
      <c r="Q3" s="39" t="s">
        <v>31</v>
      </c>
      <c r="R3" s="39">
        <f t="shared" si="0"/>
        <v>1024</v>
      </c>
      <c r="S3" s="32">
        <f t="shared" si="1"/>
        <v>1.738796875</v>
      </c>
      <c r="T3" s="32">
        <f>SUM($E$3:$E$6)</f>
        <v>0.94</v>
      </c>
      <c r="U3" s="40">
        <f t="shared" si="3"/>
        <v>3.12715</v>
      </c>
      <c r="V3" s="32">
        <f>$K$3</f>
        <v>0.35</v>
      </c>
      <c r="W3" s="40">
        <f t="shared" si="5"/>
        <v>0.522150159393207</v>
      </c>
      <c r="X3" s="39">
        <v>0.8</v>
      </c>
      <c r="Y3" s="45">
        <v>0</v>
      </c>
      <c r="Z3" s="45">
        <v>0</v>
      </c>
      <c r="AA3" s="45">
        <v>0</v>
      </c>
      <c r="AB3" s="46">
        <f t="shared" si="6"/>
        <v>18818.9576593111</v>
      </c>
      <c r="AC3" s="65">
        <v>17</v>
      </c>
      <c r="AD3" s="65"/>
      <c r="AE3" s="43">
        <v>8</v>
      </c>
      <c r="AF3" s="44">
        <f t="shared" si="7"/>
        <v>0.522150159393207</v>
      </c>
      <c r="AG3" s="47">
        <v>90</v>
      </c>
    </row>
    <row r="4" s="1" customFormat="1" spans="2:33">
      <c r="B4" s="9" t="s">
        <v>32</v>
      </c>
      <c r="C4" s="11">
        <v>0.24</v>
      </c>
      <c r="D4" s="9" t="s">
        <v>33</v>
      </c>
      <c r="E4" s="11">
        <v>0.12</v>
      </c>
      <c r="F4" s="9" t="s">
        <v>34</v>
      </c>
      <c r="G4" s="12">
        <v>0.243</v>
      </c>
      <c r="H4" s="9" t="s">
        <v>35</v>
      </c>
      <c r="I4" s="12">
        <f>44%+M6</f>
        <v>1.25</v>
      </c>
      <c r="J4" s="34" t="s">
        <v>36</v>
      </c>
      <c r="K4" s="12">
        <f>32%</f>
        <v>0.32</v>
      </c>
      <c r="L4" s="9" t="s">
        <v>37</v>
      </c>
      <c r="M4" s="12">
        <f>8.6%*2</f>
        <v>0.172</v>
      </c>
      <c r="N4" s="21"/>
      <c r="O4" s="31" t="s">
        <v>38</v>
      </c>
      <c r="P4" s="32">
        <f t="shared" ref="P4:P9" si="8">37.88%*4+117.88%*3</f>
        <v>5.0516</v>
      </c>
      <c r="Q4" s="39" t="s">
        <v>24</v>
      </c>
      <c r="R4" s="39">
        <f t="shared" si="0"/>
        <v>1024</v>
      </c>
      <c r="S4" s="32">
        <f t="shared" si="1"/>
        <v>1.738796875</v>
      </c>
      <c r="T4" s="32">
        <f t="shared" si="2"/>
        <v>1.832</v>
      </c>
      <c r="U4" s="40">
        <f t="shared" si="3"/>
        <v>3.12715</v>
      </c>
      <c r="V4" s="32">
        <f t="shared" si="4"/>
        <v>0.6</v>
      </c>
      <c r="W4" s="40">
        <f t="shared" si="5"/>
        <v>0.522150159393207</v>
      </c>
      <c r="X4" s="39">
        <v>0.8</v>
      </c>
      <c r="Y4" s="45">
        <v>0</v>
      </c>
      <c r="Z4" s="45">
        <v>0</v>
      </c>
      <c r="AA4" s="45">
        <v>0</v>
      </c>
      <c r="AB4" s="46">
        <f t="shared" si="6"/>
        <v>83856.3745181118</v>
      </c>
      <c r="AC4" s="65">
        <v>17</v>
      </c>
      <c r="AD4" s="65"/>
      <c r="AE4" s="43">
        <v>14.4</v>
      </c>
      <c r="AF4" s="44">
        <f t="shared" si="7"/>
        <v>0.540104154822277</v>
      </c>
      <c r="AG4" s="47">
        <v>90</v>
      </c>
    </row>
    <row r="5" s="1" customFormat="1" spans="2:33">
      <c r="B5" s="9" t="s">
        <v>39</v>
      </c>
      <c r="C5" s="11">
        <f>18%+18%+M3</f>
        <v>0.532</v>
      </c>
      <c r="D5" s="9" t="s">
        <v>40</v>
      </c>
      <c r="E5" s="11">
        <f>10%</f>
        <v>0.1</v>
      </c>
      <c r="F5" s="9" t="s">
        <v>41</v>
      </c>
      <c r="G5" s="12">
        <v>0.2</v>
      </c>
      <c r="H5" s="9"/>
      <c r="I5" s="12"/>
      <c r="J5" s="34" t="s">
        <v>42</v>
      </c>
      <c r="K5" s="12">
        <v>0.25</v>
      </c>
      <c r="L5" s="9" t="s">
        <v>20</v>
      </c>
      <c r="M5" s="12">
        <f>8.1*5%</f>
        <v>0.405</v>
      </c>
      <c r="N5" s="21"/>
      <c r="O5" s="31" t="s">
        <v>43</v>
      </c>
      <c r="P5" s="32">
        <f>224.1%*2</f>
        <v>4.482</v>
      </c>
      <c r="Q5" s="39" t="s">
        <v>44</v>
      </c>
      <c r="R5" s="39">
        <f t="shared" si="0"/>
        <v>1024</v>
      </c>
      <c r="S5" s="32">
        <f t="shared" si="1"/>
        <v>1.738796875</v>
      </c>
      <c r="T5" s="32">
        <f>SUM($E$3:$E$6,$E$9)</f>
        <v>1.49</v>
      </c>
      <c r="U5" s="40">
        <f t="shared" si="3"/>
        <v>3.12715</v>
      </c>
      <c r="V5" s="32">
        <f>$K$3+$K$4</f>
        <v>0.67</v>
      </c>
      <c r="W5" s="40">
        <f t="shared" si="5"/>
        <v>0.522150159393207</v>
      </c>
      <c r="X5" s="39">
        <v>0.8</v>
      </c>
      <c r="Y5" s="45">
        <v>0</v>
      </c>
      <c r="Z5" s="45">
        <v>0</v>
      </c>
      <c r="AA5" s="45">
        <v>0</v>
      </c>
      <c r="AB5" s="46">
        <f t="shared" si="6"/>
        <v>68278.1218305169</v>
      </c>
      <c r="AC5" s="65">
        <v>17</v>
      </c>
      <c r="AD5" s="65"/>
      <c r="AE5" s="43">
        <v>21.6</v>
      </c>
      <c r="AF5" s="44">
        <f t="shared" si="7"/>
        <v>0.561837623012869</v>
      </c>
      <c r="AG5" s="47">
        <v>90</v>
      </c>
    </row>
    <row r="6" s="1" customFormat="1" spans="2:33">
      <c r="B6" s="9" t="s">
        <v>45</v>
      </c>
      <c r="C6" s="13">
        <f>25%+15%</f>
        <v>0.4</v>
      </c>
      <c r="D6" s="9" t="s">
        <v>46</v>
      </c>
      <c r="E6" s="11">
        <v>0.12</v>
      </c>
      <c r="F6" s="9" t="s">
        <v>35</v>
      </c>
      <c r="G6" s="12">
        <f>M5</f>
        <v>0.405</v>
      </c>
      <c r="H6" s="9"/>
      <c r="I6" s="12"/>
      <c r="J6" s="34"/>
      <c r="K6" s="12"/>
      <c r="L6" s="9" t="s">
        <v>47</v>
      </c>
      <c r="M6" s="11">
        <f>16.2%*5</f>
        <v>0.81</v>
      </c>
      <c r="N6" s="21"/>
      <c r="O6" s="31" t="s">
        <v>24</v>
      </c>
      <c r="P6" s="32">
        <f>105.97%*2</f>
        <v>2.1194</v>
      </c>
      <c r="Q6" s="39" t="s">
        <v>24</v>
      </c>
      <c r="R6" s="39">
        <f t="shared" si="0"/>
        <v>1024</v>
      </c>
      <c r="S6" s="32">
        <f t="shared" si="1"/>
        <v>1.738796875</v>
      </c>
      <c r="T6" s="32">
        <f t="shared" si="2"/>
        <v>1.832</v>
      </c>
      <c r="U6" s="40">
        <f t="shared" si="3"/>
        <v>3.12715</v>
      </c>
      <c r="V6" s="32">
        <f t="shared" si="4"/>
        <v>0.6</v>
      </c>
      <c r="W6" s="40">
        <f t="shared" si="5"/>
        <v>0.522150159393207</v>
      </c>
      <c r="X6" s="39">
        <v>0.8</v>
      </c>
      <c r="Y6" s="45">
        <v>0</v>
      </c>
      <c r="Z6" s="45">
        <v>0</v>
      </c>
      <c r="AA6" s="45">
        <v>0</v>
      </c>
      <c r="AB6" s="46">
        <f t="shared" si="6"/>
        <v>35181.962181029</v>
      </c>
      <c r="AC6" s="65">
        <v>17</v>
      </c>
      <c r="AD6" s="65"/>
      <c r="AE6" s="43">
        <v>28.8</v>
      </c>
      <c r="AF6" s="44">
        <f t="shared" si="7"/>
        <v>0.585393507677898</v>
      </c>
      <c r="AG6" s="47">
        <v>90</v>
      </c>
    </row>
    <row r="7" s="1" customFormat="1" spans="2:33">
      <c r="B7" s="9" t="s">
        <v>48</v>
      </c>
      <c r="C7" s="13">
        <f>22.5%</f>
        <v>0.225</v>
      </c>
      <c r="D7" s="9" t="s">
        <v>49</v>
      </c>
      <c r="E7" s="14"/>
      <c r="F7" s="9" t="s">
        <v>50</v>
      </c>
      <c r="G7" s="12">
        <v>0</v>
      </c>
      <c r="H7" s="9" t="s">
        <v>50</v>
      </c>
      <c r="I7" s="12">
        <v>0</v>
      </c>
      <c r="J7" s="34"/>
      <c r="K7" s="12"/>
      <c r="L7" s="9"/>
      <c r="M7" s="10"/>
      <c r="N7" s="21"/>
      <c r="O7" s="31" t="s">
        <v>38</v>
      </c>
      <c r="P7" s="32">
        <f t="shared" si="8"/>
        <v>5.0516</v>
      </c>
      <c r="Q7" s="39" t="s">
        <v>24</v>
      </c>
      <c r="R7" s="39">
        <f t="shared" si="0"/>
        <v>1024</v>
      </c>
      <c r="S7" s="32">
        <f t="shared" si="1"/>
        <v>1.738796875</v>
      </c>
      <c r="T7" s="32">
        <f t="shared" si="2"/>
        <v>1.832</v>
      </c>
      <c r="U7" s="40">
        <f t="shared" si="3"/>
        <v>3.12715</v>
      </c>
      <c r="V7" s="32">
        <f t="shared" si="4"/>
        <v>0.6</v>
      </c>
      <c r="W7" s="40">
        <f t="shared" si="5"/>
        <v>0.522150159393207</v>
      </c>
      <c r="X7" s="39">
        <v>0.8</v>
      </c>
      <c r="Y7" s="45">
        <v>0</v>
      </c>
      <c r="Z7" s="45">
        <v>0</v>
      </c>
      <c r="AA7" s="45">
        <v>0</v>
      </c>
      <c r="AB7" s="46">
        <f t="shared" si="6"/>
        <v>83856.3745181118</v>
      </c>
      <c r="AC7" s="65">
        <v>17</v>
      </c>
      <c r="AD7" s="65"/>
      <c r="AE7" s="43">
        <v>36</v>
      </c>
      <c r="AF7" s="44">
        <f t="shared" si="7"/>
        <v>0.611011062516079</v>
      </c>
      <c r="AG7" s="47">
        <v>90</v>
      </c>
    </row>
    <row r="8" s="1" customFormat="1" spans="2:30">
      <c r="B8" s="9" t="s">
        <v>51</v>
      </c>
      <c r="C8" s="10">
        <v>350</v>
      </c>
      <c r="D8" s="9" t="s">
        <v>52</v>
      </c>
      <c r="E8" s="11">
        <f>32%+M4+40%</f>
        <v>0.892</v>
      </c>
      <c r="F8" s="15" t="s">
        <v>53</v>
      </c>
      <c r="G8" s="16">
        <f>MIN(100%,SUM(G3:G7))</f>
        <v>0.978</v>
      </c>
      <c r="H8" s="15" t="s">
        <v>54</v>
      </c>
      <c r="I8" s="35">
        <f>SUM(I3:I7)</f>
        <v>2.75</v>
      </c>
      <c r="J8" s="34"/>
      <c r="K8" s="12"/>
      <c r="L8" s="9"/>
      <c r="M8" s="10"/>
      <c r="N8" s="21"/>
      <c r="O8" s="31" t="s">
        <v>55</v>
      </c>
      <c r="P8" s="32">
        <f>53.45%*2+95.43%+32.69%*6</f>
        <v>3.9847</v>
      </c>
      <c r="Q8" s="39" t="s">
        <v>31</v>
      </c>
      <c r="R8" s="39">
        <f t="shared" si="0"/>
        <v>1024</v>
      </c>
      <c r="S8" s="32">
        <f t="shared" si="1"/>
        <v>1.738796875</v>
      </c>
      <c r="T8" s="32">
        <f>SUM($E$3:$E$6)</f>
        <v>0.94</v>
      </c>
      <c r="U8" s="40">
        <f t="shared" si="3"/>
        <v>3.12715</v>
      </c>
      <c r="V8" s="32">
        <f>$K$3</f>
        <v>0.35</v>
      </c>
      <c r="W8" s="40">
        <f t="shared" si="5"/>
        <v>0.522150159393207</v>
      </c>
      <c r="X8" s="39">
        <v>0.8</v>
      </c>
      <c r="Y8" s="45">
        <v>0</v>
      </c>
      <c r="Z8" s="45">
        <v>0</v>
      </c>
      <c r="AA8" s="45">
        <v>0</v>
      </c>
      <c r="AB8" s="46">
        <f t="shared" si="6"/>
        <v>38231.8245054844</v>
      </c>
      <c r="AC8" s="65">
        <v>17</v>
      </c>
      <c r="AD8" s="65"/>
    </row>
    <row r="9" s="1" customFormat="1" spans="2:30">
      <c r="B9" s="17" t="s">
        <v>56</v>
      </c>
      <c r="C9" s="18"/>
      <c r="D9" s="17" t="s">
        <v>57</v>
      </c>
      <c r="E9" s="19">
        <f>35%+20%</f>
        <v>0.55</v>
      </c>
      <c r="F9" s="17"/>
      <c r="G9" s="20"/>
      <c r="H9" s="17"/>
      <c r="I9" s="18"/>
      <c r="J9" s="36"/>
      <c r="K9" s="20"/>
      <c r="L9" s="17"/>
      <c r="M9" s="18"/>
      <c r="N9" s="21"/>
      <c r="O9" s="31" t="s">
        <v>38</v>
      </c>
      <c r="P9" s="32">
        <f t="shared" si="8"/>
        <v>5.0516</v>
      </c>
      <c r="Q9" s="39" t="s">
        <v>24</v>
      </c>
      <c r="R9" s="39">
        <f t="shared" si="0"/>
        <v>1024</v>
      </c>
      <c r="S9" s="32">
        <f t="shared" si="1"/>
        <v>1.738796875</v>
      </c>
      <c r="T9" s="32">
        <f t="shared" ref="T9:T11" si="9">SUM($E$3:$E$6,$E$8)</f>
        <v>1.832</v>
      </c>
      <c r="U9" s="40">
        <f t="shared" si="3"/>
        <v>3.12715</v>
      </c>
      <c r="V9" s="32">
        <f t="shared" ref="V9:V11" si="10">$K$3+$K$5</f>
        <v>0.6</v>
      </c>
      <c r="W9" s="40">
        <f t="shared" si="5"/>
        <v>0.522150159393207</v>
      </c>
      <c r="X9" s="39">
        <v>0.8</v>
      </c>
      <c r="Y9" s="45">
        <v>0</v>
      </c>
      <c r="Z9" s="45">
        <v>0</v>
      </c>
      <c r="AA9" s="45">
        <v>0</v>
      </c>
      <c r="AB9" s="46">
        <f t="shared" si="6"/>
        <v>83856.3745181118</v>
      </c>
      <c r="AC9" s="65">
        <v>17</v>
      </c>
      <c r="AD9" s="65"/>
    </row>
    <row r="10" s="1" customFormat="1" ht="14.75" spans="2:30">
      <c r="B10" s="21"/>
      <c r="C10" s="21"/>
      <c r="D10" s="21"/>
      <c r="E10" s="21"/>
      <c r="F10" s="21" t="s">
        <v>58</v>
      </c>
      <c r="G10" s="22"/>
      <c r="H10" s="21"/>
      <c r="I10" s="21"/>
      <c r="J10" s="21"/>
      <c r="K10" s="21"/>
      <c r="L10" s="21"/>
      <c r="M10" s="21"/>
      <c r="N10" s="21"/>
      <c r="O10" s="31" t="s">
        <v>59</v>
      </c>
      <c r="P10" s="32">
        <f>33.01%*2+12.38%*8+495.1%</f>
        <v>6.6016</v>
      </c>
      <c r="Q10" s="39" t="s">
        <v>24</v>
      </c>
      <c r="R10" s="39">
        <f t="shared" si="0"/>
        <v>1024</v>
      </c>
      <c r="S10" s="32">
        <f t="shared" si="1"/>
        <v>1.738796875</v>
      </c>
      <c r="T10" s="32">
        <f t="shared" si="9"/>
        <v>1.832</v>
      </c>
      <c r="U10" s="40">
        <f t="shared" si="3"/>
        <v>3.12715</v>
      </c>
      <c r="V10" s="32">
        <f t="shared" si="10"/>
        <v>0.6</v>
      </c>
      <c r="W10" s="40">
        <f t="shared" si="5"/>
        <v>0.522150159393207</v>
      </c>
      <c r="X10" s="39">
        <v>0.8</v>
      </c>
      <c r="Y10" s="45">
        <v>0</v>
      </c>
      <c r="Z10" s="45">
        <v>0</v>
      </c>
      <c r="AA10" s="45">
        <v>0</v>
      </c>
      <c r="AB10" s="46">
        <f t="shared" si="6"/>
        <v>109586.317606059</v>
      </c>
      <c r="AC10" s="65">
        <v>17</v>
      </c>
      <c r="AD10" s="65"/>
    </row>
    <row r="11" s="1" customFormat="1" ht="15" spans="2:30">
      <c r="B11" s="48" t="s">
        <v>60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2"/>
      <c r="N11" s="21"/>
      <c r="O11" s="31" t="s">
        <v>61</v>
      </c>
      <c r="P11" s="32">
        <f>82.55%*AC11</f>
        <v>14.0335</v>
      </c>
      <c r="Q11" s="39" t="s">
        <v>24</v>
      </c>
      <c r="R11" s="39">
        <f t="shared" si="0"/>
        <v>1024</v>
      </c>
      <c r="S11" s="32">
        <f t="shared" si="1"/>
        <v>1.738796875</v>
      </c>
      <c r="T11" s="32">
        <f t="shared" si="9"/>
        <v>1.832</v>
      </c>
      <c r="U11" s="40">
        <f t="shared" si="3"/>
        <v>3.12715</v>
      </c>
      <c r="V11" s="32">
        <f t="shared" si="10"/>
        <v>0.6</v>
      </c>
      <c r="W11" s="40">
        <f t="shared" si="5"/>
        <v>0.522150159393207</v>
      </c>
      <c r="X11" s="39">
        <v>0.8</v>
      </c>
      <c r="Y11" s="45">
        <v>0</v>
      </c>
      <c r="Z11" s="45">
        <v>0</v>
      </c>
      <c r="AA11" s="45">
        <v>0</v>
      </c>
      <c r="AB11" s="46">
        <f t="shared" si="6"/>
        <v>232955.584725616</v>
      </c>
      <c r="AC11" s="65">
        <v>17</v>
      </c>
      <c r="AD11" s="65"/>
    </row>
    <row r="12" s="1" customFormat="1" spans="2:30">
      <c r="B12" s="50" t="s">
        <v>19</v>
      </c>
      <c r="C12" s="51"/>
      <c r="D12" s="50" t="s">
        <v>6</v>
      </c>
      <c r="E12" s="51"/>
      <c r="F12" s="50" t="s">
        <v>20</v>
      </c>
      <c r="G12" s="51"/>
      <c r="H12" s="50" t="s">
        <v>21</v>
      </c>
      <c r="I12" s="51"/>
      <c r="J12" s="53" t="s">
        <v>8</v>
      </c>
      <c r="K12" s="53"/>
      <c r="L12" s="50" t="s">
        <v>22</v>
      </c>
      <c r="M12" s="51"/>
      <c r="N12" s="21"/>
      <c r="O12" s="31" t="s">
        <v>55</v>
      </c>
      <c r="P12" s="32">
        <f>53.45%*2+95.43%+32.69%*6</f>
        <v>3.9847</v>
      </c>
      <c r="Q12" s="39" t="s">
        <v>31</v>
      </c>
      <c r="R12" s="39">
        <f t="shared" si="0"/>
        <v>1024</v>
      </c>
      <c r="S12" s="32">
        <f t="shared" si="1"/>
        <v>1.738796875</v>
      </c>
      <c r="T12" s="32">
        <f>SUM($E$3:$E$6)</f>
        <v>0.94</v>
      </c>
      <c r="U12" s="40">
        <f t="shared" si="3"/>
        <v>3.12715</v>
      </c>
      <c r="V12" s="32">
        <f>$K$3</f>
        <v>0.35</v>
      </c>
      <c r="W12" s="40">
        <f t="shared" si="5"/>
        <v>0.522150159393207</v>
      </c>
      <c r="X12" s="39">
        <v>0.8</v>
      </c>
      <c r="Y12" s="45">
        <v>0</v>
      </c>
      <c r="Z12" s="45">
        <v>0</v>
      </c>
      <c r="AA12" s="45">
        <v>0</v>
      </c>
      <c r="AB12" s="46">
        <f t="shared" si="6"/>
        <v>38231.8245054844</v>
      </c>
      <c r="AC12" s="65">
        <v>17</v>
      </c>
      <c r="AD12" s="65"/>
    </row>
    <row r="13" s="1" customFormat="1" spans="2:30">
      <c r="B13" s="9" t="s">
        <v>25</v>
      </c>
      <c r="C13" s="10">
        <f>400+500</f>
        <v>900</v>
      </c>
      <c r="D13" s="9" t="s">
        <v>26</v>
      </c>
      <c r="E13" s="11">
        <v>0.6</v>
      </c>
      <c r="F13" s="9" t="s">
        <v>27</v>
      </c>
      <c r="G13" s="12">
        <v>0.13</v>
      </c>
      <c r="H13" s="9" t="s">
        <v>27</v>
      </c>
      <c r="I13" s="11">
        <v>1.5</v>
      </c>
      <c r="J13" s="54" t="s">
        <v>28</v>
      </c>
      <c r="K13" s="55">
        <v>0.15</v>
      </c>
      <c r="L13" s="9" t="s">
        <v>29</v>
      </c>
      <c r="M13" s="12">
        <f>8.6%*2</f>
        <v>0.172</v>
      </c>
      <c r="N13" s="21"/>
      <c r="O13" s="31" t="s">
        <v>38</v>
      </c>
      <c r="P13" s="32">
        <f>37.88%*4+117.88%*3</f>
        <v>5.0516</v>
      </c>
      <c r="Q13" s="39" t="s">
        <v>24</v>
      </c>
      <c r="R13" s="39">
        <f t="shared" si="0"/>
        <v>1024</v>
      </c>
      <c r="S13" s="32">
        <f t="shared" si="1"/>
        <v>1.738796875</v>
      </c>
      <c r="T13" s="32">
        <f>SUM($E$3:$E$6,$E$8)</f>
        <v>1.832</v>
      </c>
      <c r="U13" s="40">
        <f t="shared" si="3"/>
        <v>3.12715</v>
      </c>
      <c r="V13" s="32">
        <f>$K$3+$K$5</f>
        <v>0.6</v>
      </c>
      <c r="W13" s="40">
        <f t="shared" si="5"/>
        <v>0.522150159393207</v>
      </c>
      <c r="X13" s="39">
        <v>0.8</v>
      </c>
      <c r="Y13" s="45">
        <v>0</v>
      </c>
      <c r="Z13" s="45">
        <v>0</v>
      </c>
      <c r="AA13" s="45">
        <v>0</v>
      </c>
      <c r="AB13" s="46">
        <f t="shared" si="6"/>
        <v>83856.3745181118</v>
      </c>
      <c r="AC13" s="65">
        <v>17</v>
      </c>
      <c r="AD13" s="65"/>
    </row>
    <row r="14" s="1" customFormat="1" spans="2:30">
      <c r="B14" s="9" t="s">
        <v>32</v>
      </c>
      <c r="C14" s="11">
        <v>0.24</v>
      </c>
      <c r="D14" s="9" t="s">
        <v>33</v>
      </c>
      <c r="E14" s="11"/>
      <c r="F14" s="9" t="s">
        <v>34</v>
      </c>
      <c r="G14" s="12">
        <v>0</v>
      </c>
      <c r="H14" s="9" t="s">
        <v>35</v>
      </c>
      <c r="I14" s="12">
        <f>M16</f>
        <v>0.81</v>
      </c>
      <c r="J14" s="34" t="s">
        <v>62</v>
      </c>
      <c r="K14" s="12"/>
      <c r="L14" s="9" t="s">
        <v>63</v>
      </c>
      <c r="M14" s="12">
        <f>8.6%*2</f>
        <v>0.172</v>
      </c>
      <c r="N14" s="21"/>
      <c r="O14" s="31" t="s">
        <v>64</v>
      </c>
      <c r="P14" s="32">
        <f>(39.77%+19.89%*2)*4*0.7</f>
        <v>2.2274</v>
      </c>
      <c r="Q14" s="39" t="s">
        <v>44</v>
      </c>
      <c r="R14" s="39">
        <f t="shared" si="0"/>
        <v>1024</v>
      </c>
      <c r="S14" s="32">
        <f>($C$4+$C$5+$C$6)+($C$8+$C$9)/R14+120%</f>
        <v>2.713796875</v>
      </c>
      <c r="T14" s="32">
        <f>SUM($E$3:$E$6,$E$9)-$E$6</f>
        <v>1.37</v>
      </c>
      <c r="U14" s="40">
        <f t="shared" si="3"/>
        <v>3.2005</v>
      </c>
      <c r="V14" s="32">
        <f>$K$4+15%</f>
        <v>0.47</v>
      </c>
      <c r="W14" s="40">
        <f t="shared" si="5"/>
        <v>0.522150159393207</v>
      </c>
      <c r="X14" s="39">
        <v>0.8</v>
      </c>
      <c r="Y14" s="45">
        <v>0</v>
      </c>
      <c r="Z14" s="45">
        <v>0</v>
      </c>
      <c r="AA14" s="45">
        <v>0</v>
      </c>
      <c r="AB14" s="46">
        <f t="shared" si="6"/>
        <v>39453.4724021642</v>
      </c>
      <c r="AC14" s="65">
        <v>20</v>
      </c>
      <c r="AD14" s="65"/>
    </row>
    <row r="15" s="1" customFormat="1" spans="2:30">
      <c r="B15" s="9" t="s">
        <v>39</v>
      </c>
      <c r="C15" s="11">
        <f>18%+18%+M13</f>
        <v>0.532</v>
      </c>
      <c r="D15" s="9" t="s">
        <v>40</v>
      </c>
      <c r="E15" s="11"/>
      <c r="F15" s="9" t="s">
        <v>41</v>
      </c>
      <c r="G15" s="12"/>
      <c r="H15" s="9"/>
      <c r="I15" s="12"/>
      <c r="J15" s="34"/>
      <c r="K15" s="12"/>
      <c r="L15" s="9" t="s">
        <v>20</v>
      </c>
      <c r="M15" s="12">
        <f>8.1*5%</f>
        <v>0.405</v>
      </c>
      <c r="N15" s="21"/>
      <c r="O15" s="31" t="s">
        <v>65</v>
      </c>
      <c r="P15" s="32">
        <f>(149.11%+347.92%)*7*0.7</f>
        <v>24.35447</v>
      </c>
      <c r="Q15" s="39" t="s">
        <v>44</v>
      </c>
      <c r="R15" s="39">
        <f t="shared" si="0"/>
        <v>1024</v>
      </c>
      <c r="S15" s="32">
        <f>($C$4+$C$5+$C$6)+($C$8+$C$9)/R14+120%</f>
        <v>2.713796875</v>
      </c>
      <c r="T15" s="32">
        <f>SUM($E$3:$E$6,$E$9)-$E$6</f>
        <v>1.37</v>
      </c>
      <c r="U15" s="40">
        <f t="shared" si="3"/>
        <v>3.2005</v>
      </c>
      <c r="V15" s="32">
        <f>$K$4+15%</f>
        <v>0.47</v>
      </c>
      <c r="W15" s="40">
        <f t="shared" si="5"/>
        <v>0.522150159393207</v>
      </c>
      <c r="X15" s="39">
        <v>0.8</v>
      </c>
      <c r="Y15" s="45">
        <v>0</v>
      </c>
      <c r="Z15" s="45">
        <v>0</v>
      </c>
      <c r="AA15" s="45">
        <v>0</v>
      </c>
      <c r="AB15" s="46">
        <f t="shared" si="6"/>
        <v>431385.655928138</v>
      </c>
      <c r="AC15" s="65">
        <v>20</v>
      </c>
      <c r="AD15" s="65"/>
    </row>
    <row r="16" s="1" customFormat="1" spans="2:30">
      <c r="B16" s="9" t="s">
        <v>66</v>
      </c>
      <c r="C16" s="13"/>
      <c r="D16" s="9" t="s">
        <v>46</v>
      </c>
      <c r="E16" s="11"/>
      <c r="F16" s="9" t="s">
        <v>35</v>
      </c>
      <c r="G16" s="12">
        <f>M15+22%</f>
        <v>0.625</v>
      </c>
      <c r="H16" s="9" t="s">
        <v>34</v>
      </c>
      <c r="I16" s="12">
        <v>0.72</v>
      </c>
      <c r="J16" s="34"/>
      <c r="K16" s="12"/>
      <c r="L16" s="9" t="s">
        <v>47</v>
      </c>
      <c r="M16" s="11">
        <f>16.2%*5</f>
        <v>0.81</v>
      </c>
      <c r="N16" s="21"/>
      <c r="O16" s="56" t="s">
        <v>67</v>
      </c>
      <c r="P16" s="57">
        <f>42.25%*4</f>
        <v>1.69</v>
      </c>
      <c r="Q16" s="60" t="s">
        <v>68</v>
      </c>
      <c r="R16" s="60">
        <f t="shared" ref="R16:R27" si="11">$C$13</f>
        <v>900</v>
      </c>
      <c r="S16" s="57">
        <f t="shared" ref="S16:S27" si="12">($C$14+$C$15+$C$16+$C$17)+($C$18+$C$19)/R16</f>
        <v>1.56088888888889</v>
      </c>
      <c r="T16" s="57">
        <f>SUM($E$13:$E$16)</f>
        <v>0.6</v>
      </c>
      <c r="U16" s="61">
        <f t="shared" ref="U16:U27" si="13">1+$G$18*($I$18-1)</f>
        <v>2.53265</v>
      </c>
      <c r="V16" s="62">
        <f t="shared" ref="V16:V27" si="14">$K$13</f>
        <v>0.15</v>
      </c>
      <c r="W16" s="61">
        <f t="shared" ref="W16:W27" si="15">$AF$2</f>
        <v>0.50131926121372</v>
      </c>
      <c r="X16" s="60">
        <v>0.8</v>
      </c>
      <c r="Y16" s="66">
        <v>0</v>
      </c>
      <c r="Z16" s="66">
        <v>0</v>
      </c>
      <c r="AA16" s="66">
        <v>0</v>
      </c>
      <c r="AB16" s="67">
        <f t="shared" si="6"/>
        <v>7279.7644542845</v>
      </c>
      <c r="AC16" s="65"/>
      <c r="AD16" s="65"/>
    </row>
    <row r="17" s="1" customFormat="1" spans="2:30">
      <c r="B17" s="9" t="s">
        <v>45</v>
      </c>
      <c r="C17" s="13">
        <f>25%+15%</f>
        <v>0.4</v>
      </c>
      <c r="D17" s="9" t="s">
        <v>49</v>
      </c>
      <c r="E17" s="11">
        <v>0.4</v>
      </c>
      <c r="F17" s="9"/>
      <c r="G17" s="12"/>
      <c r="H17" s="9"/>
      <c r="I17" s="12"/>
      <c r="J17" s="34"/>
      <c r="K17" s="12"/>
      <c r="L17" s="9"/>
      <c r="M17" s="10"/>
      <c r="N17" s="21"/>
      <c r="O17" s="56" t="s">
        <v>69</v>
      </c>
      <c r="P17" s="57">
        <f>73.6%*2</f>
        <v>1.472</v>
      </c>
      <c r="Q17" s="60" t="s">
        <v>24</v>
      </c>
      <c r="R17" s="60">
        <f t="shared" si="11"/>
        <v>900</v>
      </c>
      <c r="S17" s="57">
        <f t="shared" si="12"/>
        <v>1.56088888888889</v>
      </c>
      <c r="T17" s="57">
        <f>SUM($E$13:$E$16)</f>
        <v>0.6</v>
      </c>
      <c r="U17" s="61">
        <f t="shared" si="13"/>
        <v>2.53265</v>
      </c>
      <c r="V17" s="62">
        <f t="shared" si="14"/>
        <v>0.15</v>
      </c>
      <c r="W17" s="61">
        <f t="shared" si="15"/>
        <v>0.50131926121372</v>
      </c>
      <c r="X17" s="60">
        <v>0.8</v>
      </c>
      <c r="Y17" s="66">
        <v>0</v>
      </c>
      <c r="Z17" s="66">
        <v>0</v>
      </c>
      <c r="AA17" s="66">
        <v>0</v>
      </c>
      <c r="AB17" s="67">
        <f t="shared" si="6"/>
        <v>6340.71791521111</v>
      </c>
      <c r="AC17" s="65"/>
      <c r="AD17" s="65"/>
    </row>
    <row r="18" s="1" customFormat="1" spans="2:30">
      <c r="B18" s="9" t="s">
        <v>51</v>
      </c>
      <c r="C18" s="10">
        <v>350</v>
      </c>
      <c r="D18" s="9" t="s">
        <v>70</v>
      </c>
      <c r="E18" s="11">
        <v>0.06</v>
      </c>
      <c r="F18" s="15" t="s">
        <v>53</v>
      </c>
      <c r="G18" s="16">
        <f>MIN(100%,SUM(G13:G17))</f>
        <v>0.755</v>
      </c>
      <c r="H18" s="15" t="s">
        <v>54</v>
      </c>
      <c r="I18" s="35">
        <f>SUM(I13:I17)</f>
        <v>3.03</v>
      </c>
      <c r="J18" s="34"/>
      <c r="K18" s="12"/>
      <c r="L18" s="9"/>
      <c r="M18" s="10"/>
      <c r="N18" s="21"/>
      <c r="O18" s="56" t="s">
        <v>71</v>
      </c>
      <c r="P18" s="57">
        <f>53.05%*2</f>
        <v>1.061</v>
      </c>
      <c r="Q18" s="60" t="s">
        <v>71</v>
      </c>
      <c r="R18" s="60">
        <f t="shared" si="11"/>
        <v>900</v>
      </c>
      <c r="S18" s="57">
        <f t="shared" si="12"/>
        <v>1.56088888888889</v>
      </c>
      <c r="T18" s="57">
        <f>SUM($E$13:$E$16)+$E$18</f>
        <v>0.66</v>
      </c>
      <c r="U18" s="61">
        <f t="shared" si="13"/>
        <v>2.53265</v>
      </c>
      <c r="V18" s="62">
        <f t="shared" si="14"/>
        <v>0.15</v>
      </c>
      <c r="W18" s="61">
        <f t="shared" si="15"/>
        <v>0.50131926121372</v>
      </c>
      <c r="X18" s="60">
        <v>0.8</v>
      </c>
      <c r="Y18" s="66">
        <v>0</v>
      </c>
      <c r="Z18" s="66">
        <v>0</v>
      </c>
      <c r="AA18" s="66">
        <v>0</v>
      </c>
      <c r="AB18" s="67">
        <f t="shared" si="6"/>
        <v>4741.7004226158</v>
      </c>
      <c r="AC18" s="65"/>
      <c r="AD18" s="65"/>
    </row>
    <row r="19" s="1" customFormat="1" spans="2:30">
      <c r="B19" s="17" t="s">
        <v>56</v>
      </c>
      <c r="C19" s="18"/>
      <c r="D19" s="17"/>
      <c r="E19" s="19"/>
      <c r="F19" s="17"/>
      <c r="G19" s="19"/>
      <c r="H19" s="17"/>
      <c r="I19" s="18"/>
      <c r="J19" s="36"/>
      <c r="K19" s="20"/>
      <c r="L19" s="17"/>
      <c r="M19" s="18"/>
      <c r="N19" s="21"/>
      <c r="O19" s="56" t="s">
        <v>72</v>
      </c>
      <c r="P19" s="57">
        <v>1.9623</v>
      </c>
      <c r="Q19" s="60" t="s">
        <v>24</v>
      </c>
      <c r="R19" s="60">
        <f t="shared" si="11"/>
        <v>900</v>
      </c>
      <c r="S19" s="57">
        <f t="shared" si="12"/>
        <v>1.56088888888889</v>
      </c>
      <c r="T19" s="57">
        <f>SUM($E$13:$E$16)+$E$18*2</f>
        <v>0.72</v>
      </c>
      <c r="U19" s="61">
        <f t="shared" si="13"/>
        <v>2.53265</v>
      </c>
      <c r="V19" s="62">
        <f t="shared" si="14"/>
        <v>0.15</v>
      </c>
      <c r="W19" s="61">
        <f t="shared" si="15"/>
        <v>0.50131926121372</v>
      </c>
      <c r="X19" s="60">
        <v>0.92</v>
      </c>
      <c r="Y19" s="66">
        <v>0</v>
      </c>
      <c r="Z19" s="66">
        <v>0</v>
      </c>
      <c r="AA19" s="66">
        <v>0</v>
      </c>
      <c r="AB19" s="67">
        <f t="shared" si="6"/>
        <v>10449.6641190587</v>
      </c>
      <c r="AC19" s="65"/>
      <c r="AD19" s="65"/>
    </row>
    <row r="20" s="1" customFormat="1" spans="2:30">
      <c r="B20" s="21"/>
      <c r="C20" s="21"/>
      <c r="D20" s="21"/>
      <c r="E20" s="23"/>
      <c r="F20" s="21"/>
      <c r="G20" s="23"/>
      <c r="H20" s="21"/>
      <c r="I20" s="21"/>
      <c r="J20" s="22"/>
      <c r="K20" s="22"/>
      <c r="L20" s="21"/>
      <c r="M20" s="21"/>
      <c r="N20" s="21"/>
      <c r="O20" s="56" t="s">
        <v>73</v>
      </c>
      <c r="P20" s="57">
        <v>1.9801</v>
      </c>
      <c r="Q20" s="60" t="s">
        <v>31</v>
      </c>
      <c r="R20" s="60">
        <f t="shared" si="11"/>
        <v>900</v>
      </c>
      <c r="S20" s="57">
        <f t="shared" si="12"/>
        <v>1.56088888888889</v>
      </c>
      <c r="T20" s="57">
        <f t="shared" ref="T20:T25" si="16">SUM($E$13:$E$16)+$E$18*2+$E$17+$M$14</f>
        <v>1.292</v>
      </c>
      <c r="U20" s="61">
        <f t="shared" si="13"/>
        <v>2.53265</v>
      </c>
      <c r="V20" s="62">
        <f t="shared" si="14"/>
        <v>0.15</v>
      </c>
      <c r="W20" s="61">
        <f t="shared" si="15"/>
        <v>0.50131926121372</v>
      </c>
      <c r="X20" s="60">
        <v>0.92</v>
      </c>
      <c r="Y20" s="66">
        <v>0</v>
      </c>
      <c r="Z20" s="66">
        <v>0</v>
      </c>
      <c r="AA20" s="66">
        <v>0</v>
      </c>
      <c r="AB20" s="67">
        <f t="shared" si="6"/>
        <v>14051.0965364456</v>
      </c>
      <c r="AC20" s="65"/>
      <c r="AD20" s="65"/>
    </row>
    <row r="21" s="1" customFormat="1" ht="15" spans="2:30">
      <c r="B21" s="24" t="s">
        <v>74</v>
      </c>
      <c r="C21" s="21"/>
      <c r="D21" s="21"/>
      <c r="E21" s="21"/>
      <c r="F21" s="21"/>
      <c r="G21" s="22"/>
      <c r="H21" s="21"/>
      <c r="I21" s="21"/>
      <c r="J21" s="21"/>
      <c r="K21" s="21"/>
      <c r="L21" s="21"/>
      <c r="M21" s="21"/>
      <c r="N21" s="21"/>
      <c r="O21" s="56" t="s">
        <v>75</v>
      </c>
      <c r="P21" s="57">
        <v>3.76</v>
      </c>
      <c r="Q21" s="60" t="s">
        <v>31</v>
      </c>
      <c r="R21" s="60">
        <f t="shared" si="11"/>
        <v>900</v>
      </c>
      <c r="S21" s="57">
        <f t="shared" si="12"/>
        <v>1.56088888888889</v>
      </c>
      <c r="T21" s="57">
        <f t="shared" si="16"/>
        <v>1.292</v>
      </c>
      <c r="U21" s="61">
        <f t="shared" si="13"/>
        <v>2.53265</v>
      </c>
      <c r="V21" s="62">
        <f t="shared" si="14"/>
        <v>0.15</v>
      </c>
      <c r="W21" s="61">
        <f t="shared" si="15"/>
        <v>0.50131926121372</v>
      </c>
      <c r="X21" s="60">
        <v>0.92</v>
      </c>
      <c r="Y21" s="66">
        <v>0</v>
      </c>
      <c r="Z21" s="66">
        <v>0</v>
      </c>
      <c r="AA21" s="66">
        <v>0</v>
      </c>
      <c r="AB21" s="67">
        <f t="shared" si="6"/>
        <v>26681.5428397735</v>
      </c>
      <c r="AC21" s="65"/>
      <c r="AD21" s="65"/>
    </row>
    <row r="22" s="1" customFormat="1" spans="2:30">
      <c r="B22" s="25" t="s">
        <v>76</v>
      </c>
      <c r="C22" s="25" t="s">
        <v>77</v>
      </c>
      <c r="D22" s="25" t="s">
        <v>78</v>
      </c>
      <c r="E22" s="25" t="s">
        <v>79</v>
      </c>
      <c r="F22" s="26"/>
      <c r="G22" s="22"/>
      <c r="H22" s="21"/>
      <c r="I22" s="21"/>
      <c r="J22" s="21"/>
      <c r="K22" s="21"/>
      <c r="L22" s="21"/>
      <c r="M22" s="21"/>
      <c r="N22" s="21"/>
      <c r="O22" s="56" t="s">
        <v>80</v>
      </c>
      <c r="P22" s="57">
        <f>35.33%*3+62.93%*2+64.62%*4</f>
        <v>4.9033</v>
      </c>
      <c r="Q22" s="60" t="s">
        <v>31</v>
      </c>
      <c r="R22" s="60">
        <f t="shared" si="11"/>
        <v>900</v>
      </c>
      <c r="S22" s="57">
        <f t="shared" si="12"/>
        <v>1.56088888888889</v>
      </c>
      <c r="T22" s="57">
        <f t="shared" si="16"/>
        <v>1.292</v>
      </c>
      <c r="U22" s="61">
        <f t="shared" si="13"/>
        <v>2.53265</v>
      </c>
      <c r="V22" s="62">
        <f t="shared" si="14"/>
        <v>0.15</v>
      </c>
      <c r="W22" s="61">
        <f t="shared" si="15"/>
        <v>0.50131926121372</v>
      </c>
      <c r="X22" s="60">
        <v>0.92</v>
      </c>
      <c r="Y22" s="66">
        <v>0</v>
      </c>
      <c r="Z22" s="66">
        <v>0</v>
      </c>
      <c r="AA22" s="66">
        <v>0</v>
      </c>
      <c r="AB22" s="67">
        <f t="shared" si="6"/>
        <v>34794.5768633674</v>
      </c>
      <c r="AC22" s="65"/>
      <c r="AD22" s="65"/>
    </row>
    <row r="23" s="1" customFormat="1" spans="2:30">
      <c r="B23" s="27" t="s">
        <v>0</v>
      </c>
      <c r="C23" s="27">
        <f>SUM(AB2:AB15)</f>
        <v>1446556.38042234</v>
      </c>
      <c r="D23" s="27">
        <f>C23/E23</f>
        <v>57862.2552168937</v>
      </c>
      <c r="E23" s="26">
        <v>25</v>
      </c>
      <c r="F23" s="26"/>
      <c r="G23" s="28"/>
      <c r="H23" s="21"/>
      <c r="I23" s="21"/>
      <c r="J23" s="21"/>
      <c r="K23" s="21"/>
      <c r="L23" s="21"/>
      <c r="M23" s="21"/>
      <c r="N23" s="21"/>
      <c r="O23" s="56" t="s">
        <v>81</v>
      </c>
      <c r="P23" s="57">
        <f>667.99%*2</f>
        <v>13.3598</v>
      </c>
      <c r="Q23" s="60" t="s">
        <v>31</v>
      </c>
      <c r="R23" s="60">
        <f t="shared" si="11"/>
        <v>900</v>
      </c>
      <c r="S23" s="57">
        <f t="shared" si="12"/>
        <v>1.56088888888889</v>
      </c>
      <c r="T23" s="57">
        <f t="shared" si="16"/>
        <v>1.292</v>
      </c>
      <c r="U23" s="61">
        <f t="shared" si="13"/>
        <v>2.53265</v>
      </c>
      <c r="V23" s="62">
        <f t="shared" si="14"/>
        <v>0.15</v>
      </c>
      <c r="W23" s="61">
        <f t="shared" si="15"/>
        <v>0.50131926121372</v>
      </c>
      <c r="X23" s="60">
        <v>0.92</v>
      </c>
      <c r="Y23" s="66">
        <v>0</v>
      </c>
      <c r="Z23" s="66">
        <v>0</v>
      </c>
      <c r="AA23" s="66">
        <v>0</v>
      </c>
      <c r="AB23" s="67">
        <f t="shared" si="6"/>
        <v>94803.2117103208</v>
      </c>
      <c r="AC23" s="65"/>
      <c r="AD23" s="65"/>
    </row>
    <row r="24" s="1" customFormat="1" spans="2:30">
      <c r="B24" s="27" t="s">
        <v>60</v>
      </c>
      <c r="C24" s="27">
        <f>SUM(AB16:AB27)</f>
        <v>258919.965157448</v>
      </c>
      <c r="D24" s="27">
        <f>C24/E23</f>
        <v>10356.7986062979</v>
      </c>
      <c r="E24" s="22"/>
      <c r="F24" s="21"/>
      <c r="G24" s="22"/>
      <c r="H24" s="21"/>
      <c r="I24" s="21"/>
      <c r="J24" s="21"/>
      <c r="K24" s="21"/>
      <c r="L24" s="21"/>
      <c r="M24" s="21"/>
      <c r="N24" s="21"/>
      <c r="O24" s="56" t="s">
        <v>73</v>
      </c>
      <c r="P24" s="57">
        <f>198.01%</f>
        <v>1.9801</v>
      </c>
      <c r="Q24" s="60" t="s">
        <v>31</v>
      </c>
      <c r="R24" s="60">
        <f t="shared" si="11"/>
        <v>900</v>
      </c>
      <c r="S24" s="57">
        <f t="shared" si="12"/>
        <v>1.56088888888889</v>
      </c>
      <c r="T24" s="57">
        <f t="shared" si="16"/>
        <v>1.292</v>
      </c>
      <c r="U24" s="61">
        <f t="shared" si="13"/>
        <v>2.53265</v>
      </c>
      <c r="V24" s="62">
        <f t="shared" si="14"/>
        <v>0.15</v>
      </c>
      <c r="W24" s="61">
        <f t="shared" si="15"/>
        <v>0.50131926121372</v>
      </c>
      <c r="X24" s="60">
        <v>0.92</v>
      </c>
      <c r="Y24" s="66">
        <v>0</v>
      </c>
      <c r="Z24" s="66">
        <v>0</v>
      </c>
      <c r="AA24" s="66">
        <v>0</v>
      </c>
      <c r="AB24" s="67">
        <f t="shared" si="6"/>
        <v>14051.0965364456</v>
      </c>
      <c r="AC24" s="65"/>
      <c r="AD24" s="65"/>
    </row>
    <row r="25" s="1" customFormat="1" spans="2:30">
      <c r="B25" s="27" t="s">
        <v>45</v>
      </c>
      <c r="C25" s="27">
        <v>50000</v>
      </c>
      <c r="D25" s="27">
        <f>C25/E23</f>
        <v>2000</v>
      </c>
      <c r="E25" s="21"/>
      <c r="F25" s="21"/>
      <c r="G25" s="22"/>
      <c r="H25" s="21"/>
      <c r="I25" s="21"/>
      <c r="J25" s="21"/>
      <c r="K25" s="21"/>
      <c r="L25" s="21"/>
      <c r="M25" s="21"/>
      <c r="N25" s="21"/>
      <c r="O25" s="56" t="s">
        <v>82</v>
      </c>
      <c r="P25" s="57">
        <v>1.0599</v>
      </c>
      <c r="Q25" s="60" t="s">
        <v>31</v>
      </c>
      <c r="R25" s="60">
        <f t="shared" si="11"/>
        <v>900</v>
      </c>
      <c r="S25" s="57">
        <f t="shared" si="12"/>
        <v>1.56088888888889</v>
      </c>
      <c r="T25" s="57">
        <f t="shared" si="16"/>
        <v>1.292</v>
      </c>
      <c r="U25" s="61">
        <f t="shared" si="13"/>
        <v>2.53265</v>
      </c>
      <c r="V25" s="62">
        <f t="shared" si="14"/>
        <v>0.15</v>
      </c>
      <c r="W25" s="61">
        <f t="shared" si="15"/>
        <v>0.50131926121372</v>
      </c>
      <c r="X25" s="60">
        <v>0.92</v>
      </c>
      <c r="Y25" s="66">
        <v>0</v>
      </c>
      <c r="Z25" s="66">
        <v>0</v>
      </c>
      <c r="AA25" s="66">
        <v>0</v>
      </c>
      <c r="AB25" s="67">
        <f t="shared" si="6"/>
        <v>7521.21469571169</v>
      </c>
      <c r="AC25" s="65"/>
      <c r="AD25" s="65"/>
    </row>
    <row r="26" s="1" customFormat="1" spans="2:30">
      <c r="B26" s="27" t="s">
        <v>83</v>
      </c>
      <c r="C26" s="27">
        <f>C23+C24+C25</f>
        <v>1755476.34557979</v>
      </c>
      <c r="D26" s="27">
        <f>C26/E23</f>
        <v>70219.0538231916</v>
      </c>
      <c r="E26" s="21"/>
      <c r="F26" s="21"/>
      <c r="G26" s="22"/>
      <c r="H26" s="21"/>
      <c r="I26" s="21"/>
      <c r="J26" s="21"/>
      <c r="K26" s="21"/>
      <c r="L26" s="21"/>
      <c r="M26" s="21"/>
      <c r="N26" s="21"/>
      <c r="O26" s="56" t="s">
        <v>84</v>
      </c>
      <c r="P26" s="57">
        <v>3.1056</v>
      </c>
      <c r="Q26" s="60" t="s">
        <v>35</v>
      </c>
      <c r="R26" s="60">
        <f t="shared" si="11"/>
        <v>900</v>
      </c>
      <c r="S26" s="57">
        <f t="shared" si="12"/>
        <v>1.56088888888889</v>
      </c>
      <c r="T26" s="57">
        <f>SUM($E$13:$E$16)+$E$18*2</f>
        <v>0.72</v>
      </c>
      <c r="U26" s="61">
        <f t="shared" si="13"/>
        <v>2.53265</v>
      </c>
      <c r="V26" s="62">
        <f t="shared" si="14"/>
        <v>0.15</v>
      </c>
      <c r="W26" s="61">
        <f t="shared" si="15"/>
        <v>0.50131926121372</v>
      </c>
      <c r="X26" s="60">
        <v>0.92</v>
      </c>
      <c r="Y26" s="66">
        <v>0</v>
      </c>
      <c r="Z26" s="66">
        <v>0</v>
      </c>
      <c r="AA26" s="66">
        <v>0</v>
      </c>
      <c r="AB26" s="67">
        <f t="shared" si="6"/>
        <v>16537.9793549145</v>
      </c>
      <c r="AC26" s="65"/>
      <c r="AD26" s="65"/>
    </row>
    <row r="27" s="1" customFormat="1" ht="14.75" spans="2:30">
      <c r="B27" s="27"/>
      <c r="C27" s="27"/>
      <c r="D27" s="27"/>
      <c r="E27" s="21"/>
      <c r="F27" s="21"/>
      <c r="G27" s="22"/>
      <c r="H27" s="21"/>
      <c r="I27" s="21"/>
      <c r="J27" s="21"/>
      <c r="K27" s="21"/>
      <c r="L27" s="21"/>
      <c r="M27" s="21"/>
      <c r="N27" s="21"/>
      <c r="O27" s="58" t="s">
        <v>85</v>
      </c>
      <c r="P27" s="59">
        <f>14.54%*21</f>
        <v>3.0534</v>
      </c>
      <c r="Q27" s="63" t="s">
        <v>31</v>
      </c>
      <c r="R27" s="60">
        <f t="shared" si="11"/>
        <v>900</v>
      </c>
      <c r="S27" s="57">
        <f t="shared" si="12"/>
        <v>1.56088888888889</v>
      </c>
      <c r="T27" s="57">
        <f>SUM($E$13:$E$16)+$E$18*2+$E$17+$M$14</f>
        <v>1.292</v>
      </c>
      <c r="U27" s="61">
        <f t="shared" si="13"/>
        <v>2.53265</v>
      </c>
      <c r="V27" s="62">
        <f t="shared" si="14"/>
        <v>0.15</v>
      </c>
      <c r="W27" s="61">
        <f t="shared" si="15"/>
        <v>0.50131926121372</v>
      </c>
      <c r="X27" s="60">
        <v>0.92</v>
      </c>
      <c r="Y27" s="66">
        <v>0</v>
      </c>
      <c r="Z27" s="66">
        <v>0</v>
      </c>
      <c r="AA27" s="66">
        <v>0</v>
      </c>
      <c r="AB27" s="67">
        <f t="shared" si="6"/>
        <v>21667.399709299</v>
      </c>
      <c r="AC27" s="65"/>
      <c r="AD27" s="65"/>
    </row>
    <row r="28" s="1" customFormat="1" spans="2:28">
      <c r="B28" s="27"/>
      <c r="C28" s="12"/>
      <c r="D28" s="27"/>
      <c r="E28" s="21"/>
      <c r="F28" s="21"/>
      <c r="G28" s="21"/>
      <c r="H28" s="21"/>
      <c r="I28" s="21"/>
      <c r="J28" s="21"/>
      <c r="K28" s="21"/>
      <c r="L28" s="21"/>
      <c r="M28" s="21"/>
      <c r="N28" s="21"/>
      <c r="P28" s="2"/>
      <c r="T28" s="2"/>
      <c r="U28" s="3"/>
      <c r="AA28" s="4"/>
      <c r="AB28" s="4"/>
    </row>
    <row r="29" s="1" customFormat="1" spans="2:28"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P29" s="2"/>
      <c r="T29" s="2"/>
      <c r="U29" s="3"/>
      <c r="AA29" s="4"/>
      <c r="AB2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1:M11"/>
    <mergeCell ref="B12:C12"/>
    <mergeCell ref="D12:E12"/>
    <mergeCell ref="F12:G12"/>
    <mergeCell ref="H12:I12"/>
    <mergeCell ref="J12:K12"/>
    <mergeCell ref="L12:M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9"/>
  <sheetViews>
    <sheetView workbookViewId="0">
      <selection activeCell="B23" sqref="B23"/>
    </sheetView>
  </sheetViews>
  <sheetFormatPr defaultColWidth="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636363636364" style="1" customWidth="1"/>
    <col min="7" max="7" width="18.6909090909091" style="2" customWidth="1"/>
    <col min="8" max="8" width="18.6909090909091" style="1" customWidth="1"/>
    <col min="9" max="9" width="12.5363636363636" style="1" customWidth="1"/>
    <col min="10" max="10" width="9" style="1" customWidth="1"/>
    <col min="11" max="11" width="8.91818181818182" style="1" customWidth="1"/>
    <col min="12" max="12" width="10.3090909090909" style="1" customWidth="1"/>
    <col min="13" max="13" width="7.91818181818182" style="1" customWidth="1"/>
    <col min="14" max="14" width="9.69090909090909" style="1"/>
    <col min="15" max="15" width="21.8454545454545" style="1" customWidth="1"/>
    <col min="16" max="16" width="8.91818181818182" style="2" customWidth="1"/>
    <col min="17" max="17" width="6" style="1" customWidth="1"/>
    <col min="18" max="18" width="10.3090909090909" style="1" customWidth="1"/>
    <col min="19" max="19" width="9.69090909090909" style="1" customWidth="1"/>
    <col min="20" max="20" width="8.15454545454545" style="2" customWidth="1"/>
    <col min="21" max="21" width="8.15454545454545" style="3" customWidth="1"/>
    <col min="22" max="24" width="8.15454545454545" style="1" customWidth="1"/>
    <col min="25" max="25" width="10.3090909090909" style="1" customWidth="1"/>
    <col min="26" max="26" width="8.15454545454545" style="1" customWidth="1"/>
    <col min="27" max="27" width="10.3090909090909" style="4" customWidth="1"/>
    <col min="28" max="28" width="7.22727272727273" style="4" customWidth="1"/>
    <col min="29" max="30" width="10.7636363636364" style="1" customWidth="1"/>
    <col min="31" max="31" width="6" style="1" customWidth="1"/>
    <col min="32" max="32" width="8.15454545454545" style="1" customWidth="1"/>
    <col min="33" max="33" width="10.3090909090909" style="1" customWidth="1"/>
    <col min="34" max="15895" width="9.69090909090909" style="1"/>
    <col min="15896" max="15896" width="9.69090909090909" style="5"/>
    <col min="15897" max="16384" width="9" style="5"/>
  </cols>
  <sheetData>
    <row r="1" s="1" customFormat="1" ht="15" spans="2:3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1"/>
      <c r="O1" s="29" t="s">
        <v>1</v>
      </c>
      <c r="P1" s="30" t="s">
        <v>2</v>
      </c>
      <c r="Q1" s="37" t="s">
        <v>3</v>
      </c>
      <c r="R1" s="37" t="s">
        <v>4</v>
      </c>
      <c r="S1" s="37" t="s">
        <v>5</v>
      </c>
      <c r="T1" s="30" t="s">
        <v>6</v>
      </c>
      <c r="U1" s="38" t="s">
        <v>7</v>
      </c>
      <c r="V1" s="37" t="s">
        <v>8</v>
      </c>
      <c r="W1" s="37" t="s">
        <v>9</v>
      </c>
      <c r="X1" s="37" t="s">
        <v>10</v>
      </c>
      <c r="Y1" s="37" t="s">
        <v>11</v>
      </c>
      <c r="Z1" s="37" t="s">
        <v>12</v>
      </c>
      <c r="AA1" s="41" t="s">
        <v>13</v>
      </c>
      <c r="AB1" s="42" t="s">
        <v>14</v>
      </c>
      <c r="AC1" s="64" t="s">
        <v>15</v>
      </c>
      <c r="AD1" s="64" t="s">
        <v>16</v>
      </c>
      <c r="AE1" s="43" t="s">
        <v>17</v>
      </c>
      <c r="AF1" s="44" t="s">
        <v>9</v>
      </c>
      <c r="AG1" s="44" t="s">
        <v>18</v>
      </c>
    </row>
    <row r="2" s="1" customFormat="1" spans="2:33">
      <c r="B2" s="7" t="s">
        <v>19</v>
      </c>
      <c r="C2" s="8"/>
      <c r="D2" s="7" t="s">
        <v>6</v>
      </c>
      <c r="E2" s="8"/>
      <c r="F2" s="7" t="s">
        <v>20</v>
      </c>
      <c r="G2" s="8"/>
      <c r="H2" s="7" t="s">
        <v>21</v>
      </c>
      <c r="I2" s="8"/>
      <c r="J2" s="7" t="s">
        <v>8</v>
      </c>
      <c r="K2" s="8"/>
      <c r="L2" s="7" t="s">
        <v>22</v>
      </c>
      <c r="M2" s="8"/>
      <c r="N2" s="21"/>
      <c r="O2" s="31" t="s">
        <v>23</v>
      </c>
      <c r="P2" s="32">
        <v>5.9643</v>
      </c>
      <c r="Q2" s="39" t="s">
        <v>24</v>
      </c>
      <c r="R2" s="39">
        <f t="shared" ref="R2:R15" si="0">$C$3</f>
        <v>1024</v>
      </c>
      <c r="S2" s="32">
        <f t="shared" ref="S2:S13" si="1">($C$4+$C$5+$C$6+$C$7)+($C$8+$C$9)/R2</f>
        <v>1.738796875</v>
      </c>
      <c r="T2" s="32">
        <f t="shared" ref="T2:T7" si="2">SUM($E$3:$E$6,$E$8)</f>
        <v>1.832</v>
      </c>
      <c r="U2" s="40">
        <f t="shared" ref="U2:U15" si="3">1+$G$8*($I$8-1+AC2*2.5%+AD2*1%)</f>
        <v>3.12715</v>
      </c>
      <c r="V2" s="32">
        <f t="shared" ref="V2:V7" si="4">$K$3+$K$5</f>
        <v>0.6</v>
      </c>
      <c r="W2" s="40">
        <f t="shared" ref="W2:W15" si="5">$AF$3</f>
        <v>0.522150159393207</v>
      </c>
      <c r="X2" s="39">
        <v>0.8</v>
      </c>
      <c r="Y2" s="45">
        <v>0</v>
      </c>
      <c r="Z2" s="45">
        <v>0</v>
      </c>
      <c r="AA2" s="45">
        <v>0</v>
      </c>
      <c r="AB2" s="46">
        <f t="shared" ref="AB2:AB27" si="6">P2*R2*(1+S2)*(1+T2)*U2*(1+V2)*W2*X2*(1+Y2)*(1+Z2)*(1+AA2)</f>
        <v>99007.161006092</v>
      </c>
      <c r="AC2" s="65">
        <v>17</v>
      </c>
      <c r="AD2" s="65"/>
      <c r="AE2" s="43">
        <v>0</v>
      </c>
      <c r="AF2" s="44">
        <f t="shared" ref="AF2:AF7" si="7">1520/(1520+(792+8*AG2)*(1-AE2/100))</f>
        <v>0.50131926121372</v>
      </c>
      <c r="AG2" s="47">
        <v>90</v>
      </c>
    </row>
    <row r="3" s="1" customFormat="1" spans="2:33">
      <c r="B3" s="9" t="s">
        <v>25</v>
      </c>
      <c r="C3" s="10">
        <v>1024</v>
      </c>
      <c r="D3" s="9" t="s">
        <v>26</v>
      </c>
      <c r="E3" s="11">
        <v>0.6</v>
      </c>
      <c r="F3" s="9" t="s">
        <v>27</v>
      </c>
      <c r="G3" s="12">
        <v>0.13</v>
      </c>
      <c r="H3" s="9" t="s">
        <v>27</v>
      </c>
      <c r="I3" s="11">
        <v>1.5</v>
      </c>
      <c r="J3" s="33" t="s">
        <v>28</v>
      </c>
      <c r="K3" s="11">
        <v>0.35</v>
      </c>
      <c r="L3" s="9" t="s">
        <v>29</v>
      </c>
      <c r="M3" s="12">
        <f>8.6%*2</f>
        <v>0.172</v>
      </c>
      <c r="N3" s="21"/>
      <c r="O3" s="31" t="s">
        <v>30</v>
      </c>
      <c r="P3" s="32">
        <f>32.69%*6</f>
        <v>1.9614</v>
      </c>
      <c r="Q3" s="39" t="s">
        <v>31</v>
      </c>
      <c r="R3" s="39">
        <f t="shared" si="0"/>
        <v>1024</v>
      </c>
      <c r="S3" s="32">
        <f t="shared" si="1"/>
        <v>1.738796875</v>
      </c>
      <c r="T3" s="32">
        <f>SUM($E$3:$E$6)</f>
        <v>0.94</v>
      </c>
      <c r="U3" s="40">
        <f t="shared" si="3"/>
        <v>3.12715</v>
      </c>
      <c r="V3" s="32">
        <f>$K$3</f>
        <v>0.35</v>
      </c>
      <c r="W3" s="40">
        <f t="shared" si="5"/>
        <v>0.522150159393207</v>
      </c>
      <c r="X3" s="39">
        <v>0.8</v>
      </c>
      <c r="Y3" s="45">
        <v>0</v>
      </c>
      <c r="Z3" s="45">
        <v>0</v>
      </c>
      <c r="AA3" s="45">
        <v>0</v>
      </c>
      <c r="AB3" s="46">
        <f t="shared" si="6"/>
        <v>18818.9576593111</v>
      </c>
      <c r="AC3" s="65">
        <v>17</v>
      </c>
      <c r="AD3" s="65"/>
      <c r="AE3" s="43">
        <v>8</v>
      </c>
      <c r="AF3" s="44">
        <f t="shared" si="7"/>
        <v>0.522150159393207</v>
      </c>
      <c r="AG3" s="47">
        <v>90</v>
      </c>
    </row>
    <row r="4" s="1" customFormat="1" spans="2:33">
      <c r="B4" s="9" t="s">
        <v>32</v>
      </c>
      <c r="C4" s="11">
        <v>0.24</v>
      </c>
      <c r="D4" s="9" t="s">
        <v>33</v>
      </c>
      <c r="E4" s="11">
        <v>0.12</v>
      </c>
      <c r="F4" s="9" t="s">
        <v>34</v>
      </c>
      <c r="G4" s="12">
        <v>0.243</v>
      </c>
      <c r="H4" s="9" t="s">
        <v>35</v>
      </c>
      <c r="I4" s="12">
        <f>44%+M6</f>
        <v>1.25</v>
      </c>
      <c r="J4" s="34" t="s">
        <v>36</v>
      </c>
      <c r="K4" s="12">
        <f>32%</f>
        <v>0.32</v>
      </c>
      <c r="L4" s="9" t="s">
        <v>37</v>
      </c>
      <c r="M4" s="12">
        <f>8.6%*2</f>
        <v>0.172</v>
      </c>
      <c r="N4" s="21"/>
      <c r="O4" s="31" t="s">
        <v>38</v>
      </c>
      <c r="P4" s="32">
        <f t="shared" ref="P4:P9" si="8">37.88%*4+117.88%*3</f>
        <v>5.0516</v>
      </c>
      <c r="Q4" s="39" t="s">
        <v>24</v>
      </c>
      <c r="R4" s="39">
        <f t="shared" si="0"/>
        <v>1024</v>
      </c>
      <c r="S4" s="32">
        <f t="shared" si="1"/>
        <v>1.738796875</v>
      </c>
      <c r="T4" s="32">
        <f t="shared" si="2"/>
        <v>1.832</v>
      </c>
      <c r="U4" s="40">
        <f t="shared" si="3"/>
        <v>3.12715</v>
      </c>
      <c r="V4" s="32">
        <f t="shared" si="4"/>
        <v>0.6</v>
      </c>
      <c r="W4" s="40">
        <f t="shared" si="5"/>
        <v>0.522150159393207</v>
      </c>
      <c r="X4" s="39">
        <v>0.8</v>
      </c>
      <c r="Y4" s="45">
        <v>0.8</v>
      </c>
      <c r="Z4" s="45">
        <v>0</v>
      </c>
      <c r="AA4" s="45">
        <v>0</v>
      </c>
      <c r="AB4" s="46">
        <f t="shared" si="6"/>
        <v>150941.474132601</v>
      </c>
      <c r="AC4" s="65">
        <v>17</v>
      </c>
      <c r="AD4" s="65"/>
      <c r="AE4" s="43">
        <v>14.4</v>
      </c>
      <c r="AF4" s="44">
        <f t="shared" si="7"/>
        <v>0.540104154822277</v>
      </c>
      <c r="AG4" s="47">
        <v>90</v>
      </c>
    </row>
    <row r="5" s="1" customFormat="1" spans="2:33">
      <c r="B5" s="9" t="s">
        <v>39</v>
      </c>
      <c r="C5" s="11">
        <f>18%+18%+M3</f>
        <v>0.532</v>
      </c>
      <c r="D5" s="9" t="s">
        <v>40</v>
      </c>
      <c r="E5" s="11">
        <f>10%</f>
        <v>0.1</v>
      </c>
      <c r="F5" s="9" t="s">
        <v>41</v>
      </c>
      <c r="G5" s="12">
        <v>0.2</v>
      </c>
      <c r="H5" s="9"/>
      <c r="I5" s="12"/>
      <c r="J5" s="34" t="s">
        <v>42</v>
      </c>
      <c r="K5" s="12">
        <v>0.25</v>
      </c>
      <c r="L5" s="9" t="s">
        <v>20</v>
      </c>
      <c r="M5" s="12">
        <f>8.1*5%</f>
        <v>0.405</v>
      </c>
      <c r="N5" s="21"/>
      <c r="O5" s="31" t="s">
        <v>43</v>
      </c>
      <c r="P5" s="32">
        <f>224.1%*2</f>
        <v>4.482</v>
      </c>
      <c r="Q5" s="39" t="s">
        <v>44</v>
      </c>
      <c r="R5" s="39">
        <f t="shared" si="0"/>
        <v>1024</v>
      </c>
      <c r="S5" s="32">
        <f t="shared" si="1"/>
        <v>1.738796875</v>
      </c>
      <c r="T5" s="32">
        <f>SUM($E$3:$E$6,$E$9)</f>
        <v>1.49</v>
      </c>
      <c r="U5" s="40">
        <f t="shared" si="3"/>
        <v>3.12715</v>
      </c>
      <c r="V5" s="32">
        <f>$K$3+$K$4</f>
        <v>0.67</v>
      </c>
      <c r="W5" s="40">
        <f t="shared" si="5"/>
        <v>0.522150159393207</v>
      </c>
      <c r="X5" s="39">
        <v>0.8</v>
      </c>
      <c r="Y5" s="45">
        <v>0</v>
      </c>
      <c r="Z5" s="45">
        <v>0</v>
      </c>
      <c r="AA5" s="45">
        <v>0</v>
      </c>
      <c r="AB5" s="46">
        <f t="shared" si="6"/>
        <v>68278.1218305169</v>
      </c>
      <c r="AC5" s="65">
        <v>17</v>
      </c>
      <c r="AD5" s="65"/>
      <c r="AE5" s="43">
        <v>21.6</v>
      </c>
      <c r="AF5" s="44">
        <f t="shared" si="7"/>
        <v>0.561837623012869</v>
      </c>
      <c r="AG5" s="47">
        <v>90</v>
      </c>
    </row>
    <row r="6" s="1" customFormat="1" spans="2:33">
      <c r="B6" s="9" t="s">
        <v>45</v>
      </c>
      <c r="C6" s="13">
        <f>25%+15%</f>
        <v>0.4</v>
      </c>
      <c r="D6" s="9" t="s">
        <v>46</v>
      </c>
      <c r="E6" s="11">
        <v>0.12</v>
      </c>
      <c r="F6" s="9" t="s">
        <v>35</v>
      </c>
      <c r="G6" s="12">
        <f>M5</f>
        <v>0.405</v>
      </c>
      <c r="H6" s="9"/>
      <c r="I6" s="12"/>
      <c r="J6" s="34"/>
      <c r="K6" s="12"/>
      <c r="L6" s="9" t="s">
        <v>47</v>
      </c>
      <c r="M6" s="11">
        <f>16.2%*5</f>
        <v>0.81</v>
      </c>
      <c r="N6" s="21"/>
      <c r="O6" s="31" t="s">
        <v>24</v>
      </c>
      <c r="P6" s="32">
        <f>105.97%*2</f>
        <v>2.1194</v>
      </c>
      <c r="Q6" s="39" t="s">
        <v>24</v>
      </c>
      <c r="R6" s="39">
        <f t="shared" si="0"/>
        <v>1024</v>
      </c>
      <c r="S6" s="32">
        <f t="shared" si="1"/>
        <v>1.738796875</v>
      </c>
      <c r="T6" s="32">
        <f t="shared" si="2"/>
        <v>1.832</v>
      </c>
      <c r="U6" s="40">
        <f t="shared" si="3"/>
        <v>3.12715</v>
      </c>
      <c r="V6" s="32">
        <f t="shared" si="4"/>
        <v>0.6</v>
      </c>
      <c r="W6" s="40">
        <f t="shared" si="5"/>
        <v>0.522150159393207</v>
      </c>
      <c r="X6" s="39">
        <v>0.8</v>
      </c>
      <c r="Y6" s="45">
        <v>0</v>
      </c>
      <c r="Z6" s="45">
        <v>0</v>
      </c>
      <c r="AA6" s="45">
        <v>0</v>
      </c>
      <c r="AB6" s="46">
        <f t="shared" si="6"/>
        <v>35181.962181029</v>
      </c>
      <c r="AC6" s="65">
        <v>17</v>
      </c>
      <c r="AD6" s="65"/>
      <c r="AE6" s="43">
        <v>28.8</v>
      </c>
      <c r="AF6" s="44">
        <f t="shared" si="7"/>
        <v>0.585393507677898</v>
      </c>
      <c r="AG6" s="47">
        <v>90</v>
      </c>
    </row>
    <row r="7" s="1" customFormat="1" spans="2:33">
      <c r="B7" s="9" t="s">
        <v>48</v>
      </c>
      <c r="C7" s="13">
        <f>22.5%</f>
        <v>0.225</v>
      </c>
      <c r="D7" s="9" t="s">
        <v>49</v>
      </c>
      <c r="E7" s="14"/>
      <c r="F7" s="9" t="s">
        <v>50</v>
      </c>
      <c r="G7" s="12">
        <v>0</v>
      </c>
      <c r="H7" s="9" t="s">
        <v>50</v>
      </c>
      <c r="I7" s="12">
        <v>0</v>
      </c>
      <c r="J7" s="34"/>
      <c r="K7" s="12"/>
      <c r="L7" s="9"/>
      <c r="M7" s="10"/>
      <c r="N7" s="21"/>
      <c r="O7" s="31" t="s">
        <v>38</v>
      </c>
      <c r="P7" s="32">
        <f t="shared" si="8"/>
        <v>5.0516</v>
      </c>
      <c r="Q7" s="39" t="s">
        <v>24</v>
      </c>
      <c r="R7" s="39">
        <f t="shared" si="0"/>
        <v>1024</v>
      </c>
      <c r="S7" s="32">
        <f t="shared" si="1"/>
        <v>1.738796875</v>
      </c>
      <c r="T7" s="32">
        <f t="shared" si="2"/>
        <v>1.832</v>
      </c>
      <c r="U7" s="40">
        <f t="shared" si="3"/>
        <v>3.12715</v>
      </c>
      <c r="V7" s="32">
        <f t="shared" si="4"/>
        <v>0.6</v>
      </c>
      <c r="W7" s="40">
        <f t="shared" si="5"/>
        <v>0.522150159393207</v>
      </c>
      <c r="X7" s="39">
        <v>0.8</v>
      </c>
      <c r="Y7" s="45">
        <v>0.8</v>
      </c>
      <c r="Z7" s="45">
        <v>0</v>
      </c>
      <c r="AA7" s="45">
        <v>0</v>
      </c>
      <c r="AB7" s="46">
        <f t="shared" si="6"/>
        <v>150941.474132601</v>
      </c>
      <c r="AC7" s="65">
        <v>17</v>
      </c>
      <c r="AD7" s="65"/>
      <c r="AE7" s="43">
        <v>36</v>
      </c>
      <c r="AF7" s="44">
        <f t="shared" si="7"/>
        <v>0.611011062516079</v>
      </c>
      <c r="AG7" s="47">
        <v>90</v>
      </c>
    </row>
    <row r="8" s="1" customFormat="1" spans="2:30">
      <c r="B8" s="9" t="s">
        <v>51</v>
      </c>
      <c r="C8" s="10">
        <v>350</v>
      </c>
      <c r="D8" s="9" t="s">
        <v>52</v>
      </c>
      <c r="E8" s="11">
        <f>32%+M4+40%</f>
        <v>0.892</v>
      </c>
      <c r="F8" s="15" t="s">
        <v>53</v>
      </c>
      <c r="G8" s="16">
        <f>MIN(100%,SUM(G3:G7))</f>
        <v>0.978</v>
      </c>
      <c r="H8" s="15" t="s">
        <v>54</v>
      </c>
      <c r="I8" s="35">
        <f>SUM(I3:I7)</f>
        <v>2.75</v>
      </c>
      <c r="J8" s="34"/>
      <c r="K8" s="12"/>
      <c r="L8" s="9"/>
      <c r="M8" s="10"/>
      <c r="N8" s="21"/>
      <c r="O8" s="31" t="s">
        <v>55</v>
      </c>
      <c r="P8" s="32">
        <f>53.45%*2+95.43%+32.69%*6</f>
        <v>3.9847</v>
      </c>
      <c r="Q8" s="39" t="s">
        <v>31</v>
      </c>
      <c r="R8" s="39">
        <f t="shared" si="0"/>
        <v>1024</v>
      </c>
      <c r="S8" s="32">
        <f t="shared" si="1"/>
        <v>1.738796875</v>
      </c>
      <c r="T8" s="32">
        <f>SUM($E$3:$E$6)</f>
        <v>0.94</v>
      </c>
      <c r="U8" s="40">
        <f t="shared" si="3"/>
        <v>3.12715</v>
      </c>
      <c r="V8" s="32">
        <f>$K$3</f>
        <v>0.35</v>
      </c>
      <c r="W8" s="40">
        <f t="shared" si="5"/>
        <v>0.522150159393207</v>
      </c>
      <c r="X8" s="39">
        <v>0.8</v>
      </c>
      <c r="Y8" s="45">
        <v>0</v>
      </c>
      <c r="Z8" s="45">
        <v>0</v>
      </c>
      <c r="AA8" s="45">
        <v>0</v>
      </c>
      <c r="AB8" s="46">
        <f t="shared" si="6"/>
        <v>38231.8245054844</v>
      </c>
      <c r="AC8" s="65">
        <v>17</v>
      </c>
      <c r="AD8" s="65"/>
    </row>
    <row r="9" s="1" customFormat="1" spans="2:30">
      <c r="B9" s="17" t="s">
        <v>56</v>
      </c>
      <c r="C9" s="18"/>
      <c r="D9" s="17" t="s">
        <v>57</v>
      </c>
      <c r="E9" s="19">
        <f>35%+20%</f>
        <v>0.55</v>
      </c>
      <c r="F9" s="17"/>
      <c r="G9" s="20"/>
      <c r="H9" s="17"/>
      <c r="I9" s="18"/>
      <c r="J9" s="36"/>
      <c r="K9" s="20"/>
      <c r="L9" s="17"/>
      <c r="M9" s="18"/>
      <c r="N9" s="21"/>
      <c r="O9" s="31" t="s">
        <v>38</v>
      </c>
      <c r="P9" s="32">
        <f t="shared" si="8"/>
        <v>5.0516</v>
      </c>
      <c r="Q9" s="39" t="s">
        <v>24</v>
      </c>
      <c r="R9" s="39">
        <f t="shared" si="0"/>
        <v>1024</v>
      </c>
      <c r="S9" s="32">
        <f t="shared" si="1"/>
        <v>1.738796875</v>
      </c>
      <c r="T9" s="32">
        <f t="shared" ref="T9:T11" si="9">SUM($E$3:$E$6,$E$8)</f>
        <v>1.832</v>
      </c>
      <c r="U9" s="40">
        <f t="shared" si="3"/>
        <v>3.12715</v>
      </c>
      <c r="V9" s="32">
        <f t="shared" ref="V9:V11" si="10">$K$3+$K$5</f>
        <v>0.6</v>
      </c>
      <c r="W9" s="40">
        <f t="shared" si="5"/>
        <v>0.522150159393207</v>
      </c>
      <c r="X9" s="39">
        <v>0.8</v>
      </c>
      <c r="Y9" s="45">
        <v>0.8</v>
      </c>
      <c r="Z9" s="45">
        <v>0</v>
      </c>
      <c r="AA9" s="45">
        <v>0</v>
      </c>
      <c r="AB9" s="46">
        <f t="shared" si="6"/>
        <v>150941.474132601</v>
      </c>
      <c r="AC9" s="65">
        <v>17</v>
      </c>
      <c r="AD9" s="65"/>
    </row>
    <row r="10" s="1" customFormat="1" ht="14.75" spans="2:30">
      <c r="B10" s="21"/>
      <c r="C10" s="21"/>
      <c r="D10" s="21"/>
      <c r="E10" s="21"/>
      <c r="F10" s="21" t="s">
        <v>58</v>
      </c>
      <c r="G10" s="22"/>
      <c r="H10" s="21"/>
      <c r="I10" s="21"/>
      <c r="J10" s="21"/>
      <c r="K10" s="21"/>
      <c r="L10" s="21"/>
      <c r="M10" s="21"/>
      <c r="N10" s="21"/>
      <c r="O10" s="31" t="s">
        <v>59</v>
      </c>
      <c r="P10" s="32">
        <f>33.01%*2+12.38%*8+495.1%</f>
        <v>6.6016</v>
      </c>
      <c r="Q10" s="39" t="s">
        <v>24</v>
      </c>
      <c r="R10" s="39">
        <f t="shared" si="0"/>
        <v>1024</v>
      </c>
      <c r="S10" s="32">
        <f t="shared" si="1"/>
        <v>1.738796875</v>
      </c>
      <c r="T10" s="32">
        <f t="shared" si="9"/>
        <v>1.832</v>
      </c>
      <c r="U10" s="40">
        <f t="shared" si="3"/>
        <v>3.12715</v>
      </c>
      <c r="V10" s="32">
        <f t="shared" si="10"/>
        <v>0.6</v>
      </c>
      <c r="W10" s="40">
        <f t="shared" si="5"/>
        <v>0.522150159393207</v>
      </c>
      <c r="X10" s="39">
        <v>0.8</v>
      </c>
      <c r="Y10" s="45">
        <v>0</v>
      </c>
      <c r="Z10" s="45">
        <v>0</v>
      </c>
      <c r="AA10" s="45">
        <v>0</v>
      </c>
      <c r="AB10" s="46">
        <f t="shared" si="6"/>
        <v>109586.317606059</v>
      </c>
      <c r="AC10" s="65">
        <v>17</v>
      </c>
      <c r="AD10" s="65"/>
    </row>
    <row r="11" s="1" customFormat="1" ht="15" spans="2:30">
      <c r="B11" s="48" t="s">
        <v>60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2"/>
      <c r="N11" s="21"/>
      <c r="O11" s="31" t="s">
        <v>61</v>
      </c>
      <c r="P11" s="32">
        <f>82.55%*AC11</f>
        <v>14.0335</v>
      </c>
      <c r="Q11" s="39" t="s">
        <v>24</v>
      </c>
      <c r="R11" s="39">
        <f t="shared" si="0"/>
        <v>1024</v>
      </c>
      <c r="S11" s="32">
        <f t="shared" si="1"/>
        <v>1.738796875</v>
      </c>
      <c r="T11" s="32">
        <f t="shared" si="9"/>
        <v>1.832</v>
      </c>
      <c r="U11" s="40">
        <f t="shared" si="3"/>
        <v>3.12715</v>
      </c>
      <c r="V11" s="32">
        <f t="shared" si="10"/>
        <v>0.6</v>
      </c>
      <c r="W11" s="40">
        <f t="shared" si="5"/>
        <v>0.522150159393207</v>
      </c>
      <c r="X11" s="39">
        <v>0.8</v>
      </c>
      <c r="Y11" s="45">
        <v>0</v>
      </c>
      <c r="Z11" s="45">
        <v>0</v>
      </c>
      <c r="AA11" s="45">
        <v>0</v>
      </c>
      <c r="AB11" s="46">
        <f t="shared" si="6"/>
        <v>232955.584725616</v>
      </c>
      <c r="AC11" s="65">
        <v>17</v>
      </c>
      <c r="AD11" s="65"/>
    </row>
    <row r="12" s="1" customFormat="1" spans="2:30">
      <c r="B12" s="50" t="s">
        <v>19</v>
      </c>
      <c r="C12" s="51"/>
      <c r="D12" s="50" t="s">
        <v>6</v>
      </c>
      <c r="E12" s="51"/>
      <c r="F12" s="50" t="s">
        <v>20</v>
      </c>
      <c r="G12" s="51"/>
      <c r="H12" s="50" t="s">
        <v>21</v>
      </c>
      <c r="I12" s="51"/>
      <c r="J12" s="53" t="s">
        <v>8</v>
      </c>
      <c r="K12" s="53"/>
      <c r="L12" s="50" t="s">
        <v>22</v>
      </c>
      <c r="M12" s="51"/>
      <c r="N12" s="21"/>
      <c r="O12" s="31" t="s">
        <v>55</v>
      </c>
      <c r="P12" s="32">
        <f>53.45%*2+95.43%+32.69%*6</f>
        <v>3.9847</v>
      </c>
      <c r="Q12" s="39" t="s">
        <v>31</v>
      </c>
      <c r="R12" s="39">
        <f t="shared" si="0"/>
        <v>1024</v>
      </c>
      <c r="S12" s="32">
        <f t="shared" si="1"/>
        <v>1.738796875</v>
      </c>
      <c r="T12" s="32">
        <f>SUM($E$3:$E$6)</f>
        <v>0.94</v>
      </c>
      <c r="U12" s="40">
        <f t="shared" si="3"/>
        <v>3.12715</v>
      </c>
      <c r="V12" s="32">
        <f>$K$3</f>
        <v>0.35</v>
      </c>
      <c r="W12" s="40">
        <f t="shared" si="5"/>
        <v>0.522150159393207</v>
      </c>
      <c r="X12" s="39">
        <v>0.8</v>
      </c>
      <c r="Y12" s="45">
        <v>0</v>
      </c>
      <c r="Z12" s="45">
        <v>0</v>
      </c>
      <c r="AA12" s="45">
        <v>0</v>
      </c>
      <c r="AB12" s="46">
        <f t="shared" si="6"/>
        <v>38231.8245054844</v>
      </c>
      <c r="AC12" s="65">
        <v>17</v>
      </c>
      <c r="AD12" s="65"/>
    </row>
    <row r="13" s="1" customFormat="1" spans="2:30">
      <c r="B13" s="9" t="s">
        <v>25</v>
      </c>
      <c r="C13" s="10">
        <f>400+500</f>
        <v>900</v>
      </c>
      <c r="D13" s="9" t="s">
        <v>26</v>
      </c>
      <c r="E13" s="11">
        <v>0.6</v>
      </c>
      <c r="F13" s="9" t="s">
        <v>27</v>
      </c>
      <c r="G13" s="12">
        <v>0.13</v>
      </c>
      <c r="H13" s="9" t="s">
        <v>27</v>
      </c>
      <c r="I13" s="11">
        <v>1.5</v>
      </c>
      <c r="J13" s="54" t="s">
        <v>28</v>
      </c>
      <c r="K13" s="55">
        <v>0.15</v>
      </c>
      <c r="L13" s="9" t="s">
        <v>29</v>
      </c>
      <c r="M13" s="12">
        <f>8.6%*2</f>
        <v>0.172</v>
      </c>
      <c r="N13" s="21"/>
      <c r="O13" s="31" t="s">
        <v>38</v>
      </c>
      <c r="P13" s="32">
        <f>37.88%*4+117.88%*3</f>
        <v>5.0516</v>
      </c>
      <c r="Q13" s="39" t="s">
        <v>24</v>
      </c>
      <c r="R13" s="39">
        <f t="shared" si="0"/>
        <v>1024</v>
      </c>
      <c r="S13" s="32">
        <f t="shared" si="1"/>
        <v>1.738796875</v>
      </c>
      <c r="T13" s="32">
        <f>SUM($E$3:$E$6,$E$8)</f>
        <v>1.832</v>
      </c>
      <c r="U13" s="40">
        <f t="shared" si="3"/>
        <v>3.12715</v>
      </c>
      <c r="V13" s="32">
        <f>$K$3+$K$5</f>
        <v>0.6</v>
      </c>
      <c r="W13" s="40">
        <f t="shared" si="5"/>
        <v>0.522150159393207</v>
      </c>
      <c r="X13" s="39">
        <v>0.8</v>
      </c>
      <c r="Y13" s="45">
        <v>0.8</v>
      </c>
      <c r="Z13" s="45">
        <v>0</v>
      </c>
      <c r="AA13" s="45">
        <v>0</v>
      </c>
      <c r="AB13" s="46">
        <f t="shared" si="6"/>
        <v>150941.474132601</v>
      </c>
      <c r="AC13" s="65">
        <v>17</v>
      </c>
      <c r="AD13" s="65"/>
    </row>
    <row r="14" s="1" customFormat="1" spans="2:30">
      <c r="B14" s="9" t="s">
        <v>32</v>
      </c>
      <c r="C14" s="11">
        <v>0.24</v>
      </c>
      <c r="D14" s="9" t="s">
        <v>33</v>
      </c>
      <c r="E14" s="11"/>
      <c r="F14" s="9" t="s">
        <v>34</v>
      </c>
      <c r="G14" s="12">
        <v>0</v>
      </c>
      <c r="H14" s="9" t="s">
        <v>35</v>
      </c>
      <c r="I14" s="12">
        <f>M16</f>
        <v>0.81</v>
      </c>
      <c r="J14" s="34" t="s">
        <v>62</v>
      </c>
      <c r="K14" s="12"/>
      <c r="L14" s="9" t="s">
        <v>63</v>
      </c>
      <c r="M14" s="12">
        <f>8.6%*2</f>
        <v>0.172</v>
      </c>
      <c r="N14" s="21"/>
      <c r="O14" s="31" t="s">
        <v>64</v>
      </c>
      <c r="P14" s="32">
        <f>(39.77%+19.89%*2)*4*0.7</f>
        <v>2.2274</v>
      </c>
      <c r="Q14" s="39" t="s">
        <v>44</v>
      </c>
      <c r="R14" s="39">
        <f t="shared" si="0"/>
        <v>1024</v>
      </c>
      <c r="S14" s="32">
        <f>($C$4+$C$5+$C$6)+($C$8+$C$9)/R14+120%</f>
        <v>2.713796875</v>
      </c>
      <c r="T14" s="32">
        <f>SUM($E$3:$E$6,$E$9)-$E$6</f>
        <v>1.37</v>
      </c>
      <c r="U14" s="40">
        <f t="shared" si="3"/>
        <v>3.2005</v>
      </c>
      <c r="V14" s="32">
        <f>$K$4+15%</f>
        <v>0.47</v>
      </c>
      <c r="W14" s="40">
        <f t="shared" si="5"/>
        <v>0.522150159393207</v>
      </c>
      <c r="X14" s="39">
        <v>0.8</v>
      </c>
      <c r="Y14" s="45">
        <v>0</v>
      </c>
      <c r="Z14" s="45">
        <v>0</v>
      </c>
      <c r="AA14" s="45">
        <v>0</v>
      </c>
      <c r="AB14" s="46">
        <f t="shared" si="6"/>
        <v>39453.4724021642</v>
      </c>
      <c r="AC14" s="65">
        <v>20</v>
      </c>
      <c r="AD14" s="65"/>
    </row>
    <row r="15" s="1" customFormat="1" spans="2:30">
      <c r="B15" s="9" t="s">
        <v>39</v>
      </c>
      <c r="C15" s="11">
        <f>18%+18%+M13</f>
        <v>0.532</v>
      </c>
      <c r="D15" s="9" t="s">
        <v>40</v>
      </c>
      <c r="E15" s="11"/>
      <c r="F15" s="9" t="s">
        <v>41</v>
      </c>
      <c r="G15" s="12"/>
      <c r="H15" s="9"/>
      <c r="I15" s="12"/>
      <c r="J15" s="34"/>
      <c r="K15" s="12"/>
      <c r="L15" s="9" t="s">
        <v>20</v>
      </c>
      <c r="M15" s="12">
        <f>8.1*5%</f>
        <v>0.405</v>
      </c>
      <c r="N15" s="21"/>
      <c r="O15" s="31" t="s">
        <v>65</v>
      </c>
      <c r="P15" s="32">
        <f>(149.11%+347.92%)*7*0.7</f>
        <v>24.35447</v>
      </c>
      <c r="Q15" s="39" t="s">
        <v>44</v>
      </c>
      <c r="R15" s="39">
        <f t="shared" si="0"/>
        <v>1024</v>
      </c>
      <c r="S15" s="32">
        <f>($C$4+$C$5+$C$6)+($C$8+$C$9)/R14+120%</f>
        <v>2.713796875</v>
      </c>
      <c r="T15" s="32">
        <f>SUM($E$3:$E$6,$E$9)-$E$6</f>
        <v>1.37</v>
      </c>
      <c r="U15" s="40">
        <f t="shared" si="3"/>
        <v>3.2005</v>
      </c>
      <c r="V15" s="32">
        <f>$K$4+15%</f>
        <v>0.47</v>
      </c>
      <c r="W15" s="40">
        <f t="shared" si="5"/>
        <v>0.522150159393207</v>
      </c>
      <c r="X15" s="39">
        <v>0.8</v>
      </c>
      <c r="Y15" s="45">
        <v>0</v>
      </c>
      <c r="Z15" s="45">
        <v>0</v>
      </c>
      <c r="AA15" s="45">
        <v>0</v>
      </c>
      <c r="AB15" s="46">
        <f t="shared" si="6"/>
        <v>431385.655928138</v>
      </c>
      <c r="AC15" s="65">
        <v>20</v>
      </c>
      <c r="AD15" s="65"/>
    </row>
    <row r="16" s="1" customFormat="1" spans="2:30">
      <c r="B16" s="9" t="s">
        <v>66</v>
      </c>
      <c r="C16" s="13"/>
      <c r="D16" s="9" t="s">
        <v>46</v>
      </c>
      <c r="E16" s="11"/>
      <c r="F16" s="9" t="s">
        <v>35</v>
      </c>
      <c r="G16" s="12">
        <f>M15+22%</f>
        <v>0.625</v>
      </c>
      <c r="H16" s="9" t="s">
        <v>34</v>
      </c>
      <c r="I16" s="12">
        <v>0.72</v>
      </c>
      <c r="J16" s="34"/>
      <c r="K16" s="12"/>
      <c r="L16" s="9" t="s">
        <v>47</v>
      </c>
      <c r="M16" s="11">
        <f>16.2%*5</f>
        <v>0.81</v>
      </c>
      <c r="N16" s="21"/>
      <c r="O16" s="56" t="s">
        <v>67</v>
      </c>
      <c r="P16" s="57">
        <f>42.25%*4</f>
        <v>1.69</v>
      </c>
      <c r="Q16" s="60" t="s">
        <v>68</v>
      </c>
      <c r="R16" s="60">
        <f t="shared" ref="R16:R27" si="11">$C$13</f>
        <v>900</v>
      </c>
      <c r="S16" s="57">
        <f t="shared" ref="S16:S27" si="12">($C$14+$C$15+$C$16+$C$17)+($C$18+$C$19)/R16</f>
        <v>1.56088888888889</v>
      </c>
      <c r="T16" s="57">
        <f>SUM($E$13:$E$16)</f>
        <v>0.6</v>
      </c>
      <c r="U16" s="61">
        <f t="shared" ref="U16:U27" si="13">1+$G$18*($I$18-1)</f>
        <v>2.53265</v>
      </c>
      <c r="V16" s="62">
        <f t="shared" ref="V16:V27" si="14">$K$13</f>
        <v>0.15</v>
      </c>
      <c r="W16" s="61">
        <f t="shared" ref="W16:W27" si="15">$AF$2</f>
        <v>0.50131926121372</v>
      </c>
      <c r="X16" s="60">
        <v>0.8</v>
      </c>
      <c r="Y16" s="66">
        <v>0</v>
      </c>
      <c r="Z16" s="66">
        <v>0</v>
      </c>
      <c r="AA16" s="66">
        <v>0</v>
      </c>
      <c r="AB16" s="67">
        <f t="shared" si="6"/>
        <v>7279.7644542845</v>
      </c>
      <c r="AC16" s="65"/>
      <c r="AD16" s="65"/>
    </row>
    <row r="17" s="1" customFormat="1" spans="2:30">
      <c r="B17" s="9" t="s">
        <v>45</v>
      </c>
      <c r="C17" s="13">
        <f>25%+15%</f>
        <v>0.4</v>
      </c>
      <c r="D17" s="9" t="s">
        <v>49</v>
      </c>
      <c r="E17" s="11">
        <v>0.4</v>
      </c>
      <c r="F17" s="9"/>
      <c r="G17" s="12"/>
      <c r="H17" s="9"/>
      <c r="I17" s="12"/>
      <c r="J17" s="34"/>
      <c r="K17" s="12"/>
      <c r="L17" s="9"/>
      <c r="M17" s="10"/>
      <c r="N17" s="21"/>
      <c r="O17" s="56" t="s">
        <v>69</v>
      </c>
      <c r="P17" s="57">
        <f>73.6%*2</f>
        <v>1.472</v>
      </c>
      <c r="Q17" s="60" t="s">
        <v>24</v>
      </c>
      <c r="R17" s="60">
        <f t="shared" si="11"/>
        <v>900</v>
      </c>
      <c r="S17" s="57">
        <f t="shared" si="12"/>
        <v>1.56088888888889</v>
      </c>
      <c r="T17" s="57">
        <f>SUM($E$13:$E$16)</f>
        <v>0.6</v>
      </c>
      <c r="U17" s="61">
        <f t="shared" si="13"/>
        <v>2.53265</v>
      </c>
      <c r="V17" s="62">
        <f t="shared" si="14"/>
        <v>0.15</v>
      </c>
      <c r="W17" s="61">
        <f t="shared" si="15"/>
        <v>0.50131926121372</v>
      </c>
      <c r="X17" s="60">
        <v>0.8</v>
      </c>
      <c r="Y17" s="66">
        <v>0</v>
      </c>
      <c r="Z17" s="66">
        <v>0</v>
      </c>
      <c r="AA17" s="66">
        <v>0</v>
      </c>
      <c r="AB17" s="67">
        <f t="shared" si="6"/>
        <v>6340.71791521111</v>
      </c>
      <c r="AC17" s="65"/>
      <c r="AD17" s="65"/>
    </row>
    <row r="18" s="1" customFormat="1" spans="2:30">
      <c r="B18" s="9" t="s">
        <v>51</v>
      </c>
      <c r="C18" s="10">
        <v>350</v>
      </c>
      <c r="D18" s="9" t="s">
        <v>70</v>
      </c>
      <c r="E18" s="11">
        <v>0.06</v>
      </c>
      <c r="F18" s="15" t="s">
        <v>53</v>
      </c>
      <c r="G18" s="16">
        <f>MIN(100%,SUM(G13:G17))</f>
        <v>0.755</v>
      </c>
      <c r="H18" s="15" t="s">
        <v>54</v>
      </c>
      <c r="I18" s="35">
        <f>SUM(I13:I17)</f>
        <v>3.03</v>
      </c>
      <c r="J18" s="34"/>
      <c r="K18" s="12"/>
      <c r="L18" s="9"/>
      <c r="M18" s="10"/>
      <c r="N18" s="21"/>
      <c r="O18" s="56" t="s">
        <v>71</v>
      </c>
      <c r="P18" s="57">
        <f>53.05%*2</f>
        <v>1.061</v>
      </c>
      <c r="Q18" s="60" t="s">
        <v>71</v>
      </c>
      <c r="R18" s="60">
        <f t="shared" si="11"/>
        <v>900</v>
      </c>
      <c r="S18" s="57">
        <f t="shared" si="12"/>
        <v>1.56088888888889</v>
      </c>
      <c r="T18" s="57">
        <f>SUM($E$13:$E$16)+$E$18</f>
        <v>0.66</v>
      </c>
      <c r="U18" s="61">
        <f t="shared" si="13"/>
        <v>2.53265</v>
      </c>
      <c r="V18" s="62">
        <f t="shared" si="14"/>
        <v>0.15</v>
      </c>
      <c r="W18" s="61">
        <f t="shared" si="15"/>
        <v>0.50131926121372</v>
      </c>
      <c r="X18" s="60">
        <v>0.8</v>
      </c>
      <c r="Y18" s="66">
        <v>0</v>
      </c>
      <c r="Z18" s="66">
        <v>0</v>
      </c>
      <c r="AA18" s="66">
        <v>0</v>
      </c>
      <c r="AB18" s="67">
        <f t="shared" si="6"/>
        <v>4741.7004226158</v>
      </c>
      <c r="AC18" s="65"/>
      <c r="AD18" s="65"/>
    </row>
    <row r="19" s="1" customFormat="1" spans="2:30">
      <c r="B19" s="17" t="s">
        <v>56</v>
      </c>
      <c r="C19" s="18"/>
      <c r="D19" s="17"/>
      <c r="E19" s="19"/>
      <c r="F19" s="17"/>
      <c r="G19" s="19"/>
      <c r="H19" s="17"/>
      <c r="I19" s="18"/>
      <c r="J19" s="36"/>
      <c r="K19" s="20"/>
      <c r="L19" s="17"/>
      <c r="M19" s="18"/>
      <c r="N19" s="21"/>
      <c r="O19" s="56" t="s">
        <v>72</v>
      </c>
      <c r="P19" s="57">
        <v>1.9623</v>
      </c>
      <c r="Q19" s="60" t="s">
        <v>24</v>
      </c>
      <c r="R19" s="60">
        <f t="shared" si="11"/>
        <v>900</v>
      </c>
      <c r="S19" s="57">
        <f t="shared" si="12"/>
        <v>1.56088888888889</v>
      </c>
      <c r="T19" s="57">
        <f>SUM($E$13:$E$16)+$E$18*2</f>
        <v>0.72</v>
      </c>
      <c r="U19" s="61">
        <f t="shared" si="13"/>
        <v>2.53265</v>
      </c>
      <c r="V19" s="62">
        <f t="shared" si="14"/>
        <v>0.15</v>
      </c>
      <c r="W19" s="61">
        <f t="shared" si="15"/>
        <v>0.50131926121372</v>
      </c>
      <c r="X19" s="60">
        <v>0.92</v>
      </c>
      <c r="Y19" s="66">
        <v>0</v>
      </c>
      <c r="Z19" s="66">
        <v>0</v>
      </c>
      <c r="AA19" s="66">
        <v>0</v>
      </c>
      <c r="AB19" s="67">
        <f t="shared" si="6"/>
        <v>10449.6641190587</v>
      </c>
      <c r="AC19" s="65"/>
      <c r="AD19" s="65"/>
    </row>
    <row r="20" s="1" customFormat="1" spans="2:30">
      <c r="B20" s="21"/>
      <c r="C20" s="21"/>
      <c r="D20" s="21"/>
      <c r="E20" s="23"/>
      <c r="F20" s="21"/>
      <c r="G20" s="23"/>
      <c r="H20" s="21"/>
      <c r="I20" s="21"/>
      <c r="J20" s="22"/>
      <c r="K20" s="22"/>
      <c r="L20" s="21"/>
      <c r="M20" s="21"/>
      <c r="N20" s="21"/>
      <c r="O20" s="56" t="s">
        <v>73</v>
      </c>
      <c r="P20" s="57">
        <v>1.9801</v>
      </c>
      <c r="Q20" s="60" t="s">
        <v>31</v>
      </c>
      <c r="R20" s="60">
        <f t="shared" si="11"/>
        <v>900</v>
      </c>
      <c r="S20" s="57">
        <f t="shared" si="12"/>
        <v>1.56088888888889</v>
      </c>
      <c r="T20" s="57">
        <f t="shared" ref="T20:T25" si="16">SUM($E$13:$E$16)+$E$18*2+$E$17+$M$14</f>
        <v>1.292</v>
      </c>
      <c r="U20" s="61">
        <f t="shared" si="13"/>
        <v>2.53265</v>
      </c>
      <c r="V20" s="62">
        <f t="shared" si="14"/>
        <v>0.15</v>
      </c>
      <c r="W20" s="61">
        <f t="shared" si="15"/>
        <v>0.50131926121372</v>
      </c>
      <c r="X20" s="60">
        <v>0.92</v>
      </c>
      <c r="Y20" s="66">
        <v>0</v>
      </c>
      <c r="Z20" s="66">
        <v>0</v>
      </c>
      <c r="AA20" s="66">
        <v>0</v>
      </c>
      <c r="AB20" s="67">
        <f t="shared" si="6"/>
        <v>14051.0965364456</v>
      </c>
      <c r="AC20" s="65"/>
      <c r="AD20" s="65"/>
    </row>
    <row r="21" s="1" customFormat="1" ht="15" spans="2:30">
      <c r="B21" s="24" t="s">
        <v>74</v>
      </c>
      <c r="C21" s="21"/>
      <c r="D21" s="21"/>
      <c r="E21" s="21"/>
      <c r="F21" s="21"/>
      <c r="G21" s="22"/>
      <c r="H21" s="21"/>
      <c r="I21" s="21"/>
      <c r="J21" s="21"/>
      <c r="K21" s="21"/>
      <c r="L21" s="21"/>
      <c r="M21" s="21"/>
      <c r="N21" s="21"/>
      <c r="O21" s="56" t="s">
        <v>75</v>
      </c>
      <c r="P21" s="57">
        <v>3.76</v>
      </c>
      <c r="Q21" s="60" t="s">
        <v>31</v>
      </c>
      <c r="R21" s="60">
        <f t="shared" si="11"/>
        <v>900</v>
      </c>
      <c r="S21" s="57">
        <f t="shared" si="12"/>
        <v>1.56088888888889</v>
      </c>
      <c r="T21" s="57">
        <f t="shared" si="16"/>
        <v>1.292</v>
      </c>
      <c r="U21" s="61">
        <f t="shared" si="13"/>
        <v>2.53265</v>
      </c>
      <c r="V21" s="62">
        <f t="shared" si="14"/>
        <v>0.15</v>
      </c>
      <c r="W21" s="61">
        <f t="shared" si="15"/>
        <v>0.50131926121372</v>
      </c>
      <c r="X21" s="60">
        <v>0.92</v>
      </c>
      <c r="Y21" s="66">
        <v>0</v>
      </c>
      <c r="Z21" s="66">
        <v>0</v>
      </c>
      <c r="AA21" s="66">
        <v>0</v>
      </c>
      <c r="AB21" s="67">
        <f t="shared" si="6"/>
        <v>26681.5428397735</v>
      </c>
      <c r="AC21" s="65"/>
      <c r="AD21" s="65"/>
    </row>
    <row r="22" s="1" customFormat="1" spans="2:30">
      <c r="B22" s="25" t="s">
        <v>76</v>
      </c>
      <c r="C22" s="25" t="s">
        <v>77</v>
      </c>
      <c r="D22" s="25" t="s">
        <v>78</v>
      </c>
      <c r="E22" s="25" t="s">
        <v>79</v>
      </c>
      <c r="F22" s="26"/>
      <c r="G22" s="22"/>
      <c r="H22" s="21"/>
      <c r="I22" s="21"/>
      <c r="J22" s="21"/>
      <c r="K22" s="21"/>
      <c r="L22" s="21"/>
      <c r="M22" s="21"/>
      <c r="N22" s="21"/>
      <c r="O22" s="56" t="s">
        <v>80</v>
      </c>
      <c r="P22" s="57">
        <f>35.33%*3+62.93%*2+64.62%*4</f>
        <v>4.9033</v>
      </c>
      <c r="Q22" s="60" t="s">
        <v>31</v>
      </c>
      <c r="R22" s="60">
        <f t="shared" si="11"/>
        <v>900</v>
      </c>
      <c r="S22" s="57">
        <f t="shared" si="12"/>
        <v>1.56088888888889</v>
      </c>
      <c r="T22" s="57">
        <f t="shared" si="16"/>
        <v>1.292</v>
      </c>
      <c r="U22" s="61">
        <f t="shared" si="13"/>
        <v>2.53265</v>
      </c>
      <c r="V22" s="62">
        <f t="shared" si="14"/>
        <v>0.15</v>
      </c>
      <c r="W22" s="61">
        <f t="shared" si="15"/>
        <v>0.50131926121372</v>
      </c>
      <c r="X22" s="60">
        <v>0.92</v>
      </c>
      <c r="Y22" s="66">
        <v>0</v>
      </c>
      <c r="Z22" s="66">
        <v>0</v>
      </c>
      <c r="AA22" s="66">
        <v>0</v>
      </c>
      <c r="AB22" s="67">
        <f t="shared" si="6"/>
        <v>34794.5768633674</v>
      </c>
      <c r="AC22" s="65"/>
      <c r="AD22" s="65"/>
    </row>
    <row r="23" s="1" customFormat="1" spans="2:30">
      <c r="B23" s="27" t="s">
        <v>0</v>
      </c>
      <c r="C23" s="27">
        <f>SUM(AB2:AB15)</f>
        <v>1714896.7788803</v>
      </c>
      <c r="D23" s="27">
        <f>C23/E23</f>
        <v>68595.871155212</v>
      </c>
      <c r="E23" s="26">
        <v>25</v>
      </c>
      <c r="F23" s="26"/>
      <c r="G23" s="28"/>
      <c r="H23" s="21"/>
      <c r="I23" s="21"/>
      <c r="J23" s="21"/>
      <c r="K23" s="21"/>
      <c r="L23" s="21"/>
      <c r="M23" s="21"/>
      <c r="N23" s="21"/>
      <c r="O23" s="56" t="s">
        <v>81</v>
      </c>
      <c r="P23" s="57">
        <f>667.99%*2</f>
        <v>13.3598</v>
      </c>
      <c r="Q23" s="60" t="s">
        <v>31</v>
      </c>
      <c r="R23" s="60">
        <f t="shared" si="11"/>
        <v>900</v>
      </c>
      <c r="S23" s="57">
        <f t="shared" si="12"/>
        <v>1.56088888888889</v>
      </c>
      <c r="T23" s="57">
        <f t="shared" si="16"/>
        <v>1.292</v>
      </c>
      <c r="U23" s="61">
        <f t="shared" si="13"/>
        <v>2.53265</v>
      </c>
      <c r="V23" s="62">
        <f t="shared" si="14"/>
        <v>0.15</v>
      </c>
      <c r="W23" s="61">
        <f t="shared" si="15"/>
        <v>0.50131926121372</v>
      </c>
      <c r="X23" s="60">
        <v>0.92</v>
      </c>
      <c r="Y23" s="66">
        <v>0</v>
      </c>
      <c r="Z23" s="66">
        <v>0</v>
      </c>
      <c r="AA23" s="66">
        <v>0</v>
      </c>
      <c r="AB23" s="67">
        <f t="shared" si="6"/>
        <v>94803.2117103208</v>
      </c>
      <c r="AC23" s="65"/>
      <c r="AD23" s="65"/>
    </row>
    <row r="24" s="1" customFormat="1" spans="2:30">
      <c r="B24" s="27" t="s">
        <v>60</v>
      </c>
      <c r="C24" s="27">
        <f>SUM(AB16:AB27)</f>
        <v>258919.965157448</v>
      </c>
      <c r="D24" s="27">
        <f>C24/E23</f>
        <v>10356.7986062979</v>
      </c>
      <c r="E24" s="22"/>
      <c r="F24" s="21"/>
      <c r="G24" s="22"/>
      <c r="H24" s="21"/>
      <c r="I24" s="21"/>
      <c r="J24" s="21"/>
      <c r="K24" s="21"/>
      <c r="L24" s="21"/>
      <c r="M24" s="21"/>
      <c r="N24" s="21"/>
      <c r="O24" s="56" t="s">
        <v>73</v>
      </c>
      <c r="P24" s="57">
        <f>198.01%</f>
        <v>1.9801</v>
      </c>
      <c r="Q24" s="60" t="s">
        <v>31</v>
      </c>
      <c r="R24" s="60">
        <f t="shared" si="11"/>
        <v>900</v>
      </c>
      <c r="S24" s="57">
        <f t="shared" si="12"/>
        <v>1.56088888888889</v>
      </c>
      <c r="T24" s="57">
        <f t="shared" si="16"/>
        <v>1.292</v>
      </c>
      <c r="U24" s="61">
        <f t="shared" si="13"/>
        <v>2.53265</v>
      </c>
      <c r="V24" s="62">
        <f t="shared" si="14"/>
        <v>0.15</v>
      </c>
      <c r="W24" s="61">
        <f t="shared" si="15"/>
        <v>0.50131926121372</v>
      </c>
      <c r="X24" s="60">
        <v>0.92</v>
      </c>
      <c r="Y24" s="66">
        <v>0</v>
      </c>
      <c r="Z24" s="66">
        <v>0</v>
      </c>
      <c r="AA24" s="66">
        <v>0</v>
      </c>
      <c r="AB24" s="67">
        <f t="shared" si="6"/>
        <v>14051.0965364456</v>
      </c>
      <c r="AC24" s="65"/>
      <c r="AD24" s="65"/>
    </row>
    <row r="25" s="1" customFormat="1" spans="2:30">
      <c r="B25" s="27" t="s">
        <v>45</v>
      </c>
      <c r="C25" s="27">
        <v>50000</v>
      </c>
      <c r="D25" s="27">
        <f>C25/E23</f>
        <v>2000</v>
      </c>
      <c r="E25" s="21"/>
      <c r="F25" s="21"/>
      <c r="G25" s="22"/>
      <c r="H25" s="21"/>
      <c r="I25" s="21"/>
      <c r="J25" s="21"/>
      <c r="K25" s="21"/>
      <c r="L25" s="21"/>
      <c r="M25" s="21"/>
      <c r="N25" s="21"/>
      <c r="O25" s="56" t="s">
        <v>82</v>
      </c>
      <c r="P25" s="57">
        <v>1.0599</v>
      </c>
      <c r="Q25" s="60" t="s">
        <v>31</v>
      </c>
      <c r="R25" s="60">
        <f t="shared" si="11"/>
        <v>900</v>
      </c>
      <c r="S25" s="57">
        <f t="shared" si="12"/>
        <v>1.56088888888889</v>
      </c>
      <c r="T25" s="57">
        <f t="shared" si="16"/>
        <v>1.292</v>
      </c>
      <c r="U25" s="61">
        <f t="shared" si="13"/>
        <v>2.53265</v>
      </c>
      <c r="V25" s="62">
        <f t="shared" si="14"/>
        <v>0.15</v>
      </c>
      <c r="W25" s="61">
        <f t="shared" si="15"/>
        <v>0.50131926121372</v>
      </c>
      <c r="X25" s="60">
        <v>0.92</v>
      </c>
      <c r="Y25" s="66">
        <v>0</v>
      </c>
      <c r="Z25" s="66">
        <v>0</v>
      </c>
      <c r="AA25" s="66">
        <v>0</v>
      </c>
      <c r="AB25" s="67">
        <f t="shared" si="6"/>
        <v>7521.21469571169</v>
      </c>
      <c r="AC25" s="65"/>
      <c r="AD25" s="65"/>
    </row>
    <row r="26" s="1" customFormat="1" spans="2:30">
      <c r="B26" s="27" t="s">
        <v>83</v>
      </c>
      <c r="C26" s="27">
        <f>C23+C24+C25</f>
        <v>2023816.74403775</v>
      </c>
      <c r="D26" s="27">
        <f>C26/E23</f>
        <v>80952.6697615099</v>
      </c>
      <c r="E26" s="21"/>
      <c r="F26" s="21"/>
      <c r="G26" s="22"/>
      <c r="H26" s="21"/>
      <c r="I26" s="21"/>
      <c r="J26" s="21"/>
      <c r="K26" s="21"/>
      <c r="L26" s="21"/>
      <c r="M26" s="21"/>
      <c r="N26" s="21"/>
      <c r="O26" s="56" t="s">
        <v>84</v>
      </c>
      <c r="P26" s="57">
        <v>3.1056</v>
      </c>
      <c r="Q26" s="60" t="s">
        <v>35</v>
      </c>
      <c r="R26" s="60">
        <f t="shared" si="11"/>
        <v>900</v>
      </c>
      <c r="S26" s="57">
        <f t="shared" si="12"/>
        <v>1.56088888888889</v>
      </c>
      <c r="T26" s="57">
        <f>SUM($E$13:$E$16)+$E$18*2</f>
        <v>0.72</v>
      </c>
      <c r="U26" s="61">
        <f t="shared" si="13"/>
        <v>2.53265</v>
      </c>
      <c r="V26" s="62">
        <f t="shared" si="14"/>
        <v>0.15</v>
      </c>
      <c r="W26" s="61">
        <f t="shared" si="15"/>
        <v>0.50131926121372</v>
      </c>
      <c r="X26" s="60">
        <v>0.92</v>
      </c>
      <c r="Y26" s="66">
        <v>0</v>
      </c>
      <c r="Z26" s="66">
        <v>0</v>
      </c>
      <c r="AA26" s="66">
        <v>0</v>
      </c>
      <c r="AB26" s="67">
        <f t="shared" si="6"/>
        <v>16537.9793549145</v>
      </c>
      <c r="AC26" s="65"/>
      <c r="AD26" s="65"/>
    </row>
    <row r="27" s="1" customFormat="1" ht="14.75" spans="2:30">
      <c r="B27" s="27"/>
      <c r="C27" s="27"/>
      <c r="D27" s="27"/>
      <c r="E27" s="21"/>
      <c r="F27" s="21"/>
      <c r="G27" s="22"/>
      <c r="H27" s="21"/>
      <c r="I27" s="21"/>
      <c r="J27" s="21"/>
      <c r="K27" s="21"/>
      <c r="L27" s="21"/>
      <c r="M27" s="21"/>
      <c r="N27" s="21"/>
      <c r="O27" s="58" t="s">
        <v>85</v>
      </c>
      <c r="P27" s="59">
        <f>14.54%*21</f>
        <v>3.0534</v>
      </c>
      <c r="Q27" s="63" t="s">
        <v>31</v>
      </c>
      <c r="R27" s="60">
        <f t="shared" si="11"/>
        <v>900</v>
      </c>
      <c r="S27" s="57">
        <f t="shared" si="12"/>
        <v>1.56088888888889</v>
      </c>
      <c r="T27" s="57">
        <f>SUM($E$13:$E$16)+$E$18*2+$E$17+$M$14</f>
        <v>1.292</v>
      </c>
      <c r="U27" s="61">
        <f t="shared" si="13"/>
        <v>2.53265</v>
      </c>
      <c r="V27" s="62">
        <f t="shared" si="14"/>
        <v>0.15</v>
      </c>
      <c r="W27" s="61">
        <f t="shared" si="15"/>
        <v>0.50131926121372</v>
      </c>
      <c r="X27" s="60">
        <v>0.92</v>
      </c>
      <c r="Y27" s="66">
        <v>0</v>
      </c>
      <c r="Z27" s="66">
        <v>0</v>
      </c>
      <c r="AA27" s="66">
        <v>0</v>
      </c>
      <c r="AB27" s="67">
        <f t="shared" si="6"/>
        <v>21667.399709299</v>
      </c>
      <c r="AC27" s="65"/>
      <c r="AD27" s="65"/>
    </row>
    <row r="28" s="1" customFormat="1" spans="2:28">
      <c r="B28" s="27"/>
      <c r="C28" s="12"/>
      <c r="D28" s="27"/>
      <c r="E28" s="21"/>
      <c r="F28" s="21"/>
      <c r="G28" s="21"/>
      <c r="H28" s="21"/>
      <c r="I28" s="21"/>
      <c r="J28" s="21"/>
      <c r="K28" s="21"/>
      <c r="L28" s="21"/>
      <c r="M28" s="21"/>
      <c r="N28" s="21"/>
      <c r="P28" s="2"/>
      <c r="T28" s="2"/>
      <c r="U28" s="3"/>
      <c r="AA28" s="4"/>
      <c r="AB28" s="4"/>
    </row>
    <row r="29" s="1" customFormat="1" spans="2:28"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P29" s="2"/>
      <c r="T29" s="2"/>
      <c r="U29" s="3"/>
      <c r="AA29" s="4"/>
      <c r="AB2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1:M11"/>
    <mergeCell ref="B12:C12"/>
    <mergeCell ref="D12:E12"/>
    <mergeCell ref="F12:G12"/>
    <mergeCell ref="H12:I12"/>
    <mergeCell ref="J12:K12"/>
    <mergeCell ref="L12:M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9"/>
  <sheetViews>
    <sheetView topLeftCell="A4" workbookViewId="0">
      <selection activeCell="E27" sqref="E27"/>
    </sheetView>
  </sheetViews>
  <sheetFormatPr defaultColWidth="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636363636364" style="1" customWidth="1"/>
    <col min="7" max="7" width="18.6909090909091" style="2" customWidth="1"/>
    <col min="8" max="8" width="18.6909090909091" style="1" customWidth="1"/>
    <col min="9" max="9" width="12.5363636363636" style="1" customWidth="1"/>
    <col min="10" max="10" width="9" style="1" customWidth="1"/>
    <col min="11" max="11" width="8.91818181818182" style="1" customWidth="1"/>
    <col min="12" max="12" width="10.3090909090909" style="1" customWidth="1"/>
    <col min="13" max="13" width="7.91818181818182" style="1" customWidth="1"/>
    <col min="14" max="14" width="9.69090909090909" style="1"/>
    <col min="15" max="15" width="21.8454545454545" style="1" customWidth="1"/>
    <col min="16" max="16" width="8.91818181818182" style="2" customWidth="1"/>
    <col min="17" max="17" width="6" style="1" customWidth="1"/>
    <col min="18" max="18" width="10.3090909090909" style="1" customWidth="1"/>
    <col min="19" max="19" width="9.69090909090909" style="1" customWidth="1"/>
    <col min="20" max="20" width="8.15454545454545" style="2" customWidth="1"/>
    <col min="21" max="21" width="8.15454545454545" style="3" customWidth="1"/>
    <col min="22" max="24" width="8.15454545454545" style="1" customWidth="1"/>
    <col min="25" max="25" width="10.3090909090909" style="1" customWidth="1"/>
    <col min="26" max="26" width="8.15454545454545" style="1" customWidth="1"/>
    <col min="27" max="27" width="10.3090909090909" style="4" customWidth="1"/>
    <col min="28" max="28" width="7.22727272727273" style="4" customWidth="1"/>
    <col min="29" max="30" width="10.7636363636364" style="1" customWidth="1"/>
    <col min="31" max="31" width="6" style="1" customWidth="1"/>
    <col min="32" max="32" width="8.15454545454545" style="1" customWidth="1"/>
    <col min="33" max="33" width="10.3090909090909" style="1" customWidth="1"/>
    <col min="34" max="15895" width="9.69090909090909" style="1"/>
    <col min="15896" max="15896" width="9.69090909090909" style="5"/>
    <col min="15897" max="16384" width="9" style="5"/>
  </cols>
  <sheetData>
    <row r="1" s="1" customFormat="1" ht="15" spans="2:3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1"/>
      <c r="O1" s="29" t="s">
        <v>1</v>
      </c>
      <c r="P1" s="30" t="s">
        <v>2</v>
      </c>
      <c r="Q1" s="37" t="s">
        <v>3</v>
      </c>
      <c r="R1" s="37" t="s">
        <v>4</v>
      </c>
      <c r="S1" s="37" t="s">
        <v>5</v>
      </c>
      <c r="T1" s="30" t="s">
        <v>6</v>
      </c>
      <c r="U1" s="38" t="s">
        <v>7</v>
      </c>
      <c r="V1" s="37" t="s">
        <v>8</v>
      </c>
      <c r="W1" s="37" t="s">
        <v>9</v>
      </c>
      <c r="X1" s="37" t="s">
        <v>10</v>
      </c>
      <c r="Y1" s="37" t="s">
        <v>11</v>
      </c>
      <c r="Z1" s="37" t="s">
        <v>12</v>
      </c>
      <c r="AA1" s="41" t="s">
        <v>13</v>
      </c>
      <c r="AB1" s="42" t="s">
        <v>14</v>
      </c>
      <c r="AC1" s="64" t="s">
        <v>15</v>
      </c>
      <c r="AD1" s="64" t="s">
        <v>16</v>
      </c>
      <c r="AE1" s="43" t="s">
        <v>17</v>
      </c>
      <c r="AF1" s="44" t="s">
        <v>9</v>
      </c>
      <c r="AG1" s="44" t="s">
        <v>18</v>
      </c>
    </row>
    <row r="2" s="1" customFormat="1" spans="2:33">
      <c r="B2" s="7" t="s">
        <v>19</v>
      </c>
      <c r="C2" s="8"/>
      <c r="D2" s="7" t="s">
        <v>6</v>
      </c>
      <c r="E2" s="8"/>
      <c r="F2" s="7" t="s">
        <v>20</v>
      </c>
      <c r="G2" s="8"/>
      <c r="H2" s="7" t="s">
        <v>21</v>
      </c>
      <c r="I2" s="8"/>
      <c r="J2" s="7" t="s">
        <v>8</v>
      </c>
      <c r="K2" s="8"/>
      <c r="L2" s="7" t="s">
        <v>22</v>
      </c>
      <c r="M2" s="8"/>
      <c r="N2" s="21"/>
      <c r="O2" s="31" t="s">
        <v>23</v>
      </c>
      <c r="P2" s="32">
        <v>5.9643</v>
      </c>
      <c r="Q2" s="39" t="s">
        <v>24</v>
      </c>
      <c r="R2" s="39">
        <f t="shared" ref="R2:R15" si="0">$C$3</f>
        <v>1024</v>
      </c>
      <c r="S2" s="32">
        <f t="shared" ref="S2:S13" si="1">($C$4+$C$5+$C$6+$C$7)+($C$8+$C$9)/R2</f>
        <v>1.738796875</v>
      </c>
      <c r="T2" s="32">
        <f t="shared" ref="T2:T7" si="2">SUM($E$3:$E$6,$E$8)</f>
        <v>1.832</v>
      </c>
      <c r="U2" s="40">
        <f t="shared" ref="U2:U15" si="3">1+$G$8*($I$8-1+AC2*2.5%+AD2*1%)</f>
        <v>3.36676</v>
      </c>
      <c r="V2" s="32">
        <f t="shared" ref="V2:V7" si="4">$K$3+$K$5</f>
        <v>0.6</v>
      </c>
      <c r="W2" s="40">
        <f t="shared" ref="W2:W15" si="5">$AF$3</f>
        <v>0.522150159393207</v>
      </c>
      <c r="X2" s="39">
        <v>0.8</v>
      </c>
      <c r="Y2" s="45">
        <v>0</v>
      </c>
      <c r="Z2" s="45">
        <v>0</v>
      </c>
      <c r="AA2" s="45">
        <v>0</v>
      </c>
      <c r="AB2" s="46">
        <f t="shared" ref="AB2:AB27" si="6">P2*R2*(1+S2)*(1+T2)*U2*(1+V2)*W2*X2*(1+Y2)*(1+Z2)*(1+AA2)</f>
        <v>106593.335589553</v>
      </c>
      <c r="AC2" s="65">
        <v>24</v>
      </c>
      <c r="AD2" s="65">
        <v>7</v>
      </c>
      <c r="AE2" s="43">
        <v>0</v>
      </c>
      <c r="AF2" s="44">
        <f t="shared" ref="AF2:AF7" si="7">1520/(1520+(792+8*AG2)*(1-AE2/100))</f>
        <v>0.50131926121372</v>
      </c>
      <c r="AG2" s="47">
        <v>90</v>
      </c>
    </row>
    <row r="3" s="1" customFormat="1" spans="2:33">
      <c r="B3" s="9" t="s">
        <v>25</v>
      </c>
      <c r="C3" s="10">
        <v>1024</v>
      </c>
      <c r="D3" s="9" t="s">
        <v>26</v>
      </c>
      <c r="E3" s="11">
        <v>0.6</v>
      </c>
      <c r="F3" s="9" t="s">
        <v>27</v>
      </c>
      <c r="G3" s="12">
        <v>0.13</v>
      </c>
      <c r="H3" s="9" t="s">
        <v>27</v>
      </c>
      <c r="I3" s="11">
        <v>1.5</v>
      </c>
      <c r="J3" s="33" t="s">
        <v>28</v>
      </c>
      <c r="K3" s="11">
        <v>0.35</v>
      </c>
      <c r="L3" s="9" t="s">
        <v>29</v>
      </c>
      <c r="M3" s="12">
        <f>8.6%*2</f>
        <v>0.172</v>
      </c>
      <c r="N3" s="21"/>
      <c r="O3" s="31" t="s">
        <v>30</v>
      </c>
      <c r="P3" s="32">
        <f>32.69%*6</f>
        <v>1.9614</v>
      </c>
      <c r="Q3" s="39" t="s">
        <v>31</v>
      </c>
      <c r="R3" s="39">
        <f t="shared" si="0"/>
        <v>1024</v>
      </c>
      <c r="S3" s="32">
        <f t="shared" si="1"/>
        <v>1.738796875</v>
      </c>
      <c r="T3" s="32">
        <f>SUM($E$3:$E$6)</f>
        <v>0.94</v>
      </c>
      <c r="U3" s="40">
        <f t="shared" si="3"/>
        <v>3.36676</v>
      </c>
      <c r="V3" s="32">
        <f>$K$3</f>
        <v>0.35</v>
      </c>
      <c r="W3" s="40">
        <f t="shared" si="5"/>
        <v>0.522150159393207</v>
      </c>
      <c r="X3" s="39">
        <v>0.8</v>
      </c>
      <c r="Y3" s="45">
        <v>0</v>
      </c>
      <c r="Z3" s="45">
        <v>0</v>
      </c>
      <c r="AA3" s="45">
        <v>0</v>
      </c>
      <c r="AB3" s="46">
        <f t="shared" si="6"/>
        <v>20260.9129363997</v>
      </c>
      <c r="AC3" s="65">
        <v>24</v>
      </c>
      <c r="AD3" s="65">
        <v>7</v>
      </c>
      <c r="AE3" s="43">
        <v>8</v>
      </c>
      <c r="AF3" s="44">
        <f t="shared" si="7"/>
        <v>0.522150159393207</v>
      </c>
      <c r="AG3" s="47">
        <v>90</v>
      </c>
    </row>
    <row r="4" s="1" customFormat="1" spans="2:33">
      <c r="B4" s="9" t="s">
        <v>32</v>
      </c>
      <c r="C4" s="11">
        <v>0.24</v>
      </c>
      <c r="D4" s="9" t="s">
        <v>33</v>
      </c>
      <c r="E4" s="11">
        <v>0.12</v>
      </c>
      <c r="F4" s="9" t="s">
        <v>34</v>
      </c>
      <c r="G4" s="12">
        <v>0.243</v>
      </c>
      <c r="H4" s="9" t="s">
        <v>35</v>
      </c>
      <c r="I4" s="12">
        <f>44%+M6</f>
        <v>1.25</v>
      </c>
      <c r="J4" s="34" t="s">
        <v>36</v>
      </c>
      <c r="K4" s="12">
        <f>32%</f>
        <v>0.32</v>
      </c>
      <c r="L4" s="9" t="s">
        <v>37</v>
      </c>
      <c r="M4" s="12">
        <f>8.6%*2</f>
        <v>0.172</v>
      </c>
      <c r="N4" s="21"/>
      <c r="O4" s="31" t="s">
        <v>38</v>
      </c>
      <c r="P4" s="32">
        <f t="shared" ref="P4:P9" si="8">37.88%*4+117.88%*3</f>
        <v>5.0516</v>
      </c>
      <c r="Q4" s="39" t="s">
        <v>24</v>
      </c>
      <c r="R4" s="39">
        <f t="shared" si="0"/>
        <v>1024</v>
      </c>
      <c r="S4" s="32">
        <f t="shared" si="1"/>
        <v>1.738796875</v>
      </c>
      <c r="T4" s="32">
        <f t="shared" si="2"/>
        <v>1.832</v>
      </c>
      <c r="U4" s="40">
        <f t="shared" si="3"/>
        <v>3.36676</v>
      </c>
      <c r="V4" s="32">
        <f t="shared" si="4"/>
        <v>0.6</v>
      </c>
      <c r="W4" s="40">
        <f t="shared" si="5"/>
        <v>0.522150159393207</v>
      </c>
      <c r="X4" s="39">
        <v>0.8</v>
      </c>
      <c r="Y4" s="45">
        <v>0.8</v>
      </c>
      <c r="Z4" s="45">
        <v>0</v>
      </c>
      <c r="AA4" s="45">
        <v>0</v>
      </c>
      <c r="AB4" s="46">
        <f t="shared" si="6"/>
        <v>162506.984778689</v>
      </c>
      <c r="AC4" s="65">
        <v>24</v>
      </c>
      <c r="AD4" s="65">
        <v>7</v>
      </c>
      <c r="AE4" s="43">
        <v>14.4</v>
      </c>
      <c r="AF4" s="44">
        <f t="shared" si="7"/>
        <v>0.540104154822277</v>
      </c>
      <c r="AG4" s="47">
        <v>90</v>
      </c>
    </row>
    <row r="5" s="1" customFormat="1" spans="2:33">
      <c r="B5" s="9" t="s">
        <v>39</v>
      </c>
      <c r="C5" s="11">
        <f>18%+18%+M3</f>
        <v>0.532</v>
      </c>
      <c r="D5" s="9" t="s">
        <v>40</v>
      </c>
      <c r="E5" s="11">
        <f>10%</f>
        <v>0.1</v>
      </c>
      <c r="F5" s="9" t="s">
        <v>41</v>
      </c>
      <c r="G5" s="12">
        <v>0.2</v>
      </c>
      <c r="H5" s="9"/>
      <c r="I5" s="12"/>
      <c r="J5" s="34" t="s">
        <v>42</v>
      </c>
      <c r="K5" s="12">
        <v>0.25</v>
      </c>
      <c r="L5" s="9" t="s">
        <v>20</v>
      </c>
      <c r="M5" s="12">
        <f>8.1*5%</f>
        <v>0.405</v>
      </c>
      <c r="N5" s="21"/>
      <c r="O5" s="31" t="s">
        <v>43</v>
      </c>
      <c r="P5" s="32">
        <f>224.1%*2</f>
        <v>4.482</v>
      </c>
      <c r="Q5" s="39" t="s">
        <v>44</v>
      </c>
      <c r="R5" s="39">
        <f t="shared" si="0"/>
        <v>1024</v>
      </c>
      <c r="S5" s="32">
        <f t="shared" si="1"/>
        <v>1.738796875</v>
      </c>
      <c r="T5" s="32">
        <f>SUM($E$3:$E$6,$E$9)</f>
        <v>1.49</v>
      </c>
      <c r="U5" s="40">
        <f t="shared" si="3"/>
        <v>3.36676</v>
      </c>
      <c r="V5" s="32">
        <f>$K$3+$K$4</f>
        <v>0.67</v>
      </c>
      <c r="W5" s="40">
        <f t="shared" si="5"/>
        <v>0.522150159393207</v>
      </c>
      <c r="X5" s="39">
        <v>0.8</v>
      </c>
      <c r="Y5" s="45">
        <v>0</v>
      </c>
      <c r="Z5" s="45">
        <v>0</v>
      </c>
      <c r="AA5" s="45">
        <v>0</v>
      </c>
      <c r="AB5" s="46">
        <f t="shared" si="6"/>
        <v>73509.7611096721</v>
      </c>
      <c r="AC5" s="65">
        <v>24</v>
      </c>
      <c r="AD5" s="65">
        <v>7</v>
      </c>
      <c r="AE5" s="43">
        <v>21.6</v>
      </c>
      <c r="AF5" s="44">
        <f t="shared" si="7"/>
        <v>0.561837623012869</v>
      </c>
      <c r="AG5" s="47">
        <v>90</v>
      </c>
    </row>
    <row r="6" s="1" customFormat="1" spans="2:33">
      <c r="B6" s="9" t="s">
        <v>45</v>
      </c>
      <c r="C6" s="13">
        <f>25%+15%</f>
        <v>0.4</v>
      </c>
      <c r="D6" s="9" t="s">
        <v>46</v>
      </c>
      <c r="E6" s="11">
        <v>0.12</v>
      </c>
      <c r="F6" s="9" t="s">
        <v>35</v>
      </c>
      <c r="G6" s="12">
        <f>M5</f>
        <v>0.405</v>
      </c>
      <c r="H6" s="9"/>
      <c r="I6" s="12"/>
      <c r="J6" s="34"/>
      <c r="K6" s="12"/>
      <c r="L6" s="9" t="s">
        <v>47</v>
      </c>
      <c r="M6" s="11">
        <f>16.2%*5</f>
        <v>0.81</v>
      </c>
      <c r="N6" s="21"/>
      <c r="O6" s="31" t="s">
        <v>24</v>
      </c>
      <c r="P6" s="32">
        <f>105.97%*2</f>
        <v>2.1194</v>
      </c>
      <c r="Q6" s="39" t="s">
        <v>24</v>
      </c>
      <c r="R6" s="39">
        <f t="shared" si="0"/>
        <v>1024</v>
      </c>
      <c r="S6" s="32">
        <f t="shared" si="1"/>
        <v>1.738796875</v>
      </c>
      <c r="T6" s="32">
        <f t="shared" si="2"/>
        <v>1.832</v>
      </c>
      <c r="U6" s="40">
        <f t="shared" si="3"/>
        <v>3.36676</v>
      </c>
      <c r="V6" s="32">
        <f t="shared" si="4"/>
        <v>0.6</v>
      </c>
      <c r="W6" s="40">
        <f t="shared" si="5"/>
        <v>0.522150159393207</v>
      </c>
      <c r="X6" s="39">
        <v>0.8</v>
      </c>
      <c r="Y6" s="45">
        <v>0</v>
      </c>
      <c r="Z6" s="45">
        <v>0</v>
      </c>
      <c r="AA6" s="45">
        <v>0</v>
      </c>
      <c r="AB6" s="46">
        <f t="shared" si="6"/>
        <v>37877.6915058763</v>
      </c>
      <c r="AC6" s="65">
        <v>24</v>
      </c>
      <c r="AD6" s="65">
        <v>7</v>
      </c>
      <c r="AE6" s="43">
        <v>28.8</v>
      </c>
      <c r="AF6" s="44">
        <f t="shared" si="7"/>
        <v>0.585393507677898</v>
      </c>
      <c r="AG6" s="47">
        <v>90</v>
      </c>
    </row>
    <row r="7" s="1" customFormat="1" spans="2:33">
      <c r="B7" s="9" t="s">
        <v>48</v>
      </c>
      <c r="C7" s="13">
        <f>22.5%</f>
        <v>0.225</v>
      </c>
      <c r="D7" s="9" t="s">
        <v>49</v>
      </c>
      <c r="E7" s="14"/>
      <c r="F7" s="9" t="s">
        <v>50</v>
      </c>
      <c r="G7" s="12">
        <v>0</v>
      </c>
      <c r="H7" s="9" t="s">
        <v>50</v>
      </c>
      <c r="I7" s="12">
        <v>0</v>
      </c>
      <c r="J7" s="34"/>
      <c r="K7" s="12"/>
      <c r="L7" s="9"/>
      <c r="M7" s="10"/>
      <c r="N7" s="21"/>
      <c r="O7" s="31" t="s">
        <v>38</v>
      </c>
      <c r="P7" s="32">
        <f t="shared" si="8"/>
        <v>5.0516</v>
      </c>
      <c r="Q7" s="39" t="s">
        <v>24</v>
      </c>
      <c r="R7" s="39">
        <f t="shared" si="0"/>
        <v>1024</v>
      </c>
      <c r="S7" s="32">
        <f t="shared" si="1"/>
        <v>1.738796875</v>
      </c>
      <c r="T7" s="32">
        <f t="shared" si="2"/>
        <v>1.832</v>
      </c>
      <c r="U7" s="40">
        <f t="shared" si="3"/>
        <v>3.36676</v>
      </c>
      <c r="V7" s="32">
        <f t="shared" si="4"/>
        <v>0.6</v>
      </c>
      <c r="W7" s="40">
        <f t="shared" si="5"/>
        <v>0.522150159393207</v>
      </c>
      <c r="X7" s="39">
        <v>0.8</v>
      </c>
      <c r="Y7" s="45">
        <v>0.8</v>
      </c>
      <c r="Z7" s="45">
        <v>0</v>
      </c>
      <c r="AA7" s="45">
        <v>0</v>
      </c>
      <c r="AB7" s="46">
        <f t="shared" si="6"/>
        <v>162506.984778689</v>
      </c>
      <c r="AC7" s="65">
        <v>24</v>
      </c>
      <c r="AD7" s="65">
        <v>7</v>
      </c>
      <c r="AE7" s="43">
        <v>36</v>
      </c>
      <c r="AF7" s="44">
        <f t="shared" si="7"/>
        <v>0.611011062516079</v>
      </c>
      <c r="AG7" s="47">
        <v>90</v>
      </c>
    </row>
    <row r="8" s="1" customFormat="1" spans="2:30">
      <c r="B8" s="9" t="s">
        <v>51</v>
      </c>
      <c r="C8" s="10">
        <v>350</v>
      </c>
      <c r="D8" s="9" t="s">
        <v>52</v>
      </c>
      <c r="E8" s="11">
        <f>32%+M4+40%</f>
        <v>0.892</v>
      </c>
      <c r="F8" s="15" t="s">
        <v>53</v>
      </c>
      <c r="G8" s="16">
        <f>MIN(100%,SUM(G3:G7))</f>
        <v>0.978</v>
      </c>
      <c r="H8" s="15" t="s">
        <v>54</v>
      </c>
      <c r="I8" s="35">
        <f>SUM(I3:I7)</f>
        <v>2.75</v>
      </c>
      <c r="J8" s="34"/>
      <c r="K8" s="12"/>
      <c r="L8" s="9"/>
      <c r="M8" s="10"/>
      <c r="N8" s="21"/>
      <c r="O8" s="31" t="s">
        <v>55</v>
      </c>
      <c r="P8" s="32">
        <f>53.45%*2+95.43%+32.69%*6</f>
        <v>3.9847</v>
      </c>
      <c r="Q8" s="39" t="s">
        <v>31</v>
      </c>
      <c r="R8" s="39">
        <f t="shared" si="0"/>
        <v>1024</v>
      </c>
      <c r="S8" s="32">
        <f t="shared" si="1"/>
        <v>1.738796875</v>
      </c>
      <c r="T8" s="32">
        <f>SUM($E$3:$E$6)</f>
        <v>0.94</v>
      </c>
      <c r="U8" s="40">
        <f t="shared" si="3"/>
        <v>3.36676</v>
      </c>
      <c r="V8" s="32">
        <f>$K$3</f>
        <v>0.35</v>
      </c>
      <c r="W8" s="40">
        <f t="shared" si="5"/>
        <v>0.522150159393207</v>
      </c>
      <c r="X8" s="39">
        <v>0.8</v>
      </c>
      <c r="Y8" s="45">
        <v>0</v>
      </c>
      <c r="Z8" s="45">
        <v>0</v>
      </c>
      <c r="AA8" s="45">
        <v>0</v>
      </c>
      <c r="AB8" s="46">
        <f t="shared" si="6"/>
        <v>41161.2418566697</v>
      </c>
      <c r="AC8" s="65">
        <v>24</v>
      </c>
      <c r="AD8" s="65">
        <v>7</v>
      </c>
    </row>
    <row r="9" s="1" customFormat="1" spans="2:30">
      <c r="B9" s="17" t="s">
        <v>56</v>
      </c>
      <c r="C9" s="18"/>
      <c r="D9" s="17" t="s">
        <v>57</v>
      </c>
      <c r="E9" s="19">
        <f>35%+20%</f>
        <v>0.55</v>
      </c>
      <c r="F9" s="17"/>
      <c r="G9" s="20"/>
      <c r="H9" s="17"/>
      <c r="I9" s="18"/>
      <c r="J9" s="36"/>
      <c r="K9" s="20"/>
      <c r="L9" s="17"/>
      <c r="M9" s="18"/>
      <c r="N9" s="21"/>
      <c r="O9" s="31" t="s">
        <v>38</v>
      </c>
      <c r="P9" s="32">
        <f t="shared" si="8"/>
        <v>5.0516</v>
      </c>
      <c r="Q9" s="39" t="s">
        <v>24</v>
      </c>
      <c r="R9" s="39">
        <f t="shared" si="0"/>
        <v>1024</v>
      </c>
      <c r="S9" s="32">
        <f t="shared" si="1"/>
        <v>1.738796875</v>
      </c>
      <c r="T9" s="32">
        <f t="shared" ref="T9:T11" si="9">SUM($E$3:$E$6,$E$8)</f>
        <v>1.832</v>
      </c>
      <c r="U9" s="40">
        <f t="shared" si="3"/>
        <v>3.36676</v>
      </c>
      <c r="V9" s="32">
        <f t="shared" ref="V9:V11" si="10">$K$3+$K$5</f>
        <v>0.6</v>
      </c>
      <c r="W9" s="40">
        <f t="shared" si="5"/>
        <v>0.522150159393207</v>
      </c>
      <c r="X9" s="39">
        <v>0.8</v>
      </c>
      <c r="Y9" s="45">
        <v>0.8</v>
      </c>
      <c r="Z9" s="45">
        <v>0</v>
      </c>
      <c r="AA9" s="45">
        <v>0</v>
      </c>
      <c r="AB9" s="46">
        <f t="shared" si="6"/>
        <v>162506.984778689</v>
      </c>
      <c r="AC9" s="65">
        <v>24</v>
      </c>
      <c r="AD9" s="65">
        <v>7</v>
      </c>
    </row>
    <row r="10" s="1" customFormat="1" ht="14.75" spans="2:30">
      <c r="B10" s="21"/>
      <c r="C10" s="21"/>
      <c r="D10" s="21"/>
      <c r="E10" s="21"/>
      <c r="F10" s="21" t="s">
        <v>58</v>
      </c>
      <c r="G10" s="22"/>
      <c r="H10" s="21"/>
      <c r="I10" s="21"/>
      <c r="J10" s="21"/>
      <c r="K10" s="21"/>
      <c r="L10" s="21"/>
      <c r="M10" s="21"/>
      <c r="N10" s="21"/>
      <c r="O10" s="31" t="s">
        <v>59</v>
      </c>
      <c r="P10" s="32">
        <f>33.01%*2+12.38%*8+495.1%</f>
        <v>6.6016</v>
      </c>
      <c r="Q10" s="39" t="s">
        <v>24</v>
      </c>
      <c r="R10" s="39">
        <f t="shared" si="0"/>
        <v>1024</v>
      </c>
      <c r="S10" s="32">
        <f t="shared" si="1"/>
        <v>1.738796875</v>
      </c>
      <c r="T10" s="32">
        <f t="shared" si="9"/>
        <v>1.832</v>
      </c>
      <c r="U10" s="40">
        <f t="shared" si="3"/>
        <v>3.50368</v>
      </c>
      <c r="V10" s="32">
        <f t="shared" si="10"/>
        <v>0.6</v>
      </c>
      <c r="W10" s="40">
        <f t="shared" si="5"/>
        <v>0.522150159393207</v>
      </c>
      <c r="X10" s="39">
        <v>0.8</v>
      </c>
      <c r="Y10" s="45">
        <v>0.75</v>
      </c>
      <c r="Z10" s="45">
        <v>0</v>
      </c>
      <c r="AA10" s="45">
        <v>0</v>
      </c>
      <c r="AB10" s="46">
        <f t="shared" si="6"/>
        <v>214867.189364915</v>
      </c>
      <c r="AC10" s="65">
        <v>24</v>
      </c>
      <c r="AD10" s="65">
        <v>21</v>
      </c>
    </row>
    <row r="11" s="1" customFormat="1" ht="15" spans="2:30">
      <c r="B11" s="48" t="s">
        <v>60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2"/>
      <c r="N11" s="21"/>
      <c r="O11" s="31" t="s">
        <v>61</v>
      </c>
      <c r="P11" s="32">
        <f>82.55%*AC11</f>
        <v>19.812</v>
      </c>
      <c r="Q11" s="39" t="s">
        <v>24</v>
      </c>
      <c r="R11" s="39">
        <f t="shared" si="0"/>
        <v>1024</v>
      </c>
      <c r="S11" s="32">
        <f t="shared" si="1"/>
        <v>1.738796875</v>
      </c>
      <c r="T11" s="32">
        <f t="shared" si="9"/>
        <v>1.832</v>
      </c>
      <c r="U11" s="40">
        <f t="shared" si="3"/>
        <v>3.50368</v>
      </c>
      <c r="V11" s="32">
        <f t="shared" si="10"/>
        <v>0.6</v>
      </c>
      <c r="W11" s="40">
        <f t="shared" si="5"/>
        <v>0.522150159393207</v>
      </c>
      <c r="X11" s="39">
        <v>0.8</v>
      </c>
      <c r="Y11" s="45">
        <v>0.75</v>
      </c>
      <c r="Z11" s="45">
        <v>0</v>
      </c>
      <c r="AA11" s="45">
        <v>0</v>
      </c>
      <c r="AB11" s="46">
        <f t="shared" si="6"/>
        <v>644835.911854353</v>
      </c>
      <c r="AC11" s="65">
        <v>24</v>
      </c>
      <c r="AD11" s="65">
        <v>21</v>
      </c>
    </row>
    <row r="12" s="1" customFormat="1" spans="2:30">
      <c r="B12" s="50" t="s">
        <v>19</v>
      </c>
      <c r="C12" s="51"/>
      <c r="D12" s="50" t="s">
        <v>6</v>
      </c>
      <c r="E12" s="51"/>
      <c r="F12" s="50" t="s">
        <v>20</v>
      </c>
      <c r="G12" s="51"/>
      <c r="H12" s="50" t="s">
        <v>21</v>
      </c>
      <c r="I12" s="51"/>
      <c r="J12" s="53" t="s">
        <v>8</v>
      </c>
      <c r="K12" s="53"/>
      <c r="L12" s="50" t="s">
        <v>22</v>
      </c>
      <c r="M12" s="51"/>
      <c r="N12" s="21"/>
      <c r="O12" s="31" t="s">
        <v>55</v>
      </c>
      <c r="P12" s="32">
        <f>53.45%*2+95.43%+32.69%*6</f>
        <v>3.9847</v>
      </c>
      <c r="Q12" s="39" t="s">
        <v>31</v>
      </c>
      <c r="R12" s="39">
        <f t="shared" si="0"/>
        <v>1024</v>
      </c>
      <c r="S12" s="32">
        <f t="shared" si="1"/>
        <v>1.738796875</v>
      </c>
      <c r="T12" s="32">
        <f>SUM($E$3:$E$6)</f>
        <v>0.94</v>
      </c>
      <c r="U12" s="40">
        <f t="shared" si="3"/>
        <v>3.50368</v>
      </c>
      <c r="V12" s="32">
        <f>$K$3</f>
        <v>0.35</v>
      </c>
      <c r="W12" s="40">
        <f t="shared" si="5"/>
        <v>0.522150159393207</v>
      </c>
      <c r="X12" s="39">
        <v>0.8</v>
      </c>
      <c r="Y12" s="45">
        <v>0</v>
      </c>
      <c r="Z12" s="45">
        <v>0</v>
      </c>
      <c r="AA12" s="45">
        <v>0</v>
      </c>
      <c r="AB12" s="46">
        <f t="shared" si="6"/>
        <v>42835.1946287756</v>
      </c>
      <c r="AC12" s="65">
        <v>24</v>
      </c>
      <c r="AD12" s="65">
        <v>21</v>
      </c>
    </row>
    <row r="13" s="1" customFormat="1" spans="2:30">
      <c r="B13" s="9" t="s">
        <v>25</v>
      </c>
      <c r="C13" s="10">
        <f>400+500</f>
        <v>900</v>
      </c>
      <c r="D13" s="9" t="s">
        <v>26</v>
      </c>
      <c r="E13" s="11">
        <v>0.6</v>
      </c>
      <c r="F13" s="9" t="s">
        <v>27</v>
      </c>
      <c r="G13" s="12">
        <v>0.13</v>
      </c>
      <c r="H13" s="9" t="s">
        <v>27</v>
      </c>
      <c r="I13" s="11">
        <v>1.5</v>
      </c>
      <c r="J13" s="54" t="s">
        <v>28</v>
      </c>
      <c r="K13" s="55">
        <v>0.15</v>
      </c>
      <c r="L13" s="9" t="s">
        <v>29</v>
      </c>
      <c r="M13" s="12">
        <f>8.6%*2</f>
        <v>0.172</v>
      </c>
      <c r="N13" s="21"/>
      <c r="O13" s="31" t="s">
        <v>38</v>
      </c>
      <c r="P13" s="32">
        <f>37.88%*4+117.88%*3</f>
        <v>5.0516</v>
      </c>
      <c r="Q13" s="39" t="s">
        <v>24</v>
      </c>
      <c r="R13" s="39">
        <f t="shared" si="0"/>
        <v>1024</v>
      </c>
      <c r="S13" s="32">
        <f t="shared" si="1"/>
        <v>1.738796875</v>
      </c>
      <c r="T13" s="32">
        <f>SUM($E$3:$E$6,$E$8)</f>
        <v>1.832</v>
      </c>
      <c r="U13" s="40">
        <f t="shared" si="3"/>
        <v>3.50368</v>
      </c>
      <c r="V13" s="32">
        <f>$K$3+$K$5</f>
        <v>0.6</v>
      </c>
      <c r="W13" s="40">
        <f t="shared" si="5"/>
        <v>0.522150159393207</v>
      </c>
      <c r="X13" s="39">
        <v>0.8</v>
      </c>
      <c r="Y13" s="45">
        <v>0.8</v>
      </c>
      <c r="Z13" s="45">
        <v>0</v>
      </c>
      <c r="AA13" s="45">
        <v>0</v>
      </c>
      <c r="AB13" s="46">
        <f t="shared" si="6"/>
        <v>169115.848005024</v>
      </c>
      <c r="AC13" s="65">
        <v>24</v>
      </c>
      <c r="AD13" s="65">
        <v>21</v>
      </c>
    </row>
    <row r="14" s="1" customFormat="1" spans="2:30">
      <c r="B14" s="9" t="s">
        <v>32</v>
      </c>
      <c r="C14" s="11">
        <v>0.24</v>
      </c>
      <c r="D14" s="9" t="s">
        <v>33</v>
      </c>
      <c r="E14" s="11"/>
      <c r="F14" s="9" t="s">
        <v>34</v>
      </c>
      <c r="G14" s="12">
        <v>0</v>
      </c>
      <c r="H14" s="9" t="s">
        <v>35</v>
      </c>
      <c r="I14" s="12">
        <f>M16</f>
        <v>0.81</v>
      </c>
      <c r="J14" s="34" t="s">
        <v>62</v>
      </c>
      <c r="K14" s="12"/>
      <c r="L14" s="9" t="s">
        <v>63</v>
      </c>
      <c r="M14" s="12">
        <f>8.6%*2</f>
        <v>0.172</v>
      </c>
      <c r="N14" s="21"/>
      <c r="O14" s="31" t="s">
        <v>64</v>
      </c>
      <c r="P14" s="32">
        <f>(39.77%+19.89%*2)*4*0.7</f>
        <v>2.2274</v>
      </c>
      <c r="Q14" s="39" t="s">
        <v>44</v>
      </c>
      <c r="R14" s="39">
        <f t="shared" si="0"/>
        <v>1024</v>
      </c>
      <c r="S14" s="32">
        <f>($C$4+$C$5+$C$6)+($C$8+$C$9)/R14+120%</f>
        <v>2.713796875</v>
      </c>
      <c r="T14" s="32">
        <f>SUM($E$3:$E$6,$E$9)-$E$6</f>
        <v>1.37</v>
      </c>
      <c r="U14" s="40">
        <f t="shared" si="3"/>
        <v>3.53302</v>
      </c>
      <c r="V14" s="32">
        <f>$K$4+15%</f>
        <v>0.47</v>
      </c>
      <c r="W14" s="40">
        <f t="shared" si="5"/>
        <v>0.522150159393207</v>
      </c>
      <c r="X14" s="39">
        <v>0.8</v>
      </c>
      <c r="Y14" s="45">
        <v>0</v>
      </c>
      <c r="Z14" s="45">
        <v>0</v>
      </c>
      <c r="AA14" s="45">
        <v>0</v>
      </c>
      <c r="AB14" s="46">
        <f t="shared" si="6"/>
        <v>43552.5408737054</v>
      </c>
      <c r="AC14" s="65">
        <v>24</v>
      </c>
      <c r="AD14" s="65">
        <v>24</v>
      </c>
    </row>
    <row r="15" s="1" customFormat="1" spans="2:30">
      <c r="B15" s="9" t="s">
        <v>39</v>
      </c>
      <c r="C15" s="11">
        <f>18%+18%+M13</f>
        <v>0.532</v>
      </c>
      <c r="D15" s="9" t="s">
        <v>40</v>
      </c>
      <c r="E15" s="11"/>
      <c r="F15" s="9" t="s">
        <v>41</v>
      </c>
      <c r="G15" s="12"/>
      <c r="H15" s="9"/>
      <c r="I15" s="12"/>
      <c r="J15" s="34"/>
      <c r="K15" s="12"/>
      <c r="L15" s="9" t="s">
        <v>20</v>
      </c>
      <c r="M15" s="12">
        <f>8.1*5%</f>
        <v>0.405</v>
      </c>
      <c r="N15" s="21"/>
      <c r="O15" s="31" t="s">
        <v>65</v>
      </c>
      <c r="P15" s="32">
        <f>(149.11%+347.92%)*7*0.7</f>
        <v>24.35447</v>
      </c>
      <c r="Q15" s="39" t="s">
        <v>44</v>
      </c>
      <c r="R15" s="39">
        <f t="shared" si="0"/>
        <v>1024</v>
      </c>
      <c r="S15" s="32">
        <f>($C$4+$C$5+$C$6)+($C$8+$C$9)/R14+120%</f>
        <v>2.713796875</v>
      </c>
      <c r="T15" s="32">
        <f>SUM($E$3:$E$6,$E$9)-$E$6</f>
        <v>1.37</v>
      </c>
      <c r="U15" s="40">
        <f t="shared" si="3"/>
        <v>3.53302</v>
      </c>
      <c r="V15" s="32">
        <f>$K$4+15%</f>
        <v>0.47</v>
      </c>
      <c r="W15" s="40">
        <f t="shared" si="5"/>
        <v>0.522150159393207</v>
      </c>
      <c r="X15" s="39">
        <v>0.8</v>
      </c>
      <c r="Y15" s="45">
        <v>0</v>
      </c>
      <c r="Z15" s="45">
        <v>0</v>
      </c>
      <c r="AA15" s="45">
        <v>0</v>
      </c>
      <c r="AB15" s="46">
        <f t="shared" si="6"/>
        <v>476205.014874935</v>
      </c>
      <c r="AC15" s="65">
        <v>24</v>
      </c>
      <c r="AD15" s="65">
        <v>24</v>
      </c>
    </row>
    <row r="16" s="1" customFormat="1" spans="2:30">
      <c r="B16" s="9" t="s">
        <v>66</v>
      </c>
      <c r="C16" s="13"/>
      <c r="D16" s="9" t="s">
        <v>46</v>
      </c>
      <c r="E16" s="11"/>
      <c r="F16" s="9" t="s">
        <v>35</v>
      </c>
      <c r="G16" s="12">
        <f>M15+22%</f>
        <v>0.625</v>
      </c>
      <c r="H16" s="9" t="s">
        <v>34</v>
      </c>
      <c r="I16" s="12">
        <v>0.72</v>
      </c>
      <c r="J16" s="34"/>
      <c r="K16" s="12"/>
      <c r="L16" s="9" t="s">
        <v>47</v>
      </c>
      <c r="M16" s="11">
        <f>16.2%*5</f>
        <v>0.81</v>
      </c>
      <c r="N16" s="21"/>
      <c r="O16" s="56" t="s">
        <v>67</v>
      </c>
      <c r="P16" s="57">
        <f>42.25%*4</f>
        <v>1.69</v>
      </c>
      <c r="Q16" s="60" t="s">
        <v>68</v>
      </c>
      <c r="R16" s="60">
        <f t="shared" ref="R16:R27" si="11">$C$13</f>
        <v>900</v>
      </c>
      <c r="S16" s="57">
        <f t="shared" ref="S16:S27" si="12">($C$14+$C$15+$C$16+$C$17)+($C$18+$C$19)/R16</f>
        <v>1.56088888888889</v>
      </c>
      <c r="T16" s="57">
        <f>SUM($E$13:$E$16)</f>
        <v>0.6</v>
      </c>
      <c r="U16" s="61">
        <f t="shared" ref="U16:U27" si="13">1+$G$18*($I$18-1)</f>
        <v>2.53265</v>
      </c>
      <c r="V16" s="62">
        <f t="shared" ref="V16:V27" si="14">$K$13</f>
        <v>0.15</v>
      </c>
      <c r="W16" s="61">
        <f t="shared" ref="W16:W27" si="15">$AF$2</f>
        <v>0.50131926121372</v>
      </c>
      <c r="X16" s="60">
        <v>0.8</v>
      </c>
      <c r="Y16" s="66">
        <v>0</v>
      </c>
      <c r="Z16" s="66">
        <v>0</v>
      </c>
      <c r="AA16" s="66">
        <v>0</v>
      </c>
      <c r="AB16" s="67">
        <f t="shared" si="6"/>
        <v>7279.7644542845</v>
      </c>
      <c r="AC16" s="65"/>
      <c r="AD16" s="65"/>
    </row>
    <row r="17" s="1" customFormat="1" spans="2:30">
      <c r="B17" s="9" t="s">
        <v>45</v>
      </c>
      <c r="C17" s="13">
        <f>25%+15%</f>
        <v>0.4</v>
      </c>
      <c r="D17" s="9" t="s">
        <v>49</v>
      </c>
      <c r="E17" s="11">
        <v>0.4</v>
      </c>
      <c r="F17" s="9"/>
      <c r="G17" s="12"/>
      <c r="H17" s="9"/>
      <c r="I17" s="12"/>
      <c r="J17" s="34"/>
      <c r="K17" s="12"/>
      <c r="L17" s="9"/>
      <c r="M17" s="10"/>
      <c r="N17" s="21"/>
      <c r="O17" s="56" t="s">
        <v>69</v>
      </c>
      <c r="P17" s="57">
        <f>73.6%*2</f>
        <v>1.472</v>
      </c>
      <c r="Q17" s="60" t="s">
        <v>24</v>
      </c>
      <c r="R17" s="60">
        <f t="shared" si="11"/>
        <v>900</v>
      </c>
      <c r="S17" s="57">
        <f t="shared" si="12"/>
        <v>1.56088888888889</v>
      </c>
      <c r="T17" s="57">
        <f>SUM($E$13:$E$16)</f>
        <v>0.6</v>
      </c>
      <c r="U17" s="61">
        <f t="shared" si="13"/>
        <v>2.53265</v>
      </c>
      <c r="V17" s="62">
        <f t="shared" si="14"/>
        <v>0.15</v>
      </c>
      <c r="W17" s="61">
        <f t="shared" si="15"/>
        <v>0.50131926121372</v>
      </c>
      <c r="X17" s="60">
        <v>0.8</v>
      </c>
      <c r="Y17" s="66">
        <v>0</v>
      </c>
      <c r="Z17" s="66">
        <v>0</v>
      </c>
      <c r="AA17" s="66">
        <v>0</v>
      </c>
      <c r="AB17" s="67">
        <f t="shared" si="6"/>
        <v>6340.71791521111</v>
      </c>
      <c r="AC17" s="65"/>
      <c r="AD17" s="65"/>
    </row>
    <row r="18" s="1" customFormat="1" spans="2:30">
      <c r="B18" s="9" t="s">
        <v>51</v>
      </c>
      <c r="C18" s="10">
        <v>350</v>
      </c>
      <c r="D18" s="9" t="s">
        <v>70</v>
      </c>
      <c r="E18" s="11">
        <v>0.06</v>
      </c>
      <c r="F18" s="15" t="s">
        <v>53</v>
      </c>
      <c r="G18" s="16">
        <f>MIN(100%,SUM(G13:G17))</f>
        <v>0.755</v>
      </c>
      <c r="H18" s="15" t="s">
        <v>54</v>
      </c>
      <c r="I18" s="35">
        <f>SUM(I13:I17)</f>
        <v>3.03</v>
      </c>
      <c r="J18" s="34"/>
      <c r="K18" s="12"/>
      <c r="L18" s="9"/>
      <c r="M18" s="10"/>
      <c r="N18" s="21"/>
      <c r="O18" s="56" t="s">
        <v>71</v>
      </c>
      <c r="P18" s="57">
        <f>53.05%*2</f>
        <v>1.061</v>
      </c>
      <c r="Q18" s="60" t="s">
        <v>71</v>
      </c>
      <c r="R18" s="60">
        <f t="shared" si="11"/>
        <v>900</v>
      </c>
      <c r="S18" s="57">
        <f t="shared" si="12"/>
        <v>1.56088888888889</v>
      </c>
      <c r="T18" s="57">
        <f>SUM($E$13:$E$16)+$E$18</f>
        <v>0.66</v>
      </c>
      <c r="U18" s="61">
        <f t="shared" si="13"/>
        <v>2.53265</v>
      </c>
      <c r="V18" s="62">
        <f t="shared" si="14"/>
        <v>0.15</v>
      </c>
      <c r="W18" s="61">
        <f t="shared" si="15"/>
        <v>0.50131926121372</v>
      </c>
      <c r="X18" s="60">
        <v>0.8</v>
      </c>
      <c r="Y18" s="66">
        <v>0</v>
      </c>
      <c r="Z18" s="66">
        <v>0</v>
      </c>
      <c r="AA18" s="66">
        <v>0</v>
      </c>
      <c r="AB18" s="67">
        <f t="shared" si="6"/>
        <v>4741.7004226158</v>
      </c>
      <c r="AC18" s="65"/>
      <c r="AD18" s="65"/>
    </row>
    <row r="19" s="1" customFormat="1" spans="2:30">
      <c r="B19" s="17" t="s">
        <v>56</v>
      </c>
      <c r="C19" s="18"/>
      <c r="D19" s="17"/>
      <c r="E19" s="19"/>
      <c r="F19" s="17"/>
      <c r="G19" s="19"/>
      <c r="H19" s="17"/>
      <c r="I19" s="18"/>
      <c r="J19" s="36"/>
      <c r="K19" s="20"/>
      <c r="L19" s="17"/>
      <c r="M19" s="18"/>
      <c r="N19" s="21"/>
      <c r="O19" s="56" t="s">
        <v>72</v>
      </c>
      <c r="P19" s="57">
        <v>1.9623</v>
      </c>
      <c r="Q19" s="60" t="s">
        <v>24</v>
      </c>
      <c r="R19" s="60">
        <f t="shared" si="11"/>
        <v>900</v>
      </c>
      <c r="S19" s="57">
        <f t="shared" si="12"/>
        <v>1.56088888888889</v>
      </c>
      <c r="T19" s="57">
        <f>SUM($E$13:$E$16)+$E$18*2</f>
        <v>0.72</v>
      </c>
      <c r="U19" s="61">
        <f t="shared" si="13"/>
        <v>2.53265</v>
      </c>
      <c r="V19" s="62">
        <f t="shared" si="14"/>
        <v>0.15</v>
      </c>
      <c r="W19" s="61">
        <f t="shared" si="15"/>
        <v>0.50131926121372</v>
      </c>
      <c r="X19" s="60">
        <v>0.92</v>
      </c>
      <c r="Y19" s="66">
        <v>0</v>
      </c>
      <c r="Z19" s="66">
        <v>0</v>
      </c>
      <c r="AA19" s="66">
        <v>0</v>
      </c>
      <c r="AB19" s="67">
        <f t="shared" si="6"/>
        <v>10449.6641190587</v>
      </c>
      <c r="AC19" s="65"/>
      <c r="AD19" s="65"/>
    </row>
    <row r="20" s="1" customFormat="1" spans="2:30">
      <c r="B20" s="21"/>
      <c r="C20" s="21"/>
      <c r="D20" s="21"/>
      <c r="E20" s="23"/>
      <c r="F20" s="21"/>
      <c r="G20" s="23"/>
      <c r="H20" s="21"/>
      <c r="I20" s="21"/>
      <c r="J20" s="22"/>
      <c r="K20" s="22"/>
      <c r="L20" s="21"/>
      <c r="M20" s="21"/>
      <c r="N20" s="21"/>
      <c r="O20" s="56" t="s">
        <v>73</v>
      </c>
      <c r="P20" s="57">
        <v>1.9801</v>
      </c>
      <c r="Q20" s="60" t="s">
        <v>31</v>
      </c>
      <c r="R20" s="60">
        <f t="shared" si="11"/>
        <v>900</v>
      </c>
      <c r="S20" s="57">
        <f t="shared" si="12"/>
        <v>1.56088888888889</v>
      </c>
      <c r="T20" s="57">
        <f t="shared" ref="T20:T25" si="16">SUM($E$13:$E$16)+$E$18*2+$E$17+$M$14</f>
        <v>1.292</v>
      </c>
      <c r="U20" s="61">
        <f t="shared" si="13"/>
        <v>2.53265</v>
      </c>
      <c r="V20" s="62">
        <f t="shared" si="14"/>
        <v>0.15</v>
      </c>
      <c r="W20" s="61">
        <f t="shared" si="15"/>
        <v>0.50131926121372</v>
      </c>
      <c r="X20" s="60">
        <v>0.92</v>
      </c>
      <c r="Y20" s="66">
        <v>0</v>
      </c>
      <c r="Z20" s="66">
        <v>0</v>
      </c>
      <c r="AA20" s="66">
        <v>0</v>
      </c>
      <c r="AB20" s="67">
        <f t="shared" si="6"/>
        <v>14051.0965364456</v>
      </c>
      <c r="AC20" s="65"/>
      <c r="AD20" s="65"/>
    </row>
    <row r="21" s="1" customFormat="1" ht="15" spans="2:30">
      <c r="B21" s="24" t="s">
        <v>74</v>
      </c>
      <c r="C21" s="21"/>
      <c r="D21" s="21"/>
      <c r="E21" s="21"/>
      <c r="F21" s="21"/>
      <c r="G21" s="22"/>
      <c r="H21" s="21"/>
      <c r="I21" s="21"/>
      <c r="J21" s="21"/>
      <c r="K21" s="21"/>
      <c r="L21" s="21"/>
      <c r="M21" s="21"/>
      <c r="N21" s="21"/>
      <c r="O21" s="56" t="s">
        <v>75</v>
      </c>
      <c r="P21" s="57">
        <v>3.76</v>
      </c>
      <c r="Q21" s="60" t="s">
        <v>31</v>
      </c>
      <c r="R21" s="60">
        <f t="shared" si="11"/>
        <v>900</v>
      </c>
      <c r="S21" s="57">
        <f t="shared" si="12"/>
        <v>1.56088888888889</v>
      </c>
      <c r="T21" s="57">
        <f t="shared" si="16"/>
        <v>1.292</v>
      </c>
      <c r="U21" s="61">
        <f t="shared" si="13"/>
        <v>2.53265</v>
      </c>
      <c r="V21" s="62">
        <f t="shared" si="14"/>
        <v>0.15</v>
      </c>
      <c r="W21" s="61">
        <f t="shared" si="15"/>
        <v>0.50131926121372</v>
      </c>
      <c r="X21" s="60">
        <v>0.92</v>
      </c>
      <c r="Y21" s="66">
        <v>0</v>
      </c>
      <c r="Z21" s="66">
        <v>0</v>
      </c>
      <c r="AA21" s="66">
        <v>0</v>
      </c>
      <c r="AB21" s="67">
        <f t="shared" si="6"/>
        <v>26681.5428397735</v>
      </c>
      <c r="AC21" s="65"/>
      <c r="AD21" s="65"/>
    </row>
    <row r="22" s="1" customFormat="1" spans="2:30">
      <c r="B22" s="25" t="s">
        <v>76</v>
      </c>
      <c r="C22" s="25" t="s">
        <v>77</v>
      </c>
      <c r="D22" s="25" t="s">
        <v>78</v>
      </c>
      <c r="E22" s="25" t="s">
        <v>79</v>
      </c>
      <c r="F22" s="26"/>
      <c r="G22" s="22"/>
      <c r="H22" s="21"/>
      <c r="I22" s="21"/>
      <c r="J22" s="21"/>
      <c r="K22" s="21"/>
      <c r="L22" s="21"/>
      <c r="M22" s="21"/>
      <c r="N22" s="21"/>
      <c r="O22" s="56" t="s">
        <v>80</v>
      </c>
      <c r="P22" s="57">
        <f>35.33%*3+62.93%*2+64.62%*4</f>
        <v>4.9033</v>
      </c>
      <c r="Q22" s="60" t="s">
        <v>31</v>
      </c>
      <c r="R22" s="60">
        <f t="shared" si="11"/>
        <v>900</v>
      </c>
      <c r="S22" s="57">
        <f t="shared" si="12"/>
        <v>1.56088888888889</v>
      </c>
      <c r="T22" s="57">
        <f t="shared" si="16"/>
        <v>1.292</v>
      </c>
      <c r="U22" s="61">
        <f t="shared" si="13"/>
        <v>2.53265</v>
      </c>
      <c r="V22" s="62">
        <f t="shared" si="14"/>
        <v>0.15</v>
      </c>
      <c r="W22" s="61">
        <f t="shared" si="15"/>
        <v>0.50131926121372</v>
      </c>
      <c r="X22" s="60">
        <v>0.92</v>
      </c>
      <c r="Y22" s="66">
        <v>0</v>
      </c>
      <c r="Z22" s="66">
        <v>0</v>
      </c>
      <c r="AA22" s="66">
        <v>0</v>
      </c>
      <c r="AB22" s="67">
        <f t="shared" si="6"/>
        <v>34794.5768633674</v>
      </c>
      <c r="AC22" s="65"/>
      <c r="AD22" s="65"/>
    </row>
    <row r="23" s="1" customFormat="1" spans="2:30">
      <c r="B23" s="27" t="s">
        <v>0</v>
      </c>
      <c r="C23" s="27">
        <f>SUM(AB2:AB15)</f>
        <v>2358335.59693595</v>
      </c>
      <c r="D23" s="27">
        <f>C23/E23</f>
        <v>94333.4238774378</v>
      </c>
      <c r="E23" s="26">
        <v>25</v>
      </c>
      <c r="F23" s="26"/>
      <c r="G23" s="28"/>
      <c r="H23" s="21"/>
      <c r="I23" s="21"/>
      <c r="J23" s="21"/>
      <c r="K23" s="21"/>
      <c r="L23" s="21"/>
      <c r="M23" s="21"/>
      <c r="N23" s="21"/>
      <c r="O23" s="56" t="s">
        <v>81</v>
      </c>
      <c r="P23" s="57">
        <f>667.99%*2</f>
        <v>13.3598</v>
      </c>
      <c r="Q23" s="60" t="s">
        <v>31</v>
      </c>
      <c r="R23" s="60">
        <f t="shared" si="11"/>
        <v>900</v>
      </c>
      <c r="S23" s="57">
        <f t="shared" si="12"/>
        <v>1.56088888888889</v>
      </c>
      <c r="T23" s="57">
        <f t="shared" si="16"/>
        <v>1.292</v>
      </c>
      <c r="U23" s="61">
        <f t="shared" si="13"/>
        <v>2.53265</v>
      </c>
      <c r="V23" s="62">
        <f t="shared" si="14"/>
        <v>0.15</v>
      </c>
      <c r="W23" s="61">
        <f t="shared" si="15"/>
        <v>0.50131926121372</v>
      </c>
      <c r="X23" s="60">
        <v>0.92</v>
      </c>
      <c r="Y23" s="66">
        <v>0</v>
      </c>
      <c r="Z23" s="66">
        <v>0</v>
      </c>
      <c r="AA23" s="66">
        <v>0</v>
      </c>
      <c r="AB23" s="67">
        <f t="shared" si="6"/>
        <v>94803.2117103208</v>
      </c>
      <c r="AC23" s="65"/>
      <c r="AD23" s="65"/>
    </row>
    <row r="24" s="1" customFormat="1" spans="2:30">
      <c r="B24" s="27" t="s">
        <v>60</v>
      </c>
      <c r="C24" s="27">
        <f>SUM(AB16:AB27)</f>
        <v>258919.965157448</v>
      </c>
      <c r="D24" s="27">
        <f>C24/E23</f>
        <v>10356.7986062979</v>
      </c>
      <c r="E24" s="22"/>
      <c r="F24" s="21"/>
      <c r="G24" s="22"/>
      <c r="H24" s="21"/>
      <c r="I24" s="21"/>
      <c r="J24" s="21"/>
      <c r="K24" s="21"/>
      <c r="L24" s="21"/>
      <c r="M24" s="21"/>
      <c r="N24" s="21"/>
      <c r="O24" s="56" t="s">
        <v>73</v>
      </c>
      <c r="P24" s="57">
        <f>198.01%</f>
        <v>1.9801</v>
      </c>
      <c r="Q24" s="60" t="s">
        <v>31</v>
      </c>
      <c r="R24" s="60">
        <f t="shared" si="11"/>
        <v>900</v>
      </c>
      <c r="S24" s="57">
        <f t="shared" si="12"/>
        <v>1.56088888888889</v>
      </c>
      <c r="T24" s="57">
        <f t="shared" si="16"/>
        <v>1.292</v>
      </c>
      <c r="U24" s="61">
        <f t="shared" si="13"/>
        <v>2.53265</v>
      </c>
      <c r="V24" s="62">
        <f t="shared" si="14"/>
        <v>0.15</v>
      </c>
      <c r="W24" s="61">
        <f t="shared" si="15"/>
        <v>0.50131926121372</v>
      </c>
      <c r="X24" s="60">
        <v>0.92</v>
      </c>
      <c r="Y24" s="66">
        <v>0</v>
      </c>
      <c r="Z24" s="66">
        <v>0</v>
      </c>
      <c r="AA24" s="66">
        <v>0</v>
      </c>
      <c r="AB24" s="67">
        <f t="shared" si="6"/>
        <v>14051.0965364456</v>
      </c>
      <c r="AC24" s="65"/>
      <c r="AD24" s="65"/>
    </row>
    <row r="25" s="1" customFormat="1" spans="2:30">
      <c r="B25" s="27" t="s">
        <v>45</v>
      </c>
      <c r="C25" s="27">
        <v>50000</v>
      </c>
      <c r="D25" s="27">
        <f>C25/E23</f>
        <v>2000</v>
      </c>
      <c r="E25" s="21"/>
      <c r="F25" s="21"/>
      <c r="G25" s="22"/>
      <c r="H25" s="21"/>
      <c r="I25" s="21"/>
      <c r="J25" s="21"/>
      <c r="K25" s="21"/>
      <c r="L25" s="21"/>
      <c r="M25" s="21"/>
      <c r="N25" s="21"/>
      <c r="O25" s="56" t="s">
        <v>82</v>
      </c>
      <c r="P25" s="57">
        <v>1.0599</v>
      </c>
      <c r="Q25" s="60" t="s">
        <v>31</v>
      </c>
      <c r="R25" s="60">
        <f t="shared" si="11"/>
        <v>900</v>
      </c>
      <c r="S25" s="57">
        <f t="shared" si="12"/>
        <v>1.56088888888889</v>
      </c>
      <c r="T25" s="57">
        <f t="shared" si="16"/>
        <v>1.292</v>
      </c>
      <c r="U25" s="61">
        <f t="shared" si="13"/>
        <v>2.53265</v>
      </c>
      <c r="V25" s="62">
        <f t="shared" si="14"/>
        <v>0.15</v>
      </c>
      <c r="W25" s="61">
        <f t="shared" si="15"/>
        <v>0.50131926121372</v>
      </c>
      <c r="X25" s="60">
        <v>0.92</v>
      </c>
      <c r="Y25" s="66">
        <v>0</v>
      </c>
      <c r="Z25" s="66">
        <v>0</v>
      </c>
      <c r="AA25" s="66">
        <v>0</v>
      </c>
      <c r="AB25" s="67">
        <f t="shared" si="6"/>
        <v>7521.21469571169</v>
      </c>
      <c r="AC25" s="65"/>
      <c r="AD25" s="65"/>
    </row>
    <row r="26" s="1" customFormat="1" spans="2:30">
      <c r="B26" s="27" t="s">
        <v>83</v>
      </c>
      <c r="C26" s="27">
        <f>C23+C24+C25</f>
        <v>2667255.56209339</v>
      </c>
      <c r="D26" s="27">
        <f>C26/E23</f>
        <v>106690.222483736</v>
      </c>
      <c r="E26" s="21"/>
      <c r="F26" s="21"/>
      <c r="G26" s="22"/>
      <c r="H26" s="21"/>
      <c r="I26" s="21"/>
      <c r="J26" s="21"/>
      <c r="K26" s="21"/>
      <c r="L26" s="21"/>
      <c r="M26" s="21"/>
      <c r="N26" s="21"/>
      <c r="O26" s="56" t="s">
        <v>84</v>
      </c>
      <c r="P26" s="57">
        <v>3.1056</v>
      </c>
      <c r="Q26" s="60" t="s">
        <v>35</v>
      </c>
      <c r="R26" s="60">
        <f t="shared" si="11"/>
        <v>900</v>
      </c>
      <c r="S26" s="57">
        <f t="shared" si="12"/>
        <v>1.56088888888889</v>
      </c>
      <c r="T26" s="57">
        <f>SUM($E$13:$E$16)+$E$18*2</f>
        <v>0.72</v>
      </c>
      <c r="U26" s="61">
        <f t="shared" si="13"/>
        <v>2.53265</v>
      </c>
      <c r="V26" s="62">
        <f t="shared" si="14"/>
        <v>0.15</v>
      </c>
      <c r="W26" s="61">
        <f t="shared" si="15"/>
        <v>0.50131926121372</v>
      </c>
      <c r="X26" s="60">
        <v>0.92</v>
      </c>
      <c r="Y26" s="66">
        <v>0</v>
      </c>
      <c r="Z26" s="66">
        <v>0</v>
      </c>
      <c r="AA26" s="66">
        <v>0</v>
      </c>
      <c r="AB26" s="67">
        <f t="shared" si="6"/>
        <v>16537.9793549145</v>
      </c>
      <c r="AC26" s="65"/>
      <c r="AD26" s="65"/>
    </row>
    <row r="27" s="1" customFormat="1" ht="14.75" spans="2:30">
      <c r="B27" s="27"/>
      <c r="C27" s="27"/>
      <c r="D27" s="27"/>
      <c r="E27" s="21"/>
      <c r="F27" s="21"/>
      <c r="G27" s="22"/>
      <c r="H27" s="21"/>
      <c r="I27" s="21"/>
      <c r="J27" s="21"/>
      <c r="K27" s="21"/>
      <c r="L27" s="21"/>
      <c r="M27" s="21"/>
      <c r="N27" s="21"/>
      <c r="O27" s="58" t="s">
        <v>85</v>
      </c>
      <c r="P27" s="59">
        <f>14.54%*21</f>
        <v>3.0534</v>
      </c>
      <c r="Q27" s="63" t="s">
        <v>31</v>
      </c>
      <c r="R27" s="60">
        <f t="shared" si="11"/>
        <v>900</v>
      </c>
      <c r="S27" s="57">
        <f t="shared" si="12"/>
        <v>1.56088888888889</v>
      </c>
      <c r="T27" s="57">
        <f>SUM($E$13:$E$16)+$E$18*2+$E$17+$M$14</f>
        <v>1.292</v>
      </c>
      <c r="U27" s="61">
        <f t="shared" si="13"/>
        <v>2.53265</v>
      </c>
      <c r="V27" s="62">
        <f t="shared" si="14"/>
        <v>0.15</v>
      </c>
      <c r="W27" s="61">
        <f t="shared" si="15"/>
        <v>0.50131926121372</v>
      </c>
      <c r="X27" s="60">
        <v>0.92</v>
      </c>
      <c r="Y27" s="66">
        <v>0</v>
      </c>
      <c r="Z27" s="66">
        <v>0</v>
      </c>
      <c r="AA27" s="66">
        <v>0</v>
      </c>
      <c r="AB27" s="67">
        <f t="shared" si="6"/>
        <v>21667.399709299</v>
      </c>
      <c r="AC27" s="65"/>
      <c r="AD27" s="65"/>
    </row>
    <row r="28" s="1" customFormat="1" spans="2:28">
      <c r="B28" s="27"/>
      <c r="C28" s="12"/>
      <c r="D28" s="27"/>
      <c r="E28" s="21"/>
      <c r="F28" s="21"/>
      <c r="G28" s="21"/>
      <c r="H28" s="21"/>
      <c r="I28" s="21"/>
      <c r="J28" s="21"/>
      <c r="K28" s="21"/>
      <c r="L28" s="21"/>
      <c r="M28" s="21"/>
      <c r="N28" s="21"/>
      <c r="P28" s="2"/>
      <c r="T28" s="2"/>
      <c r="U28" s="3"/>
      <c r="AA28" s="4"/>
      <c r="AB28" s="4"/>
    </row>
    <row r="29" s="1" customFormat="1" spans="2:28"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P29" s="2"/>
      <c r="T29" s="2"/>
      <c r="U29" s="3"/>
      <c r="AA29" s="4"/>
      <c r="AB29" s="4"/>
    </row>
  </sheetData>
  <mergeCells count="14">
    <mergeCell ref="B1:M1"/>
    <mergeCell ref="B2:C2"/>
    <mergeCell ref="D2:E2"/>
    <mergeCell ref="F2:G2"/>
    <mergeCell ref="H2:I2"/>
    <mergeCell ref="J2:K2"/>
    <mergeCell ref="L2:M2"/>
    <mergeCell ref="B11:M11"/>
    <mergeCell ref="B12:C12"/>
    <mergeCell ref="D12:E12"/>
    <mergeCell ref="F12:G12"/>
    <mergeCell ref="H12:I12"/>
    <mergeCell ref="J12:K12"/>
    <mergeCell ref="L12:M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29"/>
  <sheetViews>
    <sheetView tabSelected="1" workbookViewId="0">
      <selection activeCell="B14" sqref="B14"/>
    </sheetView>
  </sheetViews>
  <sheetFormatPr defaultColWidth="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636363636364" style="1" customWidth="1"/>
    <col min="7" max="7" width="18.6909090909091" style="2" customWidth="1"/>
    <col min="8" max="8" width="18.6909090909091" style="1" customWidth="1"/>
    <col min="9" max="9" width="12.5363636363636" style="1" customWidth="1"/>
    <col min="10" max="10" width="9" style="1" customWidth="1"/>
    <col min="11" max="11" width="8.91818181818182" style="1" customWidth="1"/>
    <col min="12" max="12" width="10.3090909090909" style="1" customWidth="1"/>
    <col min="13" max="13" width="7.91818181818182" style="1" customWidth="1"/>
    <col min="14" max="14" width="9.69090909090909" style="1"/>
    <col min="15" max="15" width="21.8454545454545" style="1" customWidth="1"/>
    <col min="16" max="16" width="8.91818181818182" style="2" customWidth="1"/>
    <col min="17" max="17" width="6" style="1" customWidth="1"/>
    <col min="18" max="18" width="10.3090909090909" style="1" customWidth="1"/>
    <col min="19" max="19" width="9.69090909090909" style="1" customWidth="1"/>
    <col min="20" max="20" width="8.15454545454545" style="2" customWidth="1"/>
    <col min="21" max="21" width="8.15454545454545" style="3" customWidth="1"/>
    <col min="22" max="24" width="8.15454545454545" style="1" customWidth="1"/>
    <col min="25" max="25" width="10.3090909090909" style="1" customWidth="1"/>
    <col min="26" max="26" width="8.15454545454545" style="1" customWidth="1"/>
    <col min="27" max="27" width="10.3090909090909" style="4" customWidth="1"/>
    <col min="28" max="28" width="7.22727272727273" style="4" customWidth="1"/>
    <col min="29" max="29" width="6" style="1" customWidth="1"/>
    <col min="30" max="30" width="8.15454545454545" style="1" customWidth="1"/>
    <col min="31" max="31" width="10.3090909090909" style="1" customWidth="1"/>
    <col min="32" max="15893" width="9.69090909090909" style="1"/>
    <col min="15894" max="15894" width="9.69090909090909" style="5"/>
    <col min="15895" max="16384" width="9" style="5"/>
  </cols>
  <sheetData>
    <row r="1" s="1" customFormat="1" ht="15" spans="2:31">
      <c r="B1" s="6" t="s">
        <v>45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21"/>
      <c r="O1" s="29" t="s">
        <v>1</v>
      </c>
      <c r="P1" s="30" t="s">
        <v>2</v>
      </c>
      <c r="Q1" s="37" t="s">
        <v>3</v>
      </c>
      <c r="R1" s="37" t="s">
        <v>4</v>
      </c>
      <c r="S1" s="37" t="s">
        <v>5</v>
      </c>
      <c r="T1" s="30" t="s">
        <v>6</v>
      </c>
      <c r="U1" s="38" t="s">
        <v>7</v>
      </c>
      <c r="V1" s="37" t="s">
        <v>8</v>
      </c>
      <c r="W1" s="37" t="s">
        <v>9</v>
      </c>
      <c r="X1" s="37" t="s">
        <v>10</v>
      </c>
      <c r="Y1" s="37" t="s">
        <v>11</v>
      </c>
      <c r="Z1" s="37" t="s">
        <v>12</v>
      </c>
      <c r="AA1" s="41" t="s">
        <v>13</v>
      </c>
      <c r="AB1" s="42" t="s">
        <v>14</v>
      </c>
      <c r="AC1" s="43" t="s">
        <v>17</v>
      </c>
      <c r="AD1" s="44" t="s">
        <v>9</v>
      </c>
      <c r="AE1" s="44" t="s">
        <v>18</v>
      </c>
    </row>
    <row r="2" s="1" customFormat="1" spans="2:31">
      <c r="B2" s="7" t="s">
        <v>19</v>
      </c>
      <c r="C2" s="8"/>
      <c r="D2" s="7" t="s">
        <v>6</v>
      </c>
      <c r="E2" s="8"/>
      <c r="F2" s="7" t="s">
        <v>20</v>
      </c>
      <c r="G2" s="8"/>
      <c r="H2" s="7" t="s">
        <v>21</v>
      </c>
      <c r="I2" s="8"/>
      <c r="J2" s="7" t="s">
        <v>8</v>
      </c>
      <c r="K2" s="8"/>
      <c r="L2" s="7" t="s">
        <v>22</v>
      </c>
      <c r="M2" s="8"/>
      <c r="N2" s="21"/>
      <c r="O2" s="31" t="s">
        <v>86</v>
      </c>
      <c r="P2" s="32">
        <v>1.311</v>
      </c>
      <c r="Q2" s="39" t="s">
        <v>87</v>
      </c>
      <c r="R2" s="39">
        <f>$C$3</f>
        <v>562</v>
      </c>
      <c r="S2" s="32">
        <f>($C$4+$C$5+$C$6+$C$7)+($C$8+$C$9)/R2</f>
        <v>1.84677580071174</v>
      </c>
      <c r="T2" s="32">
        <f t="shared" ref="T2:T7" si="0">SUM($E$3:$E$6,$E$8)</f>
        <v>0.6</v>
      </c>
      <c r="U2" s="40">
        <f>1+$G$8*($I$8-1)</f>
        <v>1.6345</v>
      </c>
      <c r="V2" s="32">
        <f>$K$3+$K$5</f>
        <v>0.15</v>
      </c>
      <c r="W2" s="40">
        <f>$AD$3</f>
        <v>0.522150159393207</v>
      </c>
      <c r="X2" s="39">
        <v>0.8</v>
      </c>
      <c r="Y2" s="45">
        <v>0</v>
      </c>
      <c r="Z2" s="45">
        <v>0</v>
      </c>
      <c r="AA2" s="45">
        <v>0</v>
      </c>
      <c r="AB2" s="46">
        <f>P2*R2*(1+S2)*(1+T2)*U2*(1+V2)*W2*X2*(1+Y2)*(1+Z2)*(1+AA2)</f>
        <v>2634.99880444622</v>
      </c>
      <c r="AC2" s="43">
        <v>0</v>
      </c>
      <c r="AD2" s="44">
        <f t="shared" ref="AD2:AD7" si="1">1520/(1520+(792+8*AE2)*(1-AC2/100))</f>
        <v>0.50131926121372</v>
      </c>
      <c r="AE2" s="47">
        <v>90</v>
      </c>
    </row>
    <row r="3" s="1" customFormat="1" spans="2:31">
      <c r="B3" s="9" t="s">
        <v>25</v>
      </c>
      <c r="C3" s="10">
        <f>225+337</f>
        <v>562</v>
      </c>
      <c r="D3" s="9" t="s">
        <v>26</v>
      </c>
      <c r="E3" s="11">
        <v>0.6</v>
      </c>
      <c r="F3" s="9" t="s">
        <v>27</v>
      </c>
      <c r="G3" s="12">
        <v>0.05</v>
      </c>
      <c r="H3" s="9" t="s">
        <v>27</v>
      </c>
      <c r="I3" s="11">
        <v>1.5</v>
      </c>
      <c r="J3" s="33" t="s">
        <v>28</v>
      </c>
      <c r="K3" s="11">
        <v>0.15</v>
      </c>
      <c r="L3" s="9" t="s">
        <v>29</v>
      </c>
      <c r="M3" s="12">
        <f>8.6%*4</f>
        <v>0.344</v>
      </c>
      <c r="N3" s="21"/>
      <c r="O3" s="31" t="s">
        <v>88</v>
      </c>
      <c r="P3" s="32">
        <f>58.4%+5.84%*10</f>
        <v>1.168</v>
      </c>
      <c r="Q3" s="39" t="s">
        <v>24</v>
      </c>
      <c r="R3" s="39">
        <f>$C$3</f>
        <v>562</v>
      </c>
      <c r="S3" s="32">
        <f>($C$4+$C$5+$C$6+$C$7)+($C$8+$C$9)/R3</f>
        <v>1.84677580071174</v>
      </c>
      <c r="T3" s="32">
        <f>SUM($E$3:$E$6)+0.4</f>
        <v>1</v>
      </c>
      <c r="U3" s="40">
        <f>1+$G$8*($I$8-1)</f>
        <v>1.6345</v>
      </c>
      <c r="V3" s="32">
        <f>$K$3</f>
        <v>0.15</v>
      </c>
      <c r="W3" s="40">
        <f>$AD$3</f>
        <v>0.522150159393207</v>
      </c>
      <c r="X3" s="39">
        <v>0.8</v>
      </c>
      <c r="Y3" s="45">
        <v>0</v>
      </c>
      <c r="Z3" s="45">
        <v>0</v>
      </c>
      <c r="AA3" s="45">
        <v>0</v>
      </c>
      <c r="AB3" s="46">
        <f>P3*R3*(1+S3)*(1+T3)*U3*(1+V3)*W3*X3*(1+Y3)*(1+Z3)*(1+AA3)</f>
        <v>2934.47616666016</v>
      </c>
      <c r="AC3" s="43">
        <v>8</v>
      </c>
      <c r="AD3" s="44">
        <f t="shared" si="1"/>
        <v>0.522150159393207</v>
      </c>
      <c r="AE3" s="47">
        <v>90</v>
      </c>
    </row>
    <row r="4" s="1" customFormat="1" spans="2:31">
      <c r="B4" s="9" t="s">
        <v>32</v>
      </c>
      <c r="C4" s="11">
        <v>0.12</v>
      </c>
      <c r="D4" s="9" t="s">
        <v>33</v>
      </c>
      <c r="E4" s="11"/>
      <c r="F4" s="9" t="s">
        <v>34</v>
      </c>
      <c r="G4" s="12"/>
      <c r="H4" s="9" t="s">
        <v>35</v>
      </c>
      <c r="I4" s="12">
        <f>44%</f>
        <v>0.44</v>
      </c>
      <c r="J4" s="34" t="s">
        <v>89</v>
      </c>
      <c r="K4" s="12"/>
      <c r="L4" s="9"/>
      <c r="M4" s="12"/>
      <c r="N4" s="21"/>
      <c r="O4" s="31" t="s">
        <v>90</v>
      </c>
      <c r="P4" s="32">
        <f>178.93%</f>
        <v>1.7893</v>
      </c>
      <c r="Q4" s="39" t="s">
        <v>71</v>
      </c>
      <c r="R4" s="39">
        <f>$C$3</f>
        <v>562</v>
      </c>
      <c r="S4" s="32">
        <f>($C$4+$C$5+$C$6+$C$7)+($C$8+$C$9)/R4</f>
        <v>1.84677580071174</v>
      </c>
      <c r="T4" s="32">
        <f t="shared" si="0"/>
        <v>0.6</v>
      </c>
      <c r="U4" s="40">
        <f>1+$G$8*($I$8-1)</f>
        <v>1.6345</v>
      </c>
      <c r="V4" s="32">
        <f>$K$3+K4</f>
        <v>0.15</v>
      </c>
      <c r="W4" s="40">
        <f>$AD$3</f>
        <v>0.522150159393207</v>
      </c>
      <c r="X4" s="39">
        <v>0.8</v>
      </c>
      <c r="Y4" s="45">
        <v>0</v>
      </c>
      <c r="Z4" s="45">
        <v>0</v>
      </c>
      <c r="AA4" s="45">
        <v>0</v>
      </c>
      <c r="AB4" s="46">
        <f>P4*R4*(1+S4)*(1+T4)*U4*(1+V4)*W4*X4*(1+Y4)*(1+Z4)*(1+AA4)</f>
        <v>3596.34123630482</v>
      </c>
      <c r="AC4" s="43">
        <v>14.4</v>
      </c>
      <c r="AD4" s="44">
        <f t="shared" si="1"/>
        <v>0.540104154822277</v>
      </c>
      <c r="AE4" s="47">
        <v>90</v>
      </c>
    </row>
    <row r="5" s="1" customFormat="1" spans="2:31">
      <c r="B5" s="9" t="s">
        <v>39</v>
      </c>
      <c r="C5" s="11">
        <f>18%+18%+M3</f>
        <v>0.704</v>
      </c>
      <c r="D5" s="9" t="s">
        <v>40</v>
      </c>
      <c r="E5" s="11"/>
      <c r="F5" s="9" t="s">
        <v>41</v>
      </c>
      <c r="G5" s="12"/>
      <c r="H5" s="9"/>
      <c r="I5" s="12"/>
      <c r="J5" s="34"/>
      <c r="K5" s="12"/>
      <c r="L5" s="9" t="s">
        <v>20</v>
      </c>
      <c r="M5" s="12">
        <f>8.1*5%</f>
        <v>0.405</v>
      </c>
      <c r="N5" s="21"/>
      <c r="O5" s="31" t="s">
        <v>91</v>
      </c>
      <c r="P5" s="32"/>
      <c r="Q5" s="39"/>
      <c r="R5" s="39"/>
      <c r="S5" s="32"/>
      <c r="T5" s="32"/>
      <c r="U5" s="40"/>
      <c r="V5" s="32"/>
      <c r="W5" s="40"/>
      <c r="X5" s="39"/>
      <c r="Y5" s="45"/>
      <c r="Z5" s="45"/>
      <c r="AA5" s="45"/>
      <c r="AB5" s="46">
        <v>5000</v>
      </c>
      <c r="AC5" s="43">
        <v>21.6</v>
      </c>
      <c r="AD5" s="44">
        <f t="shared" si="1"/>
        <v>0.561837623012869</v>
      </c>
      <c r="AE5" s="47">
        <v>90</v>
      </c>
    </row>
    <row r="6" s="1" customFormat="1" spans="2:31">
      <c r="B6" s="9" t="s">
        <v>45</v>
      </c>
      <c r="C6" s="13">
        <v>0.15</v>
      </c>
      <c r="D6" s="9" t="s">
        <v>46</v>
      </c>
      <c r="E6" s="11"/>
      <c r="F6" s="9" t="s">
        <v>35</v>
      </c>
      <c r="G6" s="12">
        <f>M5+22%</f>
        <v>0.625</v>
      </c>
      <c r="H6" s="9"/>
      <c r="I6" s="12"/>
      <c r="J6" s="34"/>
      <c r="K6" s="12"/>
      <c r="L6" s="9" t="s">
        <v>47</v>
      </c>
      <c r="M6" s="11">
        <f>16.2%*5</f>
        <v>0.81</v>
      </c>
      <c r="N6" s="21"/>
      <c r="O6" s="31" t="s">
        <v>92</v>
      </c>
      <c r="P6" s="32">
        <f>49.75%+40.14%*2+28.22%*2+112.37%</f>
        <v>2.9884</v>
      </c>
      <c r="Q6" s="39" t="s">
        <v>31</v>
      </c>
      <c r="R6" s="39">
        <f>$C$3</f>
        <v>562</v>
      </c>
      <c r="S6" s="32">
        <f>($C$4+$C$5+$C$6+$C$7)+($C$8+$C$9)/R6</f>
        <v>1.84677580071174</v>
      </c>
      <c r="T6" s="32">
        <f t="shared" si="0"/>
        <v>0.6</v>
      </c>
      <c r="U6" s="40">
        <f>1+$G$8*($I$8-1)</f>
        <v>1.6345</v>
      </c>
      <c r="V6" s="32">
        <f>$K$3+$K$5</f>
        <v>0.15</v>
      </c>
      <c r="W6" s="40">
        <f>$AD$3</f>
        <v>0.522150159393207</v>
      </c>
      <c r="X6" s="39">
        <v>0.8</v>
      </c>
      <c r="Y6" s="45">
        <v>0</v>
      </c>
      <c r="Z6" s="45">
        <v>0</v>
      </c>
      <c r="AA6" s="45">
        <v>0</v>
      </c>
      <c r="AB6" s="46">
        <f>P6*R6*(1+S6)*(1+T6)*U6*(1+V6)*W6*X6*(1+Y6)*(1+Z6)*(1+AA6)</f>
        <v>6006.43053181318</v>
      </c>
      <c r="AC6" s="43">
        <v>28.8</v>
      </c>
      <c r="AD6" s="44">
        <f t="shared" si="1"/>
        <v>0.585393507677898</v>
      </c>
      <c r="AE6" s="47">
        <v>90</v>
      </c>
    </row>
    <row r="7" s="1" customFormat="1" spans="2:31">
      <c r="B7" s="9" t="s">
        <v>93</v>
      </c>
      <c r="C7" s="13">
        <v>0.25</v>
      </c>
      <c r="D7" s="9" t="s">
        <v>49</v>
      </c>
      <c r="E7" s="14"/>
      <c r="F7" s="9" t="s">
        <v>50</v>
      </c>
      <c r="G7" s="12">
        <v>0</v>
      </c>
      <c r="H7" s="9" t="s">
        <v>50</v>
      </c>
      <c r="I7" s="12">
        <v>0</v>
      </c>
      <c r="J7" s="34"/>
      <c r="K7" s="12"/>
      <c r="L7" s="9"/>
      <c r="M7" s="10"/>
      <c r="N7" s="21"/>
      <c r="O7" s="31" t="s">
        <v>94</v>
      </c>
      <c r="P7" s="32"/>
      <c r="Q7" s="39"/>
      <c r="R7" s="39"/>
      <c r="S7" s="32"/>
      <c r="T7" s="32"/>
      <c r="U7" s="40"/>
      <c r="V7" s="32"/>
      <c r="W7" s="40"/>
      <c r="X7" s="39"/>
      <c r="Y7" s="45"/>
      <c r="Z7" s="45"/>
      <c r="AA7" s="45"/>
      <c r="AB7" s="46"/>
      <c r="AC7" s="43">
        <v>36</v>
      </c>
      <c r="AD7" s="44">
        <f t="shared" si="1"/>
        <v>0.611011062516079</v>
      </c>
      <c r="AE7" s="47">
        <v>90</v>
      </c>
    </row>
    <row r="8" s="1" customFormat="1" spans="2:28">
      <c r="B8" s="9" t="s">
        <v>51</v>
      </c>
      <c r="C8" s="10">
        <v>350</v>
      </c>
      <c r="D8" s="9"/>
      <c r="E8" s="11"/>
      <c r="F8" s="15" t="s">
        <v>53</v>
      </c>
      <c r="G8" s="16">
        <f>MIN(100%,SUM(G3:G7))</f>
        <v>0.675</v>
      </c>
      <c r="H8" s="15" t="s">
        <v>54</v>
      </c>
      <c r="I8" s="35">
        <f>SUM(I3:I7)</f>
        <v>1.94</v>
      </c>
      <c r="J8" s="34"/>
      <c r="K8" s="12"/>
      <c r="L8" s="9"/>
      <c r="M8" s="10"/>
      <c r="N8" s="21"/>
      <c r="O8" s="31" t="s">
        <v>95</v>
      </c>
      <c r="P8" s="32">
        <f>715.72%</f>
        <v>7.1572</v>
      </c>
      <c r="Q8" s="39" t="s">
        <v>75</v>
      </c>
      <c r="R8" s="39">
        <f>$C$3</f>
        <v>562</v>
      </c>
      <c r="S8" s="32">
        <f>($C$4+$C$5+$C$6+$C$7)+($C$8+$C$9)/R8</f>
        <v>1.84677580071174</v>
      </c>
      <c r="T8" s="32">
        <f>SUM($E$3:$E$6)</f>
        <v>0.6</v>
      </c>
      <c r="U8" s="40">
        <f>1+($G$8+0.2)*($I$8-1)</f>
        <v>1.8225</v>
      </c>
      <c r="V8" s="32">
        <f>$K$3</f>
        <v>0.15</v>
      </c>
      <c r="W8" s="40">
        <f>$AD$3</f>
        <v>0.522150159393207</v>
      </c>
      <c r="X8" s="39">
        <v>0.8</v>
      </c>
      <c r="Y8" s="45">
        <v>0</v>
      </c>
      <c r="Z8" s="45">
        <v>0</v>
      </c>
      <c r="AA8" s="45">
        <v>0</v>
      </c>
      <c r="AB8" s="46">
        <f>P8*R8*(1+S8)*(1+T8)*U8*(1+V8)*W8*X8*(1+Y8)*(1+Z8)*(1+AA8)</f>
        <v>16039.9679490132</v>
      </c>
    </row>
    <row r="9" s="1" customFormat="1" spans="2:28">
      <c r="B9" s="17" t="s">
        <v>56</v>
      </c>
      <c r="C9" s="18"/>
      <c r="D9" s="17"/>
      <c r="E9" s="19"/>
      <c r="F9" s="17"/>
      <c r="G9" s="20"/>
      <c r="H9" s="17"/>
      <c r="I9" s="18"/>
      <c r="J9" s="36"/>
      <c r="K9" s="20"/>
      <c r="L9" s="17"/>
      <c r="M9" s="18"/>
      <c r="N9" s="21"/>
      <c r="P9" s="2"/>
      <c r="T9" s="2"/>
      <c r="U9" s="3"/>
      <c r="AA9" s="4"/>
      <c r="AB9" s="4"/>
    </row>
    <row r="10" s="1" customFormat="1" spans="2:28">
      <c r="B10" s="21"/>
      <c r="C10" s="21"/>
      <c r="D10" s="21"/>
      <c r="E10" s="21"/>
      <c r="F10" s="21" t="s">
        <v>58</v>
      </c>
      <c r="G10" s="22"/>
      <c r="H10" s="21"/>
      <c r="I10" s="21"/>
      <c r="J10" s="21"/>
      <c r="K10" s="21"/>
      <c r="L10" s="21"/>
      <c r="M10" s="21"/>
      <c r="N10" s="21"/>
      <c r="P10" s="2"/>
      <c r="T10" s="2"/>
      <c r="U10" s="3"/>
      <c r="AA10" s="4"/>
      <c r="AB10" s="4"/>
    </row>
    <row r="11" s="1" customFormat="1" ht="15" spans="2:28">
      <c r="B11" s="21"/>
      <c r="C11" s="21"/>
      <c r="D11" s="21"/>
      <c r="E11" s="23"/>
      <c r="F11" s="21"/>
      <c r="G11" s="23"/>
      <c r="H11" s="21"/>
      <c r="I11" s="21"/>
      <c r="J11" s="22"/>
      <c r="K11" s="22"/>
      <c r="L11" s="21"/>
      <c r="M11" s="21"/>
      <c r="N11" s="21"/>
      <c r="O11" s="1"/>
      <c r="P11" s="2"/>
      <c r="Q11" s="1"/>
      <c r="R11" s="1"/>
      <c r="S11" s="1"/>
      <c r="T11" s="2"/>
      <c r="U11" s="3"/>
      <c r="V11" s="1"/>
      <c r="W11" s="1"/>
      <c r="X11" s="1"/>
      <c r="Y11" s="1"/>
      <c r="Z11" s="1"/>
      <c r="AA11" s="4"/>
      <c r="AB11" s="4"/>
    </row>
    <row r="12" s="1" customFormat="1" ht="15" spans="2:28">
      <c r="B12" s="24" t="s">
        <v>74</v>
      </c>
      <c r="C12" s="21"/>
      <c r="D12" s="21"/>
      <c r="E12" s="21"/>
      <c r="F12" s="21"/>
      <c r="G12" s="22"/>
      <c r="H12" s="21"/>
      <c r="I12" s="21"/>
      <c r="J12" s="21"/>
      <c r="K12" s="21"/>
      <c r="L12" s="21"/>
      <c r="M12" s="21"/>
      <c r="N12" s="21"/>
      <c r="O12" s="1"/>
      <c r="P12" s="2"/>
      <c r="Q12" s="1"/>
      <c r="R12" s="1"/>
      <c r="S12" s="1"/>
      <c r="T12" s="2"/>
      <c r="U12" s="3"/>
      <c r="V12" s="1"/>
      <c r="W12" s="1"/>
      <c r="X12" s="1"/>
      <c r="Y12" s="1"/>
      <c r="Z12" s="1"/>
      <c r="AA12" s="4"/>
      <c r="AB12" s="4"/>
    </row>
    <row r="13" s="1" customFormat="1" spans="2:28">
      <c r="B13" s="25" t="s">
        <v>76</v>
      </c>
      <c r="C13" s="25" t="s">
        <v>77</v>
      </c>
      <c r="D13" s="25" t="s">
        <v>78</v>
      </c>
      <c r="E13" s="25" t="s">
        <v>79</v>
      </c>
      <c r="F13" s="26"/>
      <c r="G13" s="22"/>
      <c r="H13" s="21"/>
      <c r="I13" s="21"/>
      <c r="J13" s="21"/>
      <c r="K13" s="21"/>
      <c r="L13" s="21"/>
      <c r="M13" s="21"/>
      <c r="N13" s="21"/>
      <c r="O13" s="1"/>
      <c r="P13" s="2"/>
      <c r="Q13" s="1"/>
      <c r="R13" s="1"/>
      <c r="S13" s="1"/>
      <c r="T13" s="2"/>
      <c r="U13" s="3"/>
      <c r="V13" s="1"/>
      <c r="W13" s="1"/>
      <c r="X13" s="1"/>
      <c r="Y13" s="1"/>
      <c r="Z13" s="1"/>
      <c r="AA13" s="4"/>
      <c r="AB13" s="4"/>
    </row>
    <row r="14" s="1" customFormat="1" spans="2:28">
      <c r="B14" s="27" t="s">
        <v>45</v>
      </c>
      <c r="C14" s="27">
        <f>SUM(AB2:AB8)</f>
        <v>36212.2146882376</v>
      </c>
      <c r="D14" s="27">
        <f>C14/E14</f>
        <v>1448.4885875295</v>
      </c>
      <c r="E14" s="26">
        <v>25</v>
      </c>
      <c r="F14" s="26"/>
      <c r="G14" s="28"/>
      <c r="H14" s="21"/>
      <c r="I14" s="21"/>
      <c r="J14" s="21"/>
      <c r="K14" s="21"/>
      <c r="L14" s="21"/>
      <c r="M14" s="21"/>
      <c r="N14" s="21"/>
      <c r="O14" s="1"/>
      <c r="P14" s="2"/>
      <c r="Q14" s="1"/>
      <c r="R14" s="1"/>
      <c r="S14" s="1"/>
      <c r="T14" s="2"/>
      <c r="U14" s="3"/>
      <c r="V14" s="1"/>
      <c r="W14" s="1"/>
      <c r="X14" s="1"/>
      <c r="Y14" s="1"/>
      <c r="Z14" s="1"/>
      <c r="AA14" s="4"/>
      <c r="AB14" s="4"/>
    </row>
    <row r="15" s="1" customFormat="1" spans="2:28">
      <c r="B15" s="27"/>
      <c r="C15" s="27"/>
      <c r="D15" s="27"/>
      <c r="E15" s="22"/>
      <c r="F15" s="21"/>
      <c r="G15" s="22"/>
      <c r="H15" s="21"/>
      <c r="I15" s="21"/>
      <c r="J15" s="21"/>
      <c r="K15" s="21"/>
      <c r="L15" s="21"/>
      <c r="M15" s="21"/>
      <c r="N15" s="21"/>
      <c r="O15" s="1"/>
      <c r="P15" s="2"/>
      <c r="Q15" s="1"/>
      <c r="R15" s="1"/>
      <c r="S15" s="1"/>
      <c r="T15" s="2"/>
      <c r="U15" s="3"/>
      <c r="V15" s="1"/>
      <c r="W15" s="1"/>
      <c r="X15" s="1"/>
      <c r="Y15" s="1"/>
      <c r="Z15" s="1"/>
      <c r="AA15" s="4"/>
      <c r="AB15" s="4"/>
    </row>
    <row r="16" s="1" customFormat="1" spans="2:28">
      <c r="B16" s="27"/>
      <c r="C16" s="27"/>
      <c r="D16" s="27"/>
      <c r="E16" s="21"/>
      <c r="F16" s="21"/>
      <c r="G16" s="22"/>
      <c r="H16" s="21"/>
      <c r="I16" s="21"/>
      <c r="J16" s="21"/>
      <c r="K16" s="21"/>
      <c r="L16" s="21"/>
      <c r="M16" s="21"/>
      <c r="N16" s="21"/>
      <c r="O16" s="1"/>
      <c r="P16" s="2"/>
      <c r="Q16" s="1"/>
      <c r="R16" s="1"/>
      <c r="S16" s="1"/>
      <c r="T16" s="2"/>
      <c r="U16" s="3"/>
      <c r="V16" s="1"/>
      <c r="W16" s="1"/>
      <c r="X16" s="1"/>
      <c r="Y16" s="1"/>
      <c r="Z16" s="1"/>
      <c r="AA16" s="4"/>
      <c r="AB16" s="4"/>
    </row>
    <row r="17" s="1" customFormat="1" spans="2:28">
      <c r="B17" s="27" t="s">
        <v>83</v>
      </c>
      <c r="C17" s="27">
        <f>C14+C15+C16</f>
        <v>36212.2146882376</v>
      </c>
      <c r="D17" s="27">
        <f>C17/E14</f>
        <v>1448.4885875295</v>
      </c>
      <c r="E17" s="21"/>
      <c r="F17" s="21"/>
      <c r="G17" s="22"/>
      <c r="H17" s="21"/>
      <c r="I17" s="21"/>
      <c r="J17" s="21"/>
      <c r="K17" s="21"/>
      <c r="L17" s="21"/>
      <c r="M17" s="21"/>
      <c r="N17" s="21"/>
      <c r="O17" s="1"/>
      <c r="P17" s="2"/>
      <c r="Q17" s="1"/>
      <c r="R17" s="1"/>
      <c r="S17" s="1"/>
      <c r="T17" s="2"/>
      <c r="U17" s="3"/>
      <c r="V17" s="1"/>
      <c r="W17" s="1"/>
      <c r="X17" s="1"/>
      <c r="Y17" s="1"/>
      <c r="Z17" s="1"/>
      <c r="AA17" s="4"/>
      <c r="AB17" s="4"/>
    </row>
    <row r="18" s="1" customFormat="1" spans="2:28">
      <c r="B18" s="27"/>
      <c r="C18" s="27"/>
      <c r="D18" s="27"/>
      <c r="E18" s="21"/>
      <c r="F18" s="21"/>
      <c r="G18" s="22"/>
      <c r="H18" s="21"/>
      <c r="I18" s="21"/>
      <c r="J18" s="21"/>
      <c r="K18" s="21"/>
      <c r="L18" s="21"/>
      <c r="M18" s="21"/>
      <c r="N18" s="21"/>
      <c r="O18" s="1"/>
      <c r="P18" s="2"/>
      <c r="Q18" s="1"/>
      <c r="R18" s="1"/>
      <c r="S18" s="1"/>
      <c r="T18" s="2"/>
      <c r="U18" s="3"/>
      <c r="V18" s="1"/>
      <c r="W18" s="1"/>
      <c r="X18" s="1"/>
      <c r="Y18" s="1"/>
      <c r="Z18" s="1"/>
      <c r="AA18" s="4"/>
      <c r="AB18" s="4"/>
    </row>
    <row r="19" s="1" customFormat="1" spans="2:28">
      <c r="B19" s="27"/>
      <c r="C19" s="12"/>
      <c r="D19" s="2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"/>
      <c r="P19" s="2"/>
      <c r="Q19" s="1"/>
      <c r="R19" s="1"/>
      <c r="S19" s="1"/>
      <c r="T19" s="2"/>
      <c r="U19" s="3"/>
      <c r="V19" s="1"/>
      <c r="W19" s="1"/>
      <c r="X19" s="1"/>
      <c r="Y19" s="1"/>
      <c r="Z19" s="1"/>
      <c r="AA19" s="4"/>
      <c r="AB19" s="4"/>
    </row>
    <row r="20" s="1" customFormat="1" spans="2:28"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"/>
      <c r="P20" s="2"/>
      <c r="Q20" s="1"/>
      <c r="R20" s="1"/>
      <c r="S20" s="1"/>
      <c r="T20" s="2"/>
      <c r="U20" s="3"/>
      <c r="V20" s="1"/>
      <c r="W20" s="1"/>
      <c r="X20" s="1"/>
      <c r="Y20" s="1"/>
      <c r="Z20" s="1"/>
      <c r="AA20" s="4"/>
      <c r="AB20" s="4"/>
    </row>
    <row r="21" s="1" customFormat="1" spans="7:28">
      <c r="G21" s="2"/>
      <c r="H21" s="1"/>
      <c r="I21" s="1"/>
      <c r="J21" s="1"/>
      <c r="K21" s="1"/>
      <c r="L21" s="1"/>
      <c r="M21" s="1"/>
      <c r="N21" s="21"/>
      <c r="O21" s="1"/>
      <c r="P21" s="2"/>
      <c r="Q21" s="1"/>
      <c r="R21" s="1"/>
      <c r="S21" s="1"/>
      <c r="T21" s="2"/>
      <c r="U21" s="3"/>
      <c r="V21" s="1"/>
      <c r="W21" s="1"/>
      <c r="X21" s="1"/>
      <c r="Y21" s="1"/>
      <c r="Z21" s="1"/>
      <c r="AA21" s="4"/>
      <c r="AB21" s="4"/>
    </row>
    <row r="22" s="1" customFormat="1" spans="7:28">
      <c r="G22" s="2"/>
      <c r="H22" s="1"/>
      <c r="I22" s="1"/>
      <c r="J22" s="1"/>
      <c r="K22" s="1"/>
      <c r="L22" s="1"/>
      <c r="M22" s="1"/>
      <c r="N22" s="21"/>
      <c r="O22" s="1"/>
      <c r="P22" s="2"/>
      <c r="Q22" s="1"/>
      <c r="R22" s="1"/>
      <c r="S22" s="1"/>
      <c r="T22" s="2"/>
      <c r="U22" s="3"/>
      <c r="V22" s="1"/>
      <c r="W22" s="1"/>
      <c r="X22" s="1"/>
      <c r="Y22" s="1"/>
      <c r="Z22" s="1"/>
      <c r="AA22" s="4"/>
      <c r="AB22" s="4"/>
    </row>
    <row r="23" s="1" customFormat="1" spans="7:28">
      <c r="G23" s="2"/>
      <c r="H23" s="1"/>
      <c r="I23" s="1"/>
      <c r="J23" s="1"/>
      <c r="K23" s="1"/>
      <c r="L23" s="1"/>
      <c r="M23" s="1"/>
      <c r="N23" s="21"/>
      <c r="O23" s="1"/>
      <c r="P23" s="2"/>
      <c r="Q23" s="1"/>
      <c r="R23" s="1"/>
      <c r="S23" s="1"/>
      <c r="T23" s="2"/>
      <c r="U23" s="3"/>
      <c r="V23" s="1"/>
      <c r="W23" s="1"/>
      <c r="X23" s="1"/>
      <c r="Y23" s="1"/>
      <c r="Z23" s="1"/>
      <c r="AA23" s="4"/>
      <c r="AB23" s="4"/>
    </row>
    <row r="24" s="1" customFormat="1" spans="7:28">
      <c r="G24" s="2"/>
      <c r="H24" s="1"/>
      <c r="I24" s="1"/>
      <c r="J24" s="1"/>
      <c r="K24" s="1"/>
      <c r="L24" s="1"/>
      <c r="M24" s="1"/>
      <c r="N24" s="21"/>
      <c r="O24" s="1"/>
      <c r="P24" s="2"/>
      <c r="Q24" s="1"/>
      <c r="R24" s="1"/>
      <c r="S24" s="1"/>
      <c r="T24" s="2"/>
      <c r="U24" s="3"/>
      <c r="V24" s="1"/>
      <c r="W24" s="1"/>
      <c r="X24" s="1"/>
      <c r="Y24" s="1"/>
      <c r="Z24" s="1"/>
      <c r="AA24" s="4"/>
      <c r="AB24" s="4"/>
    </row>
    <row r="25" s="1" customFormat="1" spans="7:28">
      <c r="G25" s="2"/>
      <c r="H25" s="1"/>
      <c r="I25" s="1"/>
      <c r="J25" s="1"/>
      <c r="K25" s="1"/>
      <c r="L25" s="1"/>
      <c r="M25" s="1"/>
      <c r="N25" s="21"/>
      <c r="O25" s="1"/>
      <c r="P25" s="2"/>
      <c r="Q25" s="1"/>
      <c r="R25" s="1"/>
      <c r="S25" s="1"/>
      <c r="T25" s="2"/>
      <c r="U25" s="3"/>
      <c r="V25" s="1"/>
      <c r="W25" s="1"/>
      <c r="X25" s="1"/>
      <c r="Y25" s="1"/>
      <c r="Z25" s="1"/>
      <c r="AA25" s="4"/>
      <c r="AB25" s="4"/>
    </row>
    <row r="26" s="1" customFormat="1" spans="7:28">
      <c r="G26" s="2"/>
      <c r="H26" s="1"/>
      <c r="I26" s="1"/>
      <c r="J26" s="1"/>
      <c r="K26" s="1"/>
      <c r="L26" s="1"/>
      <c r="M26" s="1"/>
      <c r="N26" s="21"/>
      <c r="O26" s="1"/>
      <c r="P26" s="2"/>
      <c r="Q26" s="1"/>
      <c r="R26" s="1"/>
      <c r="S26" s="1"/>
      <c r="T26" s="2"/>
      <c r="U26" s="3"/>
      <c r="V26" s="1"/>
      <c r="W26" s="1"/>
      <c r="X26" s="1"/>
      <c r="Y26" s="1"/>
      <c r="Z26" s="1"/>
      <c r="AA26" s="4"/>
      <c r="AB26" s="4"/>
    </row>
    <row r="27" s="1" customFormat="1" ht="14.75" spans="7:28">
      <c r="G27" s="2"/>
      <c r="H27" s="1"/>
      <c r="I27" s="1"/>
      <c r="J27" s="1"/>
      <c r="K27" s="1"/>
      <c r="L27" s="1"/>
      <c r="M27" s="1"/>
      <c r="N27" s="21"/>
      <c r="O27" s="1"/>
      <c r="P27" s="2"/>
      <c r="Q27" s="1"/>
      <c r="R27" s="1"/>
      <c r="S27" s="1"/>
      <c r="T27" s="2"/>
      <c r="U27" s="3"/>
      <c r="V27" s="1"/>
      <c r="W27" s="1"/>
      <c r="X27" s="1"/>
      <c r="Y27" s="1"/>
      <c r="Z27" s="1"/>
      <c r="AA27" s="4"/>
      <c r="AB27" s="4"/>
    </row>
    <row r="28" s="1" customFormat="1" spans="7:28">
      <c r="G28" s="2"/>
      <c r="H28" s="1"/>
      <c r="I28" s="1"/>
      <c r="J28" s="1"/>
      <c r="K28" s="1"/>
      <c r="L28" s="1"/>
      <c r="M28" s="1"/>
      <c r="N28" s="21"/>
      <c r="O28" s="1"/>
      <c r="P28" s="2"/>
      <c r="Q28" s="1"/>
      <c r="R28" s="1"/>
      <c r="S28" s="1"/>
      <c r="T28" s="2"/>
      <c r="U28" s="3"/>
      <c r="V28" s="1"/>
      <c r="W28" s="1"/>
      <c r="X28" s="1"/>
      <c r="Y28" s="1"/>
      <c r="Z28" s="1"/>
      <c r="AA28" s="4"/>
      <c r="AB28" s="4"/>
    </row>
    <row r="29" s="1" customFormat="1" spans="7:28">
      <c r="G29" s="2"/>
      <c r="H29" s="1"/>
      <c r="I29" s="1"/>
      <c r="J29" s="1"/>
      <c r="K29" s="1"/>
      <c r="L29" s="1"/>
      <c r="M29" s="1"/>
      <c r="N29" s="21"/>
      <c r="O29" s="1"/>
      <c r="P29" s="2"/>
      <c r="Q29" s="1"/>
      <c r="R29" s="1"/>
      <c r="S29" s="1"/>
      <c r="T29" s="2"/>
      <c r="U29" s="3"/>
      <c r="V29" s="1"/>
      <c r="W29" s="1"/>
      <c r="X29" s="1"/>
      <c r="Y29" s="1"/>
      <c r="Z29" s="1"/>
      <c r="AA29" s="4"/>
      <c r="AB29" s="4"/>
    </row>
  </sheetData>
  <mergeCells count="7">
    <mergeCell ref="B1:M1"/>
    <mergeCell ref="B2:C2"/>
    <mergeCell ref="D2:E2"/>
    <mergeCell ref="F2:G2"/>
    <mergeCell ref="H2:I2"/>
    <mergeCell ref="J2:K2"/>
    <mergeCell ref="L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</vt:lpstr>
      <vt:lpstr>11</vt:lpstr>
      <vt:lpstr>21</vt:lpstr>
      <vt:lpstr>卜灵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2025-10-18T03:54:00Z</dcterms:created>
  <dcterms:modified xsi:type="dcterms:W3CDTF">2025-10-24T03:36:58Z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FAD3915AD2CC438BBA72F70C1AFDAB9C_11</vt:lpwstr>
  </property>
  <property fmtid="{D5CDD505-2E9C-101B-9397-08002B2CF9AE}" pid="3" name="KSOProductBuildVer">
    <vt:lpwstr>2052-12.1.0.23125</vt:lpwstr>
  </property>
</Properties>
</file>