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70" windowHeight="10780"/>
  </bookViews>
  <sheets>
    <sheet name="陆琳10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<sst xmlns="http://schemas.openxmlformats.org/spreadsheetml/2006/main" count="242" uniqueCount="135">
  <si>
    <t>角色主类型</t>
  </si>
  <si>
    <t>a</t>
  </si>
  <si>
    <t>3C属伤数</t>
  </si>
  <si>
    <t>陆赫斯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</si>
  <si>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</si>
  <si>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</si>
  <si>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</si>
  <si>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</si>
  <si>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</si>
  <si>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</si>
  <si>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</si>
  <si>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</si>
  <si>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</si>
  <si>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</si>
  <si>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</si>
  <si>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</si>
  <si>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</si>
  <si>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</si>
  <si>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</si>
  <si>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</si>
  <si>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</si>
  <si>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</si>
  <si>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</si>
  <si>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</si>
  <si>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</si>
  <si>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</si>
  <si>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</si>
  <si>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</si>
  <si>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</si>
  <si>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</si>
  <si>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</si>
  <si>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</si>
  <si>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变奏</t>
  </si>
  <si>
    <t>bz</t>
  </si>
  <si>
    <t>固有武器</t>
  </si>
  <si>
    <t>套装首位</t>
  </si>
  <si>
    <t>武器</t>
  </si>
  <si>
    <t>a加深</t>
  </si>
  <si>
    <t>a伤害</t>
  </si>
  <si>
    <t>a1</t>
  </si>
  <si>
    <t>主副词条</t>
  </si>
  <si>
    <t>自拐属伤</t>
  </si>
  <si>
    <t>套装</t>
  </si>
  <si>
    <t>镰刀·裁断a2</t>
  </si>
  <si>
    <t xml:space="preserve">自拐攻击 </t>
  </si>
  <si>
    <t>被拐属伤</t>
  </si>
  <si>
    <t>爆伤</t>
  </si>
  <si>
    <t>镰刀·裁断a3</t>
  </si>
  <si>
    <t>被拐攻击</t>
  </si>
  <si>
    <t>其他属伤</t>
  </si>
  <si>
    <t>共鸣链</t>
  </si>
  <si>
    <t>固有</t>
  </si>
  <si>
    <t>流金贯行</t>
  </si>
  <si>
    <t>声骸固定攻击</t>
  </si>
  <si>
    <t>a加成</t>
  </si>
  <si>
    <t>队友</t>
  </si>
  <si>
    <t>斩杀日冕·环</t>
  </si>
  <si>
    <t>额外固定攻击</t>
  </si>
  <si>
    <t>面板暴击率</t>
  </si>
  <si>
    <t>面板暴击伤害</t>
  </si>
  <si>
    <t>斩杀日冕·破</t>
  </si>
  <si>
    <t>溢出暴击</t>
  </si>
  <si>
    <t>斩杀日冕·曜</t>
  </si>
  <si>
    <t>判决大地裂响</t>
  </si>
  <si>
    <t>日髓阵列</t>
  </si>
  <si>
    <t>物理</t>
  </si>
  <si>
    <t>琳奈</t>
  </si>
  <si>
    <t>于永冻中释义</t>
  </si>
  <si>
    <t>热熔</t>
  </si>
  <si>
    <t>延奏</t>
  </si>
  <si>
    <t>yz</t>
  </si>
  <si>
    <t>衍射</t>
  </si>
  <si>
    <t>主类型加深</t>
  </si>
  <si>
    <t>普攻伤害</t>
  </si>
  <si>
    <t>爆炸喷涂</t>
  </si>
  <si>
    <t>r</t>
  </si>
  <si>
    <t>集谐</t>
  </si>
  <si>
    <t>琳奈式创想</t>
  </si>
  <si>
    <t>e</t>
  </si>
  <si>
    <t>灵感碰撞</t>
  </si>
  <si>
    <t>幻光折跃*3</t>
  </si>
  <si>
    <t>视觉冲击</t>
  </si>
  <si>
    <t>加色混合</t>
  </si>
  <si>
    <t>有空一起兜风！</t>
  </si>
  <si>
    <t>海维夏</t>
  </si>
  <si>
    <t>10莫宁</t>
  </si>
  <si>
    <t>防御</t>
  </si>
  <si>
    <t>3防2暴3爆伤2共解</t>
  </si>
  <si>
    <t>光翼共奏</t>
  </si>
  <si>
    <t>震谐</t>
  </si>
  <si>
    <t>基础</t>
  </si>
  <si>
    <t>爱弥斯震谐</t>
  </si>
  <si>
    <t>固有和武器</t>
  </si>
  <si>
    <t>首位加成</t>
  </si>
  <si>
    <t>声骸</t>
  </si>
  <si>
    <t>声骸加深</t>
  </si>
  <si>
    <t>琳奈震谐</t>
  </si>
  <si>
    <t>声骸和词条</t>
  </si>
  <si>
    <t>套装效果</t>
  </si>
  <si>
    <t>仇远</t>
  </si>
  <si>
    <t>共技加深</t>
  </si>
  <si>
    <t>莫宁震谐</t>
  </si>
  <si>
    <t>其他buff</t>
  </si>
  <si>
    <t>共解</t>
  </si>
  <si>
    <t>谐度破坏</t>
  </si>
  <si>
    <t>谐破</t>
  </si>
  <si>
    <t>队友buff</t>
  </si>
  <si>
    <t>武器效果</t>
  </si>
  <si>
    <t>守岸人</t>
  </si>
  <si>
    <t>归敛</t>
  </si>
  <si>
    <t>r加成</t>
  </si>
  <si>
    <t>aaa</t>
  </si>
  <si>
    <t xml:space="preserve">                                                                             </t>
  </si>
  <si>
    <t>分布式阵列</t>
  </si>
  <si>
    <t>声骸技</t>
  </si>
  <si>
    <t>20抗100级怪</t>
  </si>
  <si>
    <t>三集谐</t>
  </si>
  <si>
    <t>临界协议</t>
  </si>
  <si>
    <t>两轮三破</t>
  </si>
  <si>
    <t>总伤</t>
  </si>
  <si>
    <t>dps</t>
  </si>
  <si>
    <t>秒数</t>
  </si>
  <si>
    <t>占比</t>
  </si>
  <si>
    <t>陆琳莫</t>
  </si>
  <si>
    <t>回路1</t>
  </si>
  <si>
    <t>一集谐</t>
  </si>
  <si>
    <t>二集谐</t>
  </si>
  <si>
    <t>四集谐</t>
  </si>
  <si>
    <t>合计</t>
  </si>
  <si>
    <t>掉buff统计</t>
  </si>
  <si>
    <t>词条奖惩</t>
  </si>
  <si>
    <t>14词</t>
  </si>
  <si>
    <t>13词</t>
  </si>
  <si>
    <t>莫宁</t>
  </si>
  <si>
    <t>10词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</si>
</sst>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30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9" applyNumberFormat="0" applyAlignment="0" applyProtection="0">
      <alignment vertical="center"/>
    </xf>
    <xf numFmtId="0" fontId="20" fillId="14" borderId="20" applyNumberFormat="0" applyAlignment="0" applyProtection="0">
      <alignment vertical="center"/>
    </xf>
    <xf numFmtId="0" fontId="21" fillId="14" borderId="19" applyNumberFormat="0" applyAlignment="0" applyProtection="0">
      <alignment vertical="center"/>
    </xf>
    <xf numFmtId="0" fontId="22" fillId="15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0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9" fontId="3" fillId="0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7" fontId="2" fillId="9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177" fontId="7" fillId="9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9" borderId="9" xfId="0" applyNumberFormat="1" applyFont="1" applyFill="1" applyBorder="1" applyAlignment="1">
      <alignment horizontal="center" vertical="center"/>
    </xf>
    <xf numFmtId="177" fontId="7" fillId="0" borderId="12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8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2160" b="1" i="0" u="none" strike="noStrike" kern="1200" spc="0" baseline="0">
                <a:ln w="952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2160" b="1">
                <a:ln w="6350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01</a:t>
            </a:r>
            <a:r>
              <a:rPr altLang="en-US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陆</a:t>
            </a:r>
            <a:r>
              <a:rPr lang="en-US" altLang="zh-CN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01</a:t>
            </a:r>
            <a:r>
              <a:rPr altLang="en-US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琳</a:t>
            </a:r>
            <a:r>
              <a:rPr lang="en-US" altLang="zh-CN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10</a:t>
            </a:r>
            <a:r>
              <a:rPr altLang="en-US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莫</a:t>
            </a:r>
            <a:endParaRPr altLang="en-US" sz="2160" b="1">
              <a:ln w="3175" cmpd="thickThin">
                <a:solidFill>
                  <a:schemeClr val="accent6">
                    <a:lumMod val="75000"/>
                    <a:alpha val="70000"/>
                  </a:schemeClr>
                </a:solidFill>
                <a:prstDash val="solid"/>
              </a:ln>
              <a:solidFill>
                <a:schemeClr val="accent6">
                  <a:lumMod val="75000"/>
                </a:schemeClr>
              </a:solidFill>
            </a:endParaRPr>
          </a:p>
          <a:p>
            <a:pPr>
              <a:defRPr lang="zh-CN" sz="2160" b="1" i="0" u="none" strike="noStrike" kern="1200" spc="0" baseline="0">
                <a:ln w="952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三集谐</a:t>
            </a:r>
            <a:r>
              <a:rPr lang="en-US" altLang="zh-CN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dps</a:t>
            </a:r>
            <a:endParaRPr lang="en-US" altLang="zh-CN" sz="2160" b="1">
              <a:ln w="3175" cmpd="thickThin">
                <a:solidFill>
                  <a:schemeClr val="accent6">
                    <a:lumMod val="75000"/>
                    <a:alpha val="70000"/>
                  </a:schemeClr>
                </a:solidFill>
                <a:prstDash val="solid"/>
              </a:ln>
              <a:solidFill>
                <a:schemeClr val="accent6">
                  <a:lumMod val="75000"/>
                </a:schemeClr>
              </a:solidFill>
            </a:endParaRPr>
          </a:p>
          <a:p>
            <a:pPr>
              <a:defRPr lang="zh-CN" sz="2160" b="1" i="0" u="none" strike="noStrike" kern="1200" spc="0" baseline="0">
                <a:ln w="952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sz="2160" b="1">
                <a:ln w="3175" cmpd="thickThin">
                  <a:solidFill>
                    <a:schemeClr val="accent6">
                      <a:lumMod val="75000"/>
                      <a:alpha val="70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</a:rPr>
              <a:t>两轮三破</a:t>
            </a:r>
            <a:endParaRPr lang="en-US" altLang="zh-CN" sz="2160" b="1">
              <a:ln w="3175" cmpd="thickThin">
                <a:solidFill>
                  <a:schemeClr val="accent6">
                    <a:lumMod val="75000"/>
                    <a:alpha val="70000"/>
                  </a:schemeClr>
                </a:solidFill>
                <a:prstDash val="solid"/>
              </a:ln>
              <a:solidFill>
                <a:schemeClr val="accent6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619085487077535"/>
          <c:y val="0.05332292885940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陆琳10莫!$C$37</c:f>
              <c:strCache>
                <c:ptCount val="1"/>
                <c:pt idx="0">
                  <c:v>总伤</c:v>
                </c:pt>
              </c:strCache>
            </c:strRef>
          </c:tx>
          <c:spPr>
            <a:ln w="38100" cmpd="dbl">
              <a:solidFill>
                <a:schemeClr val="lt1"/>
              </a:solidFill>
              <a:prstDash val="solid"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sp3d contourW="38100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38100" cmpd="dbl">
                <a:solidFill>
                  <a:schemeClr val="lt1"/>
                </a:solidFill>
                <a:prstDash val="solid"/>
              </a:ln>
              <a:effectLst>
                <a:outerShdw blurRad="63500" algn="ctr" rotWithShape="0">
                  <a:schemeClr val="accent1">
                    <a:lumMod val="75000"/>
                    <a:alpha val="100000"/>
                  </a:schemeClr>
                </a:outerShdw>
              </a:effectLst>
              <a:sp3d contourW="38100"/>
            </c:spPr>
          </c:dPt>
          <c:dPt>
            <c:idx val="1"/>
            <c:bubble3D val="0"/>
            <c:spPr>
              <a:solidFill>
                <a:schemeClr val="accent2"/>
              </a:solidFill>
              <a:ln w="38100" cmpd="dbl">
                <a:solidFill>
                  <a:schemeClr val="lt1"/>
                </a:solidFill>
                <a:prstDash val="solid"/>
              </a:ln>
              <a:effectLst>
                <a:outerShdw blurRad="63500" algn="ctr" rotWithShape="0">
                  <a:schemeClr val="accent2">
                    <a:lumMod val="75000"/>
                    <a:alpha val="100000"/>
                  </a:schemeClr>
                </a:outerShdw>
              </a:effectLst>
              <a:sp3d contourW="38100"/>
            </c:spPr>
          </c:dPt>
          <c:dPt>
            <c:idx val="2"/>
            <c:bubble3D val="0"/>
            <c:spPr>
              <a:solidFill>
                <a:schemeClr val="accent3"/>
              </a:solidFill>
              <a:ln w="38100" cmpd="dbl">
                <a:solidFill>
                  <a:schemeClr val="lt1"/>
                </a:solidFill>
                <a:prstDash val="solid"/>
              </a:ln>
              <a:effectLst>
                <a:outerShdw blurRad="63500" algn="ctr" rotWithShape="0">
                  <a:schemeClr val="accent3">
                    <a:lumMod val="75000"/>
                    <a:alpha val="100000"/>
                  </a:schemeClr>
                </a:outerShdw>
              </a:effectLst>
              <a:sp3d contourW="38100"/>
            </c:spPr>
          </c:dPt>
          <c:dPt>
            <c:idx val="3"/>
            <c:bubble3D val="0"/>
            <c:spPr>
              <a:solidFill>
                <a:schemeClr val="accent4"/>
              </a:solidFill>
              <a:ln w="38100" cmpd="dbl">
                <a:solidFill>
                  <a:schemeClr val="lt1"/>
                </a:solidFill>
                <a:prstDash val="solid"/>
              </a:ln>
              <a:effectLst>
                <a:outerShdw blurRad="63500" algn="ctr" rotWithShape="0">
                  <a:schemeClr val="accent4">
                    <a:lumMod val="75000"/>
                    <a:alpha val="100000"/>
                  </a:schemeClr>
                </a:outerShdw>
              </a:effectLst>
              <a:sp3d contourW="38100"/>
            </c:spPr>
          </c:dPt>
          <c:dLbls>
            <c:dLbl>
              <c:idx val="0"/>
              <c:layout>
                <c:manualLayout>
                  <c:x val="0.0596421471172962"/>
                  <c:y val="-0.0650279620236702"/>
                </c:manualLayout>
              </c:layout>
              <c:numFmt formatCode="General" sourceLinked="1"/>
              <c:spPr>
                <a:solidFill>
                  <a:schemeClr val="lt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0" vertOverflow="clip" vert="horz" wrap="square" lIns="36576" tIns="18288" rIns="36576" bIns="18288" anchor="ctr" anchorCtr="1" forceAA="0"/>
                <a:lstStyle/>
                <a:p>
                  <a:pPr>
                    <a:defRPr lang="zh-CN" sz="1800" b="0" i="0" u="none" strike="noStrike" kern="1200" baseline="0">
                      <a:solidFill>
                        <a:schemeClr val="accent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5129224652087"/>
                      <c:h val="0.18637013915983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95427435387674"/>
                  <c:y val="0.00910391468331383"/>
                </c:manualLayout>
              </c:layout>
              <c:numFmt formatCode="General" sourceLinked="1"/>
              <c:spPr>
                <a:solidFill>
                  <a:schemeClr val="lt1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0" vertOverflow="clip" vert="horz" wrap="square" lIns="36576" tIns="18288" rIns="36576" bIns="18288" anchor="ctr" anchorCtr="1" forceAA="0"/>
                <a:lstStyle/>
                <a:p>
                  <a:pPr>
                    <a:defRPr lang="zh-CN" sz="1800" b="0" i="0" u="none" strike="noStrike" kern="1200" baseline="0">
                      <a:solidFill>
                        <a:schemeClr val="accent2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37972166998012"/>
                  <c:y val="-0.0299128625308883"/>
                </c:manualLayout>
              </c:layout>
              <c:numFmt formatCode="General" sourceLinked="1"/>
              <c:spPr>
                <a:solidFill>
                  <a:schemeClr val="lt1"/>
                </a:solidFill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0" vertOverflow="clip" vert="horz" wrap="square" lIns="36576" tIns="18288" rIns="36576" bIns="18288" anchor="ctr" anchorCtr="1" forceAA="0"/>
                <a:lstStyle/>
                <a:p>
                  <a:pPr>
                    <a:defRPr lang="zh-CN" sz="1800" b="0" i="0" u="none" strike="noStrike" kern="1200" baseline="0">
                      <a:solidFill>
                        <a:schemeClr val="accent3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168986083499006"/>
                  <c:y val="-0.0234100663285213"/>
                </c:manualLayout>
              </c:layout>
              <c:numFmt formatCode="General" sourceLinked="1"/>
              <c:spPr>
                <a:solidFill>
                  <a:schemeClr val="lt1"/>
                </a:solidFill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0" vertOverflow="clip" vert="horz" wrap="square" lIns="36576" tIns="18288" rIns="36576" bIns="18288" anchor="ctr" anchorCtr="1" forceAA="0"/>
                <a:lstStyle/>
                <a:p>
                  <a:pPr>
                    <a:defRPr lang="zh-CN" sz="1800" b="0" i="0" u="none" strike="noStrike" kern="1200" baseline="0">
                      <a:solidFill>
                        <a:schemeClr val="accent4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solidFill>
                <a:schemeClr val="lt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0" vertOverflow="clip" horzOverflow="clip" vert="horz" wrap="square" lIns="36576" tIns="18288" rIns="36576" bIns="18288" anchor="ctr" anchorCtr="1" forceAA="0">
                <a:spAutoFit/>
              </a:bodyPr>
              <a:lstStyle/>
              <a:p>
                <a:pPr>
                  <a:defRPr lang="zh-CN" sz="1800" b="0" i="0" u="none" strike="noStrike" kern="1200" baseline="0">
                    <a:solidFill>
                      <a:schemeClr val="accen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陆琳10莫!$B$38:$B$41</c:f>
              <c:strCache>
                <c:ptCount val="4"/>
                <c:pt idx="0" c:formatCode="0_ ">
                  <c:v>陆赫斯</c:v>
                </c:pt>
                <c:pt idx="1" c:formatCode="0_ ">
                  <c:v>琳奈</c:v>
                </c:pt>
                <c:pt idx="2" c:formatCode="0_ ">
                  <c:v>10莫宁</c:v>
                </c:pt>
                <c:pt idx="3" c:formatCode="0_ ">
                  <c:v>谐度破坏</c:v>
                </c:pt>
              </c:strCache>
            </c:strRef>
          </c:cat>
          <c:val>
            <c:numRef>
              <c:f>陆琳10莫!$C$38:$C$41</c:f>
              <c:numCache>
                <c:formatCode>0_ </c:formatCode>
                <c:ptCount val="4"/>
                <c:pt idx="0">
                  <c:v>1555018.75500914</c:v>
                </c:pt>
                <c:pt idx="1">
                  <c:v>389349.167697104</c:v>
                </c:pt>
                <c:pt idx="2">
                  <c:v>98724.4199519691</c:v>
                </c:pt>
                <c:pt idx="3">
                  <c:v>141048.185089974</c:v>
                </c:pt>
              </c:numCache>
            </c:numRef>
          </c:val>
        </c:ser>
        <c:ser>
          <c:idx val="1"/>
          <c:order val="1"/>
          <c:tx>
            <c:strRef>
              <c:f>陆琳10莫!$D$37</c:f>
              <c:strCache>
                <c:ptCount val="1"/>
                <c:pt idx="0">
                  <c:v>dps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陆琳10莫!$B$38:$B$41</c:f>
              <c:strCache>
                <c:ptCount val="4"/>
                <c:pt idx="0" c:formatCode="0_ ">
                  <c:v>陆赫斯</c:v>
                </c:pt>
                <c:pt idx="1" c:formatCode="0_ ">
                  <c:v>琳奈</c:v>
                </c:pt>
                <c:pt idx="2" c:formatCode="0_ ">
                  <c:v>10莫宁</c:v>
                </c:pt>
                <c:pt idx="3" c:formatCode="0_ ">
                  <c:v>谐度破坏</c:v>
                </c:pt>
              </c:strCache>
            </c:strRef>
          </c:cat>
          <c:val>
            <c:numRef>
              <c:f>陆琳10莫!$D$38:$D$41</c:f>
              <c:numCache>
                <c:formatCode>0_ </c:formatCode>
                <c:ptCount val="4"/>
                <c:pt idx="0">
                  <c:v>62200.7502003654</c:v>
                </c:pt>
                <c:pt idx="1">
                  <c:v>15573.9667078842</c:v>
                </c:pt>
                <c:pt idx="2">
                  <c:v>3948.97679807877</c:v>
                </c:pt>
                <c:pt idx="3">
                  <c:v>5641.92740359897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18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450850</xdr:colOff>
      <xdr:row>48</xdr:row>
      <xdr:rowOff>146050</xdr:rowOff>
    </xdr:from>
    <xdr:to>
      <xdr:col>19</xdr:col>
      <xdr:colOff>266700</xdr:colOff>
      <xdr:row>76</xdr:row>
      <xdr:rowOff>24765</xdr:rowOff>
    </xdr:to>
    <xdr:graphicFrame>
      <xdr:nvGraphicFramePr>
        <xdr:cNvPr id="2" name="图表 1" descr="7b0a202020202263686172745265734964223a20223530303731333037220a7d0a"/>
        <xdr:cNvGraphicFramePr/>
      </xdr:nvGraphicFramePr>
      <xdr:xfrm>
        <a:off x="7270750" y="9410700"/>
        <a:ext cx="6388100" cy="4882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topLeftCell="A29" workbookViewId="0">
      <selection activeCell="G55" sqref="G55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3365.6</v>
      </c>
      <c r="T3" s="23">
        <f t="shared" ref="T3:T15" si="1">S3/$C$4-1</f>
        <v>2.20533333333333</v>
      </c>
      <c r="U3" s="23">
        <f>IF(R3=$C$1,SUM($E$4:$E$9),SUM($E$4:$E$8))+60%</f>
        <v>2.6</v>
      </c>
      <c r="V3" s="24">
        <f t="shared" ref="V3:V15" si="2">1+$G$10*($I$10-1)</f>
        <v>2.3615</v>
      </c>
      <c r="W3" s="25">
        <f t="shared" ref="W3:W14" si="3">IF(R3=$C$1,$K$4+$K$5,$K$4)</f>
        <v>0.65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35050.3783363443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15%+25%+25%</f>
        <v>0.65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3365.6</v>
      </c>
      <c r="T4" s="40">
        <f t="shared" si="1"/>
        <v>2.20533333333333</v>
      </c>
      <c r="U4" s="40">
        <f t="shared" ref="U4:U13" si="8">IF(R4=$C$1,SUM($E$4:$E$9),SUM($E$4:$E$8))</f>
        <v>2</v>
      </c>
      <c r="V4" s="24">
        <f t="shared" si="2"/>
        <v>2.3615</v>
      </c>
      <c r="W4" s="41">
        <f t="shared" si="3"/>
        <v>0.65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39546.5003369479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v>0.2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3365.6</v>
      </c>
      <c r="T5" s="40">
        <f t="shared" si="1"/>
        <v>2.20533333333333</v>
      </c>
      <c r="U5" s="40">
        <f t="shared" si="8"/>
        <v>2.292</v>
      </c>
      <c r="V5" s="24">
        <f t="shared" si="2"/>
        <v>2.3615</v>
      </c>
      <c r="W5" s="41">
        <f t="shared" si="3"/>
        <v>0.85</v>
      </c>
      <c r="X5" s="26">
        <f t="shared" ref="X5:X14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27030.8169312718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3365.6</v>
      </c>
      <c r="T6" s="40">
        <f t="shared" si="1"/>
        <v>2.20533333333333</v>
      </c>
      <c r="U6" s="40">
        <f t="shared" si="8"/>
        <v>2.292</v>
      </c>
      <c r="V6" s="24">
        <f t="shared" si="2"/>
        <v>2.3615</v>
      </c>
      <c r="W6" s="41">
        <f t="shared" si="3"/>
        <v>0.85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71157.002593529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3365.6</v>
      </c>
      <c r="T7" s="40">
        <f t="shared" si="1"/>
        <v>2.20533333333333</v>
      </c>
      <c r="U7" s="40">
        <f t="shared" si="8"/>
        <v>2.292</v>
      </c>
      <c r="V7" s="24">
        <f t="shared" si="2"/>
        <v>2.3615</v>
      </c>
      <c r="W7" s="41">
        <f t="shared" si="3"/>
        <v>0.85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105733.491358731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</f>
        <v>0.55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3365.6</v>
      </c>
      <c r="T8" s="40">
        <f t="shared" si="1"/>
        <v>2.20533333333333</v>
      </c>
      <c r="U8" s="40">
        <f t="shared" si="8"/>
        <v>2.292</v>
      </c>
      <c r="V8" s="24">
        <f t="shared" si="2"/>
        <v>2.3615</v>
      </c>
      <c r="W8" s="41">
        <f t="shared" si="3"/>
        <v>0.85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73137.5062357263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3365.6</v>
      </c>
      <c r="T9" s="40">
        <f t="shared" si="1"/>
        <v>2.20533333333333</v>
      </c>
      <c r="U9" s="40">
        <f t="shared" si="8"/>
        <v>2.292</v>
      </c>
      <c r="V9" s="24">
        <f t="shared" si="2"/>
        <v>2.3615</v>
      </c>
      <c r="W9" s="41">
        <f t="shared" si="3"/>
        <v>0.85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0.18</v>
      </c>
      <c r="AC9" s="19">
        <f t="shared" si="6"/>
        <v>109325.917977172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3365.6</v>
      </c>
      <c r="T10" s="40">
        <f t="shared" si="1"/>
        <v>2.20533333333333</v>
      </c>
      <c r="U10" s="40">
        <f t="shared" si="8"/>
        <v>2.292</v>
      </c>
      <c r="V10" s="24">
        <f t="shared" si="2"/>
        <v>2.3615</v>
      </c>
      <c r="W10" s="41">
        <f t="shared" si="3"/>
        <v>0.85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0.18</v>
      </c>
      <c r="AC10" s="19">
        <f t="shared" si="6"/>
        <v>142124.187320163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3365.6</v>
      </c>
      <c r="T11" s="40">
        <f t="shared" si="1"/>
        <v>2.20533333333333</v>
      </c>
      <c r="U11" s="40">
        <f t="shared" si="8"/>
        <v>2.292</v>
      </c>
      <c r="V11" s="24">
        <f t="shared" si="2"/>
        <v>2.3615</v>
      </c>
      <c r="W11" s="41">
        <f t="shared" si="3"/>
        <v>0.85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0.18</v>
      </c>
      <c r="AC11" s="19">
        <f t="shared" si="6"/>
        <v>174912.577666365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3365.6</v>
      </c>
      <c r="T12" s="40">
        <f t="shared" si="1"/>
        <v>2.20533333333333</v>
      </c>
      <c r="U12" s="40">
        <f t="shared" si="8"/>
        <v>2.292</v>
      </c>
      <c r="V12" s="24">
        <f t="shared" si="2"/>
        <v>2.3615</v>
      </c>
      <c r="W12" s="41">
        <f t="shared" si="3"/>
        <v>0.85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0.18</v>
      </c>
      <c r="AC12" s="19">
        <f t="shared" si="6"/>
        <v>151593.205743434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3365.6</v>
      </c>
      <c r="T13" s="40">
        <f t="shared" si="1"/>
        <v>2.20533333333333</v>
      </c>
      <c r="U13" s="40">
        <f t="shared" si="8"/>
        <v>2.292</v>
      </c>
      <c r="V13" s="24">
        <f t="shared" si="2"/>
        <v>2.3615</v>
      </c>
      <c r="W13" s="41">
        <f t="shared" si="3"/>
        <v>0.85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0.18</v>
      </c>
      <c r="AC13" s="19">
        <f t="shared" si="6"/>
        <v>75796.6028717168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3365.6</v>
      </c>
      <c r="T14" s="40">
        <f t="shared" si="1"/>
        <v>2.20533333333333</v>
      </c>
      <c r="U14" s="40">
        <f>IF(R14=$C$1,SUM($E$4:$E$9),SUM($E$4:$E$8))+40%</f>
        <v>2.692</v>
      </c>
      <c r="V14" s="24">
        <f t="shared" si="2"/>
        <v>2.3615</v>
      </c>
      <c r="W14" s="41">
        <f t="shared" si="3"/>
        <v>0.85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0.18</v>
      </c>
      <c r="AC14" s="19">
        <f t="shared" si="6"/>
        <v>458911.745709961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3365.6</v>
      </c>
      <c r="T15" s="67">
        <f t="shared" si="1"/>
        <v>2.20533333333333</v>
      </c>
      <c r="U15" s="67">
        <f>IF(R15=$C$1,SUM($E$4:$E$9),SUM($E$4:$E$8))+$E$10</f>
        <v>2</v>
      </c>
      <c r="V15" s="68">
        <f t="shared" si="2"/>
        <v>2.3615</v>
      </c>
      <c r="W15" s="69">
        <f>IF(R15=$C$1,$K$4+$K$5,$K$4)+$K$6</f>
        <v>0.65</v>
      </c>
      <c r="X15" s="26">
        <f t="shared" ref="X15:X24" si="11"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90698.8219277738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2">$C$16*(1+$C$17+$C$18+$C$19+$C$20)+($C$21+$C$22)</f>
        <v>2586.086</v>
      </c>
      <c r="T16" s="78">
        <f t="shared" ref="T16:T24" si="13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4">1+$G$22*($I$22-1)</f>
        <v>2.3615</v>
      </c>
      <c r="W16" s="80">
        <f t="shared" ref="W16:W24" si="15">IF(R16=$C$1,$K$16+$K$17,$K$16)</f>
        <v>0.25</v>
      </c>
      <c r="X16" s="79">
        <f t="shared" si="11"/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19069.1032178336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2"/>
        <v>2586.086</v>
      </c>
      <c r="T17" s="84">
        <f t="shared" si="13"/>
        <v>1.68544755970924</v>
      </c>
      <c r="U17" s="84">
        <f>IF(R17=$C$13,SUM($E$16:$E$21),SUM($E$16:$E$20))-12%</f>
        <v>1.41</v>
      </c>
      <c r="V17" s="85">
        <f t="shared" si="14"/>
        <v>2.3615</v>
      </c>
      <c r="W17" s="86">
        <f t="shared" si="15"/>
        <v>0.25</v>
      </c>
      <c r="X17" s="85">
        <f t="shared" si="11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74206.6347640605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2"/>
        <v>2586.086</v>
      </c>
      <c r="T18" s="84">
        <f t="shared" si="13"/>
        <v>1.68544755970924</v>
      </c>
      <c r="U18" s="84">
        <f>IF(R18=$C$13,SUM($E$16:$E$21),SUM($E$16:$E$20))-6%</f>
        <v>1.47</v>
      </c>
      <c r="V18" s="85">
        <f t="shared" si="14"/>
        <v>2.3615</v>
      </c>
      <c r="W18" s="86">
        <f t="shared" si="15"/>
        <v>0.25</v>
      </c>
      <c r="X18" s="85">
        <f t="shared" si="11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24223.7707784049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2"/>
        <v>2586.086</v>
      </c>
      <c r="T19" s="84">
        <f t="shared" si="13"/>
        <v>1.68544755970924</v>
      </c>
      <c r="U19" s="84">
        <f t="shared" ref="U19:U24" si="18">IF(R19=$C$13,SUM($E$16:$E$21),SUM($E$16:$E$20))</f>
        <v>1.976</v>
      </c>
      <c r="V19" s="85">
        <f t="shared" si="14"/>
        <v>2.3615</v>
      </c>
      <c r="W19" s="86">
        <f t="shared" si="15"/>
        <v>0.25</v>
      </c>
      <c r="X19" s="85">
        <f t="shared" si="11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58194.349255567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2"/>
        <v>2586.086</v>
      </c>
      <c r="T20" s="84">
        <f t="shared" si="13"/>
        <v>1.68544755970924</v>
      </c>
      <c r="U20" s="84">
        <f t="shared" si="18"/>
        <v>1.976</v>
      </c>
      <c r="V20" s="85">
        <f t="shared" si="14"/>
        <v>2.3615</v>
      </c>
      <c r="W20" s="86">
        <f t="shared" si="15"/>
        <v>0.25</v>
      </c>
      <c r="X20" s="85">
        <f t="shared" si="11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32220.7895295061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2"/>
        <v>2586.086</v>
      </c>
      <c r="T21" s="84">
        <f t="shared" si="13"/>
        <v>1.68544755970924</v>
      </c>
      <c r="U21" s="84">
        <f t="shared" si="18"/>
        <v>1.976</v>
      </c>
      <c r="V21" s="85">
        <f t="shared" si="14"/>
        <v>2.3615</v>
      </c>
      <c r="W21" s="86">
        <f t="shared" si="15"/>
        <v>0.25</v>
      </c>
      <c r="X21" s="85">
        <f t="shared" si="11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127450.191925685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2"/>
        <v>2586.086</v>
      </c>
      <c r="T22" s="84">
        <f t="shared" si="13"/>
        <v>1.68544755970924</v>
      </c>
      <c r="U22" s="84">
        <f t="shared" si="18"/>
        <v>1.53</v>
      </c>
      <c r="V22" s="85">
        <f t="shared" si="14"/>
        <v>2.3615</v>
      </c>
      <c r="W22" s="86">
        <f t="shared" si="15"/>
        <v>0.25</v>
      </c>
      <c r="X22" s="85">
        <f t="shared" si="11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20714.9787732887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2"/>
        <v>2586.086</v>
      </c>
      <c r="T23" s="84">
        <f t="shared" si="13"/>
        <v>1.68544755970924</v>
      </c>
      <c r="U23" s="84">
        <f t="shared" si="18"/>
        <v>1.53</v>
      </c>
      <c r="V23" s="85">
        <f t="shared" si="14"/>
        <v>2.3615</v>
      </c>
      <c r="W23" s="86">
        <f t="shared" si="15"/>
        <v>0.25</v>
      </c>
      <c r="X23" s="85">
        <f t="shared" si="11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8905.07212332934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2"/>
        <v>2586.086</v>
      </c>
      <c r="T24" s="91">
        <f t="shared" si="13"/>
        <v>1.68544755970924</v>
      </c>
      <c r="U24" s="91">
        <f t="shared" si="18"/>
        <v>1.53</v>
      </c>
      <c r="V24" s="92">
        <f t="shared" si="14"/>
        <v>2.3615</v>
      </c>
      <c r="W24" s="93">
        <f t="shared" si="15"/>
        <v>0.25</v>
      </c>
      <c r="X24" s="92">
        <f t="shared" si="11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24364.2773294291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</f>
        <v>0.88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141048.185089974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0.88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3254.3501275887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0.88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4467.8910154444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0.88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2552.89717588052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0.88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5632.80681879597</v>
      </c>
    </row>
    <row r="36" s="1" customFormat="1" ht="15" spans="1:29">
      <c r="B36" s="126" t="s">
        <v>115</v>
      </c>
      <c r="C36" s="1" t="s">
        <v>116</v>
      </c>
      <c r="G36" s="2"/>
      <c r="N36" s="53"/>
      <c r="O36" s="121">
        <v>1</v>
      </c>
      <c r="P36" s="114" t="s">
        <v>117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1.052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78668.7390581741</v>
      </c>
    </row>
    <row r="37" s="1" customFormat="1" ht="17.5" spans="1:29">
      <c r="B37" s="127" t="s">
        <v>118</v>
      </c>
      <c r="C37" s="128" t="s">
        <v>119</v>
      </c>
      <c r="D37" s="128" t="s">
        <v>120</v>
      </c>
      <c r="E37" s="128" t="s">
        <v>121</v>
      </c>
      <c r="F37" s="128" t="s">
        <v>122</v>
      </c>
      <c r="G37" s="2"/>
      <c r="I37" s="129" t="s">
        <v>123</v>
      </c>
      <c r="J37" s="129" t="s">
        <v>120</v>
      </c>
      <c r="N37" s="53"/>
      <c r="O37" s="130">
        <v>1</v>
      </c>
      <c r="P37" s="114" t="s">
        <v>124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0.88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4147.73575608549</v>
      </c>
    </row>
    <row r="38" s="1" customFormat="1" ht="17.5" spans="1:29">
      <c r="B38" s="4" t="s">
        <v>3</v>
      </c>
      <c r="C38" s="131">
        <f>SUM(AC3:AC15)</f>
        <v>1555018.75500914</v>
      </c>
      <c r="D38" s="131">
        <f t="shared" ref="D38:D41" si="31">C38/$E$38</f>
        <v>62200.7502003654</v>
      </c>
      <c r="E38" s="132">
        <v>25</v>
      </c>
      <c r="F38" s="133">
        <f t="shared" ref="F38:F41" si="32">C38/$C$43</f>
        <v>0.711959114010094</v>
      </c>
      <c r="G38" s="2"/>
      <c r="I38" s="134" t="s">
        <v>125</v>
      </c>
      <c r="J38" s="134">
        <v>79055</v>
      </c>
      <c r="Q38" s="2"/>
      <c r="U38" s="2"/>
      <c r="V38" s="3"/>
      <c r="AB38" s="4"/>
      <c r="AC38" s="4"/>
    </row>
    <row r="39" s="1" customFormat="1" ht="17.5" spans="1:29">
      <c r="B39" s="4" t="s">
        <v>66</v>
      </c>
      <c r="C39" s="131">
        <f>SUM(AC16:AC24)</f>
        <v>389349.167697104</v>
      </c>
      <c r="D39" s="131">
        <f t="shared" si="31"/>
        <v>15573.9667078842</v>
      </c>
      <c r="E39" s="135"/>
      <c r="F39" s="133">
        <f t="shared" si="32"/>
        <v>0.178261958308387</v>
      </c>
      <c r="G39" s="2"/>
      <c r="I39" s="134" t="s">
        <v>126</v>
      </c>
      <c r="J39" s="134">
        <v>83210</v>
      </c>
      <c r="Q39" s="2"/>
      <c r="U39" s="2"/>
      <c r="V39" s="3"/>
      <c r="AB39" s="4"/>
      <c r="AC39" s="4"/>
    </row>
    <row r="40" s="1" customFormat="1" ht="17.5" spans="1:29">
      <c r="B40" s="4" t="s">
        <v>85</v>
      </c>
      <c r="C40" s="131">
        <f>SUM(AC32:AC37)+AC29</f>
        <v>98724.4199519691</v>
      </c>
      <c r="D40" s="131">
        <f t="shared" si="31"/>
        <v>3948.97679807877</v>
      </c>
      <c r="E40" s="136"/>
      <c r="F40" s="133">
        <f t="shared" si="32"/>
        <v>0.0452005805934807</v>
      </c>
      <c r="G40" s="2"/>
      <c r="I40" s="134" t="s">
        <v>116</v>
      </c>
      <c r="J40" s="134">
        <v>87366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141048.185089974</v>
      </c>
      <c r="D41" s="131">
        <f t="shared" si="31"/>
        <v>5641.92740359897</v>
      </c>
      <c r="E41" s="136"/>
      <c r="F41" s="133">
        <f t="shared" si="32"/>
        <v>0.0645783470880388</v>
      </c>
      <c r="G41" s="2"/>
      <c r="I41" s="134" t="s">
        <v>127</v>
      </c>
      <c r="J41" s="134">
        <v>91521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5" spans="1:29">
      <c r="B43" s="4" t="s">
        <v>128</v>
      </c>
      <c r="C43" s="137">
        <f>SUM(C38:C41)</f>
        <v>2184140.52774818</v>
      </c>
      <c r="D43" s="137">
        <f>C43/E38</f>
        <v>87365.6211099273</v>
      </c>
      <c r="E43" s="138"/>
      <c r="F43" s="139"/>
      <c r="G43" s="2"/>
      <c r="Q43" s="2"/>
      <c r="U43" s="2"/>
      <c r="V43" s="3"/>
      <c r="AB43" s="4"/>
      <c r="AC43" s="4"/>
    </row>
    <row r="44" s="1" customFormat="1" ht="15" spans="1:29">
      <c r="B44" s="4"/>
      <c r="C44" s="4"/>
      <c r="D44" s="4"/>
      <c r="G44" s="140"/>
      <c r="Q44" s="2"/>
      <c r="U44" s="2"/>
      <c r="V44" s="3"/>
      <c r="AB44" s="4"/>
      <c r="AC44" s="4"/>
    </row>
    <row r="45" s="1" customFormat="1" ht="15" spans="1:29">
      <c r="B45" s="141" t="s">
        <v>129</v>
      </c>
      <c r="C45" s="142"/>
      <c r="D45" s="142"/>
      <c r="E45" s="142"/>
      <c r="F45" s="143"/>
      <c r="G45" s="2"/>
      <c r="Q45" s="2"/>
      <c r="U45" s="2"/>
      <c r="V45" s="3"/>
      <c r="AB45" s="4"/>
      <c r="AC45" s="4"/>
    </row>
    <row r="46" s="1" customFormat="1" ht="15" spans="1:29">
      <c r="B46" s="144"/>
      <c r="C46" s="145"/>
      <c r="D46" s="145"/>
      <c r="E46" s="145"/>
      <c r="F46" s="146"/>
      <c r="G46" s="2"/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Q49" s="2"/>
      <c r="U49" s="2"/>
      <c r="V49" s="3"/>
      <c r="AB49" s="4"/>
      <c r="AC49" s="4"/>
    </row>
    <row r="50" s="1" customFormat="1" ht="15" spans="2:29">
      <c r="B50" s="153"/>
      <c r="C50" s="154" t="s">
        <v>133</v>
      </c>
      <c r="D50" s="154" t="s">
        <v>134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E58" s="1"/>
      <c r="F58" s="1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陆琳10莫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2026-02-25T15:58:00Z</dcterms:created>
  <dcterms:modified xsi:type="dcterms:W3CDTF">2026-02-25T17:35:00Z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F9FC99EEECD944E6B8463ED58B382D89_11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