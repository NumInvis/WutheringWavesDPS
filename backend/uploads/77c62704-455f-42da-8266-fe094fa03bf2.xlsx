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70" windowHeight="11480" firstSheet="4" activeTab="4"/>
  </bookViews>
  <sheets>
    <sheet name="拉表模板" sheetId="1" r:id="rId1"/>
    <sheet name="弗坎守" sheetId="2" r:id="rId2"/>
    <sheet name="弗坎莫" sheetId="3" r:id="rId3"/>
    <sheet name="210110" sheetId="4" r:id="rId4"/>
    <sheet name="610110" sheetId="5" r:id="rId5"/>
    <sheet name="650110" sheetId="7" r:id="rId6"/>
    <sheet name="610020" sheetId="6" r:id="rId7"/>
    <sheet name="610021" sheetId="8" r:id="rId8"/>
    <sheet name="610021攻击头" sheetId="9" r:id="rId9"/>
    <sheet name="620020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<sst xmlns="http://schemas.openxmlformats.org/spreadsheetml/2006/main" count="2608" uniqueCount="192">
  <si>
    <t>角色主类型</t>
  </si>
  <si>
    <t>a</t>
  </si>
  <si>
    <t>3C属伤数</t>
  </si>
  <si>
    <t>一号位</t>
  </si>
  <si>
    <t>次数</t>
  </si>
  <si>
    <t>动作</t>
  </si>
  <si>
    <t>倍率</t>
  </si>
  <si>
    <t>类型</t>
  </si>
  <si>
    <t>面板攻击</t>
  </si>
  <si>
    <t>攻击区</t>
  </si>
  <si>
    <t>加成区</t>
  </si>
  <si>
    <t>双爆区</t>
  </si>
  <si>
    <t>加深区</t>
  </si>
  <si>
    <t>防御区</t>
  </si>
  <si>
    <t>抗性区</t>
  </si>
  <si>
    <t>倍率提升</t>
  </si>
  <si>
    <t>易伤区</t>
  </si>
  <si>
    <t>独立乘区</t>
  </si>
  <si>
    <t>伤害</t>
  </si>
  <si>
    <t>计数1</t>
  </si>
  <si>
    <t>计数2</t>
  </si>
  <si>
    <t>无视防御</t>
  </si>
  <si>
    <t>减防</t>
  </si>
  <si>
    <t>怪物等级</t>
  </si>
  <si>
    <t>攻击</t>
  </si>
  <si>
    <t>暴击</t>
  </si>
  <si>
    <t>暴击伤害</t>
  </si>
  <si>
    <t>副词条</t>
  </si>
  <si>
    <t>白值</t>
  </si>
  <si>
    <t>3C声骸</t>
  </si>
  <si>
    <t>基础与固有</t>
  </si>
  <si>
    <t>全加深</t>
  </si>
  <si>
    <t>大攻击</t>
  </si>
  <si>
    <t>固有武器</t>
  </si>
  <si>
    <t>套装首位</t>
  </si>
  <si>
    <t>武器</t>
  </si>
  <si>
    <t>主类型加深</t>
  </si>
  <si>
    <t>共技伤害</t>
  </si>
  <si>
    <t>a123</t>
  </si>
  <si>
    <t>主副词条</t>
  </si>
  <si>
    <t>自拐属伤</t>
  </si>
  <si>
    <t>套装</t>
  </si>
  <si>
    <t>z</t>
  </si>
  <si>
    <t xml:space="preserve">自拐攻击 </t>
  </si>
  <si>
    <t>被拐属伤</t>
  </si>
  <si>
    <t>爆伤</t>
  </si>
  <si>
    <t>被拐攻击</t>
  </si>
  <si>
    <t>其他属伤</t>
  </si>
  <si>
    <t>共鸣链</t>
  </si>
  <si>
    <t>声骸固定攻击</t>
  </si>
  <si>
    <t>主类型加成</t>
  </si>
  <si>
    <t>队友</t>
  </si>
  <si>
    <t>额外固定攻击</t>
  </si>
  <si>
    <t>面板暴击率</t>
  </si>
  <si>
    <t>面板暴击伤害</t>
  </si>
  <si>
    <t>溢出暴击</t>
  </si>
  <si>
    <t>光抗</t>
  </si>
  <si>
    <t>暗抗</t>
  </si>
  <si>
    <t>风抗</t>
  </si>
  <si>
    <t>二号位</t>
  </si>
  <si>
    <t>雷抗</t>
  </si>
  <si>
    <t>冰抗</t>
  </si>
  <si>
    <t>火抗</t>
  </si>
  <si>
    <t>物抗</t>
  </si>
  <si>
    <t>三号位</t>
  </si>
  <si>
    <t>琳奈震谐</t>
  </si>
  <si>
    <t>震谐</t>
  </si>
  <si>
    <t>莫宁震谐</t>
  </si>
  <si>
    <t>20抗100级怪</t>
  </si>
  <si>
    <t>爱弥斯震谐</t>
  </si>
  <si>
    <t>总伤</t>
  </si>
  <si>
    <t>dps</t>
  </si>
  <si>
    <t>秒数</t>
  </si>
  <si>
    <t>占比</t>
  </si>
  <si>
    <t>谐度破坏</t>
  </si>
  <si>
    <t>谐破</t>
  </si>
  <si>
    <t>层数</t>
  </si>
  <si>
    <t>风蚀</t>
  </si>
  <si>
    <t>效应</t>
  </si>
  <si>
    <t>光躁</t>
  </si>
  <si>
    <t>霜渐</t>
  </si>
  <si>
    <t>聚爆</t>
  </si>
  <si>
    <t>合计</t>
  </si>
  <si>
    <t>e</t>
  </si>
  <si>
    <t>弗洛洛</t>
  </si>
  <si>
    <t>余响</t>
  </si>
  <si>
    <t>溢出</t>
  </si>
  <si>
    <t>弗变奏</t>
  </si>
  <si>
    <t>a3闪</t>
  </si>
  <si>
    <t>e加深</t>
  </si>
  <si>
    <t>A 闪</t>
  </si>
  <si>
    <t>q加深</t>
  </si>
  <si>
    <t>a123闪</t>
  </si>
  <si>
    <t>e加成</t>
  </si>
  <si>
    <t>q加成</t>
  </si>
  <si>
    <t>声骸技</t>
  </si>
  <si>
    <t>q</t>
  </si>
  <si>
    <t>弗</t>
  </si>
  <si>
    <t>坎</t>
  </si>
  <si>
    <t>谱曲终末基础</t>
  </si>
  <si>
    <t>坎特蕾拉</t>
  </si>
  <si>
    <t>谱曲终末附加</t>
  </si>
  <si>
    <t>赫卡忒（A）</t>
  </si>
  <si>
    <t>赫卡忒（延）</t>
  </si>
  <si>
    <t>普攻伤害</t>
  </si>
  <si>
    <t>赫卡忒（守）</t>
  </si>
  <si>
    <t>赫卡忒（坎）</t>
  </si>
  <si>
    <t>a加成</t>
  </si>
  <si>
    <t>赫卡忒普攻1+2</t>
  </si>
  <si>
    <t>坎变奏</t>
  </si>
  <si>
    <t>bz</t>
  </si>
  <si>
    <t>e1</t>
  </si>
  <si>
    <t>从</t>
  </si>
  <si>
    <t>弗第一次强变</t>
  </si>
  <si>
    <t>到</t>
  </si>
  <si>
    <t>坎第二次出延</t>
  </si>
  <si>
    <t>弗坎守4A8赫</t>
  </si>
  <si>
    <t>e2</t>
  </si>
  <si>
    <t>惊醒</t>
  </si>
  <si>
    <t>轻云套</t>
  </si>
  <si>
    <t>r</t>
  </si>
  <si>
    <t>守岸人</t>
  </si>
  <si>
    <t>强化a123</t>
  </si>
  <si>
    <t>e3</t>
  </si>
  <si>
    <t>a1</t>
  </si>
  <si>
    <t>掉buff统计</t>
  </si>
  <si>
    <t>从第一赫开始</t>
  </si>
  <si>
    <t>掉轻云</t>
  </si>
  <si>
    <t>掉坎延</t>
  </si>
  <si>
    <t>掉大锤</t>
  </si>
  <si>
    <t>声骸技能</t>
  </si>
  <si>
    <t>协同</t>
  </si>
  <si>
    <t>词条奖惩</t>
  </si>
  <si>
    <t>弗无共效需求</t>
  </si>
  <si>
    <t>14+1词</t>
  </si>
  <si>
    <t>坎需140%+</t>
  </si>
  <si>
    <t>14-3词</t>
  </si>
  <si>
    <t>莫宁</t>
  </si>
  <si>
    <t>赫卡忒（莫）</t>
  </si>
  <si>
    <t>10莫宁</t>
  </si>
  <si>
    <t>防御</t>
  </si>
  <si>
    <t>3防2暴3爆伤2共解</t>
  </si>
  <si>
    <t>基础</t>
  </si>
  <si>
    <t>固有和武器</t>
  </si>
  <si>
    <t>首位加成</t>
  </si>
  <si>
    <t>声骸</t>
  </si>
  <si>
    <t>声骸加深</t>
  </si>
  <si>
    <t>声骸和词条</t>
  </si>
  <si>
    <t>套装效果</t>
  </si>
  <si>
    <t>仇远</t>
  </si>
  <si>
    <t>共技加深</t>
  </si>
  <si>
    <t>其他buff</t>
  </si>
  <si>
    <t>共解</t>
  </si>
  <si>
    <t>队友buff</t>
  </si>
  <si>
    <t>武器效果</t>
  </si>
  <si>
    <t xml:space="preserve">                                                                             </t>
  </si>
  <si>
    <t>弗坎莫4A8赫</t>
  </si>
  <si>
    <t>奶套</t>
  </si>
  <si>
    <t>归敛</t>
  </si>
  <si>
    <t>aaa</t>
  </si>
  <si>
    <t>分布式阵列</t>
  </si>
  <si>
    <t>临界协议</t>
  </si>
  <si>
    <t>莫宁变奏</t>
  </si>
  <si>
    <t>回路1</t>
  </si>
  <si>
    <t>莫宁需5条</t>
  </si>
  <si>
    <t>14-4词</t>
  </si>
  <si>
    <t>坎需130%+</t>
  </si>
  <si>
    <t>14-2词</t>
  </si>
  <si>
    <t>重世</t>
  </si>
  <si>
    <t>01</t>
  </si>
  <si>
    <t>01弗坎10莫</t>
  </si>
  <si>
    <t>队dps</t>
  </si>
  <si>
    <t>队提升</t>
  </si>
  <si>
    <t>第二轮</t>
  </si>
  <si>
    <t>20莫</t>
  </si>
  <si>
    <t>21莫</t>
  </si>
  <si>
    <t>4C</t>
  </si>
  <si>
    <t>坎常驻</t>
  </si>
  <si>
    <t>14-1词</t>
  </si>
  <si>
    <t>攻击4C</t>
  </si>
  <si>
    <t>弗-坎-莫 配置</t>
  </si>
  <si>
    <t>全队dps基准</t>
  </si>
  <si>
    <t>基准</t>
  </si>
  <si>
    <t>加弗专</t>
  </si>
  <si>
    <t>加坎专</t>
  </si>
  <si>
    <t>610120</t>
  </si>
  <si>
    <t>加莫专</t>
  </si>
  <si>
    <t>4C选攻击主词条</t>
  </si>
  <si>
    <t>610020攻击头</t>
  </si>
  <si>
    <t>亏0.79%</t>
  </si>
  <si>
    <t>610021攻击头</t>
  </si>
  <si>
    <t>亏0.33%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</si>
</sst>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000_ "/>
    <numFmt numFmtId="179" formatCode="0.000%"/>
  </numFmts>
  <fonts count="32">
    <font>
      <sz val="11"/>
      <color theme="1"/>
      <name val="宋体"/>
      <charset val="134"/>
      <scheme val="minor"/>
    </font>
    <font>
      <b/>
      <i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b/>
      <i/>
      <sz val="12"/>
      <color theme="5" tint="-0.5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i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6" borderId="2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7" borderId="25" applyNumberFormat="0" applyAlignment="0" applyProtection="0">
      <alignment vertical="center"/>
    </xf>
    <xf numFmtId="0" fontId="22" fillId="18" borderId="26" applyNumberFormat="0" applyAlignment="0" applyProtection="0">
      <alignment vertical="center"/>
    </xf>
    <xf numFmtId="0" fontId="23" fillId="18" borderId="25" applyNumberFormat="0" applyAlignment="0" applyProtection="0">
      <alignment vertical="center"/>
    </xf>
    <xf numFmtId="0" fontId="24" fillId="19" borderId="27" applyNumberFormat="0" applyAlignment="0" applyProtection="0">
      <alignment vertical="center"/>
    </xf>
    <xf numFmtId="0" fontId="25" fillId="0" borderId="28" applyNumberFormat="0" applyFill="0" applyAlignment="0" applyProtection="0">
      <alignment vertical="center"/>
    </xf>
    <xf numFmtId="0" fontId="26" fillId="0" borderId="29" applyNumberFormat="0" applyFill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</cellStyleXfs>
  <cellXfs count="242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10" fontId="2" fillId="0" borderId="5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178" fontId="2" fillId="0" borderId="5" xfId="0" applyNumberFormat="1" applyFont="1" applyFill="1" applyBorder="1" applyAlignment="1">
      <alignment horizontal="center" vertical="center"/>
    </xf>
    <xf numFmtId="177" fontId="2" fillId="0" borderId="5" xfId="0" applyNumberFormat="1" applyFont="1" applyFill="1" applyBorder="1" applyAlignment="1">
      <alignment horizontal="center" vertical="center"/>
    </xf>
    <xf numFmtId="177" fontId="2" fillId="0" borderId="7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78" fontId="0" fillId="6" borderId="0" xfId="0" applyNumberFormat="1" applyFill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7" fontId="4" fillId="6" borderId="6" xfId="0" applyNumberFormat="1" applyFon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77" fontId="3" fillId="0" borderId="2" xfId="0" applyNumberFormat="1" applyFont="1" applyFill="1" applyBorder="1" applyAlignment="1">
      <alignment horizontal="center" vertical="center"/>
    </xf>
    <xf numFmtId="10" fontId="3" fillId="0" borderId="2" xfId="0" applyNumberFormat="1" applyFont="1" applyFill="1" applyBorder="1" applyAlignment="1">
      <alignment horizontal="center" vertical="center"/>
    </xf>
    <xf numFmtId="178" fontId="3" fillId="0" borderId="2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/>
    </xf>
    <xf numFmtId="9" fontId="3" fillId="0" borderId="2" xfId="0" applyNumberFormat="1" applyFont="1" applyFill="1" applyBorder="1" applyAlignment="1">
      <alignment horizontal="center" vertical="center"/>
    </xf>
    <xf numFmtId="9" fontId="3" fillId="0" borderId="3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77" fontId="0" fillId="6" borderId="0" xfId="0" applyNumberFormat="1" applyFill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9" fontId="0" fillId="0" borderId="11" xfId="0" applyNumberFormat="1" applyFill="1" applyBorder="1" applyAlignment="1">
      <alignment horizontal="center" vertical="center"/>
    </xf>
    <xf numFmtId="10" fontId="0" fillId="0" borderId="11" xfId="0" applyNumberFormat="1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9" fontId="0" fillId="0" borderId="3" xfId="0" applyNumberForma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10" fontId="0" fillId="7" borderId="10" xfId="0" applyNumberForma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10" fontId="3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178" fontId="3" fillId="0" borderId="0" xfId="0" applyNumberFormat="1" applyFont="1" applyFill="1" applyBorder="1" applyAlignment="1">
      <alignment horizontal="center" vertical="center"/>
    </xf>
    <xf numFmtId="9" fontId="3" fillId="0" borderId="0" xfId="0" applyNumberFormat="1" applyFont="1" applyFill="1" applyBorder="1" applyAlignment="1">
      <alignment horizontal="center" vertical="center"/>
    </xf>
    <xf numFmtId="9" fontId="3" fillId="0" borderId="11" xfId="0" applyNumberFormat="1" applyFont="1" applyFill="1" applyBorder="1" applyAlignment="1">
      <alignment horizontal="center" vertical="center"/>
    </xf>
    <xf numFmtId="10" fontId="0" fillId="0" borderId="10" xfId="0" applyNumberFormat="1" applyFill="1" applyBorder="1" applyAlignment="1">
      <alignment horizontal="center" vertical="center"/>
    </xf>
    <xf numFmtId="9" fontId="0" fillId="0" borderId="11" xfId="0" applyNumberFormat="1" applyFont="1" applyFill="1" applyBorder="1" applyAlignment="1" applyProtection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9" fontId="0" fillId="0" borderId="13" xfId="0" applyNumberFormat="1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10" fontId="0" fillId="8" borderId="13" xfId="0" applyNumberFormat="1" applyFill="1" applyBorder="1" applyAlignment="1">
      <alignment horizontal="center" vertical="center"/>
    </xf>
    <xf numFmtId="10" fontId="0" fillId="0" borderId="12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10" fontId="0" fillId="0" borderId="9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0" fontId="0" fillId="0" borderId="0" xfId="0" applyNumberFormat="1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0" fontId="0" fillId="0" borderId="3" xfId="0" applyNumberFormat="1" applyFill="1" applyBorder="1" applyAlignment="1">
      <alignment horizontal="center" vertical="center"/>
    </xf>
    <xf numFmtId="179" fontId="0" fillId="0" borderId="11" xfId="0" applyNumberFormat="1" applyFill="1" applyBorder="1" applyAlignment="1">
      <alignment horizontal="center" vertical="center"/>
    </xf>
    <xf numFmtId="9" fontId="3" fillId="0" borderId="13" xfId="0" applyNumberFormat="1" applyFont="1" applyFill="1" applyBorder="1" applyAlignment="1">
      <alignment horizontal="center" vertical="center"/>
    </xf>
    <xf numFmtId="10" fontId="0" fillId="0" borderId="13" xfId="0" applyNumberFormat="1" applyFill="1" applyBorder="1" applyAlignment="1">
      <alignment horizontal="center" vertical="center"/>
    </xf>
    <xf numFmtId="0" fontId="5" fillId="0" borderId="0" xfId="0" applyFont="1" applyFill="1" applyAlignment="1"/>
    <xf numFmtId="0" fontId="6" fillId="10" borderId="6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9" fontId="5" fillId="0" borderId="11" xfId="0" applyNumberFormat="1" applyFont="1" applyFill="1" applyBorder="1" applyAlignment="1">
      <alignment horizontal="center" vertical="center"/>
    </xf>
    <xf numFmtId="10" fontId="5" fillId="0" borderId="11" xfId="0" applyNumberFormat="1" applyFont="1" applyFill="1" applyBorder="1" applyAlignment="1">
      <alignment horizontal="center" vertical="center"/>
    </xf>
    <xf numFmtId="9" fontId="5" fillId="0" borderId="10" xfId="0" applyNumberFormat="1" applyFont="1" applyFill="1" applyBorder="1" applyAlignment="1">
      <alignment horizontal="center" vertical="center"/>
    </xf>
    <xf numFmtId="10" fontId="0" fillId="7" borderId="12" xfId="0" applyNumberForma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10" fontId="3" fillId="0" borderId="15" xfId="0" applyNumberFormat="1" applyFont="1" applyFill="1" applyBorder="1" applyAlignment="1">
      <alignment horizontal="center" vertical="center"/>
    </xf>
    <xf numFmtId="0" fontId="3" fillId="0" borderId="15" xfId="0" applyNumberFormat="1" applyFont="1" applyFill="1" applyBorder="1" applyAlignment="1" applyProtection="1">
      <alignment horizontal="center" vertical="center"/>
    </xf>
    <xf numFmtId="178" fontId="3" fillId="0" borderId="15" xfId="0" applyNumberFormat="1" applyFont="1" applyFill="1" applyBorder="1" applyAlignment="1">
      <alignment horizontal="center" vertical="center"/>
    </xf>
    <xf numFmtId="9" fontId="3" fillId="0" borderId="15" xfId="0" applyNumberFormat="1" applyFont="1" applyFill="1" applyBorder="1" applyAlignment="1">
      <alignment horizontal="center" vertical="center"/>
    </xf>
    <xf numFmtId="10" fontId="5" fillId="0" borderId="0" xfId="0" applyNumberFormat="1" applyFont="1" applyFill="1" applyAlignment="1"/>
    <xf numFmtId="10" fontId="5" fillId="0" borderId="10" xfId="0" applyNumberFormat="1" applyFont="1" applyFill="1" applyBorder="1" applyAlignment="1">
      <alignment horizontal="center" vertical="center"/>
    </xf>
    <xf numFmtId="177" fontId="2" fillId="11" borderId="9" xfId="0" applyNumberFormat="1" applyFont="1" applyFill="1" applyBorder="1" applyAlignment="1">
      <alignment horizontal="center" vertical="center"/>
    </xf>
    <xf numFmtId="10" fontId="0" fillId="0" borderId="1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7" fontId="0" fillId="0" borderId="2" xfId="0" applyNumberFormat="1" applyFill="1" applyBorder="1" applyAlignment="1">
      <alignment horizontal="center" vertical="center"/>
    </xf>
    <xf numFmtId="10" fontId="0" fillId="0" borderId="2" xfId="0" applyNumberFormat="1" applyFill="1" applyBorder="1" applyAlignment="1">
      <alignment horizontal="center" vertical="center"/>
    </xf>
    <xf numFmtId="178" fontId="0" fillId="0" borderId="2" xfId="0" applyNumberFormat="1" applyFill="1" applyBorder="1" applyAlignment="1">
      <alignment horizontal="center" vertical="center"/>
    </xf>
    <xf numFmtId="0" fontId="0" fillId="0" borderId="2" xfId="0" applyNumberFormat="1" applyFont="1" applyFill="1" applyBorder="1" applyAlignment="1" applyProtection="1">
      <alignment horizontal="center" vertical="center"/>
    </xf>
    <xf numFmtId="9" fontId="0" fillId="0" borderId="2" xfId="0" applyNumberFormat="1" applyFill="1" applyBorder="1" applyAlignment="1">
      <alignment horizontal="center" vertical="center"/>
    </xf>
    <xf numFmtId="177" fontId="2" fillId="11" borderId="6" xfId="0" applyNumberFormat="1" applyFon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177" fontId="0" fillId="0" borderId="0" xfId="0" applyNumberFormat="1" applyFill="1" applyBorder="1" applyAlignment="1">
      <alignment horizontal="center" vertical="center"/>
    </xf>
    <xf numFmtId="10" fontId="0" fillId="0" borderId="0" xfId="0" applyNumberFormat="1" applyFill="1" applyBorder="1" applyAlignment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9" fontId="0" fillId="0" borderId="0" xfId="0" applyNumberFormat="1" applyFill="1" applyBorder="1" applyAlignment="1">
      <alignment horizontal="center" vertical="center"/>
    </xf>
    <xf numFmtId="179" fontId="5" fillId="0" borderId="11" xfId="0" applyNumberFormat="1" applyFont="1" applyFill="1" applyBorder="1" applyAlignment="1">
      <alignment horizontal="center" vertical="center"/>
    </xf>
    <xf numFmtId="9" fontId="5" fillId="0" borderId="0" xfId="0" applyNumberFormat="1" applyFont="1" applyFill="1" applyAlignment="1"/>
    <xf numFmtId="0" fontId="5" fillId="8" borderId="10" xfId="0" applyFont="1" applyFill="1" applyBorder="1" applyAlignment="1">
      <alignment horizontal="center" vertical="center"/>
    </xf>
    <xf numFmtId="10" fontId="5" fillId="8" borderId="11" xfId="0" applyNumberFormat="1" applyFont="1" applyFill="1" applyBorder="1" applyAlignment="1">
      <alignment horizontal="center" vertical="center"/>
    </xf>
    <xf numFmtId="9" fontId="5" fillId="8" borderId="11" xfId="0" applyNumberFormat="1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9" fontId="5" fillId="0" borderId="13" xfId="0" applyNumberFormat="1" applyFont="1" applyFill="1" applyBorder="1" applyAlignment="1">
      <alignment horizontal="center" vertical="center"/>
    </xf>
    <xf numFmtId="10" fontId="5" fillId="0" borderId="13" xfId="0" applyNumberFormat="1" applyFont="1" applyFill="1" applyBorder="1" applyAlignment="1">
      <alignment horizontal="center" vertical="center"/>
    </xf>
    <xf numFmtId="10" fontId="5" fillId="0" borderId="12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0" fontId="5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7" fillId="0" borderId="0" xfId="0" applyFont="1" applyFill="1" applyAlignment="1">
      <alignment vertical="center"/>
    </xf>
    <xf numFmtId="10" fontId="0" fillId="0" borderId="0" xfId="0" applyNumberForma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0" fillId="12" borderId="0" xfId="0" applyFont="1" applyFill="1" applyAlignment="1">
      <alignment horizontal="center" vertical="center"/>
    </xf>
    <xf numFmtId="177" fontId="7" fillId="0" borderId="0" xfId="0" applyNumberFormat="1" applyFont="1" applyFill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0" fontId="7" fillId="0" borderId="0" xfId="0" applyNumberFormat="1" applyFont="1" applyFill="1" applyBorder="1" applyAlignment="1">
      <alignment horizontal="center" vertical="center"/>
    </xf>
    <xf numFmtId="10" fontId="7" fillId="0" borderId="0" xfId="0" applyNumberFormat="1" applyFont="1" applyFill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177" fontId="0" fillId="0" borderId="15" xfId="0" applyNumberFormat="1" applyFill="1" applyBorder="1" applyAlignment="1">
      <alignment horizontal="center" vertical="center"/>
    </xf>
    <xf numFmtId="10" fontId="0" fillId="0" borderId="15" xfId="0" applyNumberFormat="1" applyFill="1" applyBorder="1" applyAlignment="1">
      <alignment horizontal="center" vertical="center"/>
    </xf>
    <xf numFmtId="178" fontId="0" fillId="0" borderId="15" xfId="0" applyNumberFormat="1" applyFill="1" applyBorder="1" applyAlignment="1">
      <alignment horizontal="center" vertical="center"/>
    </xf>
    <xf numFmtId="0" fontId="0" fillId="0" borderId="15" xfId="0" applyNumberFormat="1" applyFont="1" applyFill="1" applyBorder="1" applyAlignment="1" applyProtection="1">
      <alignment horizontal="center" vertical="center"/>
    </xf>
    <xf numFmtId="9" fontId="0" fillId="0" borderId="15" xfId="0" applyNumberForma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0" fontId="0" fillId="11" borderId="0" xfId="0" applyNumberForma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177" fontId="2" fillId="9" borderId="6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0" fontId="2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10" fontId="10" fillId="0" borderId="0" xfId="0" applyNumberFormat="1" applyFont="1" applyFill="1" applyAlignment="1">
      <alignment horizontal="center" vertical="center"/>
    </xf>
    <xf numFmtId="10" fontId="0" fillId="0" borderId="18" xfId="0" applyNumberFormat="1" applyFill="1" applyBorder="1" applyAlignment="1">
      <alignment horizontal="center" vertical="center"/>
    </xf>
    <xf numFmtId="178" fontId="0" fillId="0" borderId="18" xfId="0" applyNumberFormat="1" applyFill="1" applyBorder="1" applyAlignment="1">
      <alignment horizontal="center" vertical="center"/>
    </xf>
    <xf numFmtId="0" fontId="0" fillId="0" borderId="18" xfId="0" applyNumberFormat="1" applyFont="1" applyFill="1" applyBorder="1" applyAlignment="1" applyProtection="1">
      <alignment horizontal="center" vertical="center"/>
    </xf>
    <xf numFmtId="9" fontId="0" fillId="0" borderId="18" xfId="0" applyNumberFormat="1" applyFill="1" applyBorder="1" applyAlignment="1">
      <alignment horizontal="center" vertical="center"/>
    </xf>
    <xf numFmtId="177" fontId="2" fillId="13" borderId="9" xfId="0" applyNumberFormat="1" applyFont="1" applyFill="1" applyBorder="1" applyAlignment="1">
      <alignment horizontal="center" vertical="center"/>
    </xf>
    <xf numFmtId="10" fontId="11" fillId="12" borderId="0" xfId="0" applyNumberFormat="1" applyFont="1" applyFill="1" applyAlignment="1">
      <alignment horizontal="center" vertical="center"/>
    </xf>
    <xf numFmtId="177" fontId="7" fillId="11" borderId="1" xfId="0" applyNumberFormat="1" applyFont="1" applyFill="1" applyBorder="1" applyAlignment="1">
      <alignment horizontal="center" vertical="center"/>
    </xf>
    <xf numFmtId="177" fontId="7" fillId="0" borderId="2" xfId="0" applyNumberFormat="1" applyFont="1" applyFill="1" applyBorder="1" applyAlignment="1">
      <alignment horizontal="center" vertical="center" wrapText="1"/>
    </xf>
    <xf numFmtId="177" fontId="7" fillId="0" borderId="3" xfId="0" applyNumberFormat="1" applyFont="1" applyFill="1" applyBorder="1" applyAlignment="1">
      <alignment horizontal="center" vertical="center" wrapText="1"/>
    </xf>
    <xf numFmtId="49" fontId="10" fillId="0" borderId="0" xfId="0" applyNumberFormat="1" applyFont="1" applyFill="1" applyAlignment="1">
      <alignment horizontal="center" vertical="center"/>
    </xf>
    <xf numFmtId="177" fontId="2" fillId="7" borderId="6" xfId="0" applyNumberFormat="1" applyFont="1" applyFill="1" applyBorder="1" applyAlignment="1">
      <alignment horizontal="center" vertical="center"/>
    </xf>
    <xf numFmtId="177" fontId="7" fillId="11" borderId="12" xfId="0" applyNumberFormat="1" applyFont="1" applyFill="1" applyBorder="1" applyAlignment="1">
      <alignment horizontal="center" vertical="center"/>
    </xf>
    <xf numFmtId="177" fontId="7" fillId="0" borderId="15" xfId="0" applyNumberFormat="1" applyFont="1" applyFill="1" applyBorder="1" applyAlignment="1">
      <alignment horizontal="center" vertical="center" wrapText="1"/>
    </xf>
    <xf numFmtId="177" fontId="7" fillId="0" borderId="13" xfId="0" applyNumberFormat="1" applyFont="1" applyFill="1" applyBorder="1" applyAlignment="1">
      <alignment horizontal="center" vertical="center" wrapText="1"/>
    </xf>
    <xf numFmtId="0" fontId="0" fillId="0" borderId="0" xfId="0" applyFill="1" applyAlignment="1"/>
    <xf numFmtId="0" fontId="7" fillId="9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77" fontId="0" fillId="0" borderId="3" xfId="0" applyNumberForma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177" fontId="0" fillId="0" borderId="11" xfId="0" applyNumberFormat="1" applyFill="1" applyBorder="1" applyAlignment="1">
      <alignment horizontal="center" vertical="center"/>
    </xf>
    <xf numFmtId="0" fontId="7" fillId="9" borderId="12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177" fontId="7" fillId="0" borderId="0" xfId="0" applyNumberFormat="1" applyFont="1" applyFill="1" applyAlignment="1">
      <alignment vertical="center" wrapText="1"/>
    </xf>
    <xf numFmtId="49" fontId="0" fillId="0" borderId="0" xfId="0" applyNumberForma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0" fillId="0" borderId="11" xfId="0" applyNumberFormat="1" applyFont="1" applyFill="1" applyBorder="1" applyAlignment="1" applyProtection="1">
      <alignment horizontal="center" vertical="center"/>
    </xf>
    <xf numFmtId="0" fontId="5" fillId="0" borderId="11" xfId="0" applyNumberFormat="1" applyFont="1" applyFill="1" applyBorder="1" applyAlignment="1">
      <alignment horizontal="center" vertical="center"/>
    </xf>
    <xf numFmtId="177" fontId="3" fillId="0" borderId="15" xfId="0" applyNumberFormat="1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10" fontId="2" fillId="0" borderId="20" xfId="0" applyNumberFormat="1" applyFont="1" applyFill="1" applyBorder="1" applyAlignment="1">
      <alignment horizontal="center" vertical="center"/>
    </xf>
    <xf numFmtId="178" fontId="2" fillId="0" borderId="20" xfId="0" applyNumberFormat="1" applyFont="1" applyFill="1" applyBorder="1" applyAlignment="1">
      <alignment horizontal="center" vertical="center"/>
    </xf>
    <xf numFmtId="177" fontId="2" fillId="0" borderId="20" xfId="0" applyNumberFormat="1" applyFont="1" applyFill="1" applyBorder="1" applyAlignment="1">
      <alignment horizontal="center" vertical="center"/>
    </xf>
    <xf numFmtId="177" fontId="2" fillId="0" borderId="21" xfId="0" applyNumberFormat="1" applyFont="1" applyFill="1" applyBorder="1" applyAlignment="1">
      <alignment horizontal="center" vertical="center"/>
    </xf>
    <xf numFmtId="177" fontId="4" fillId="6" borderId="17" xfId="0" applyNumberFormat="1" applyFont="1" applyFill="1" applyBorder="1" applyAlignment="1">
      <alignment horizontal="center" vertical="center"/>
    </xf>
    <xf numFmtId="9" fontId="0" fillId="0" borderId="10" xfId="0" applyNumberFormat="1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177" fontId="4" fillId="6" borderId="14" xfId="0" applyNumberFormat="1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7" fontId="2" fillId="15" borderId="6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177" fontId="0" fillId="0" borderId="2" xfId="0" applyNumberFormat="1" applyFont="1" applyFill="1" applyBorder="1" applyAlignment="1">
      <alignment horizontal="center" vertical="center"/>
    </xf>
    <xf numFmtId="10" fontId="0" fillId="0" borderId="2" xfId="0" applyNumberFormat="1" applyFont="1" applyFill="1" applyBorder="1" applyAlignment="1">
      <alignment horizontal="center" vertical="center"/>
    </xf>
    <xf numFmtId="178" fontId="0" fillId="0" borderId="2" xfId="0" applyNumberFormat="1" applyFont="1" applyFill="1" applyBorder="1" applyAlignment="1">
      <alignment horizontal="center" vertical="center"/>
    </xf>
    <xf numFmtId="9" fontId="0" fillId="0" borderId="2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10" fontId="0" fillId="0" borderId="0" xfId="0" applyNumberFormat="1" applyFont="1" applyFill="1" applyBorder="1" applyAlignment="1">
      <alignment horizontal="center" vertical="center"/>
    </xf>
    <xf numFmtId="178" fontId="0" fillId="0" borderId="0" xfId="0" applyNumberFormat="1" applyFont="1" applyFill="1" applyBorder="1" applyAlignment="1">
      <alignment horizontal="center" vertical="center"/>
    </xf>
    <xf numFmtId="9" fontId="0" fillId="0" borderId="0" xfId="0" applyNumberFormat="1" applyFont="1" applyFill="1" applyBorder="1" applyAlignment="1">
      <alignment horizontal="center" vertical="center"/>
    </xf>
    <xf numFmtId="0" fontId="2" fillId="15" borderId="0" xfId="0" applyFont="1" applyFill="1" applyBorder="1" applyAlignment="1">
      <alignment horizontal="center" vertical="center"/>
    </xf>
    <xf numFmtId="176" fontId="0" fillId="0" borderId="0" xfId="0" applyNumberFormat="1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10" fontId="0" fillId="0" borderId="15" xfId="0" applyNumberFormat="1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 vertical="center"/>
    </xf>
    <xf numFmtId="176" fontId="0" fillId="0" borderId="15" xfId="0" applyNumberFormat="1" applyFont="1" applyFill="1" applyBorder="1" applyAlignment="1">
      <alignment horizontal="center" vertical="center"/>
    </xf>
    <xf numFmtId="177" fontId="0" fillId="0" borderId="15" xfId="0" applyNumberFormat="1" applyFont="1" applyFill="1" applyBorder="1" applyAlignment="1">
      <alignment horizontal="center" vertical="center"/>
    </xf>
    <xf numFmtId="177" fontId="2" fillId="9" borderId="14" xfId="0" applyNumberFormat="1" applyFont="1" applyFill="1" applyBorder="1" applyAlignment="1">
      <alignment horizontal="center" vertical="center"/>
    </xf>
    <xf numFmtId="9" fontId="0" fillId="0" borderId="9" xfId="0" applyNumberFormat="1" applyFill="1" applyBorder="1" applyAlignment="1">
      <alignment horizontal="center" vertical="center"/>
    </xf>
    <xf numFmtId="177" fontId="2" fillId="13" borderId="6" xfId="0" applyNumberFormat="1" applyFont="1" applyFill="1" applyBorder="1" applyAlignment="1">
      <alignment horizontal="center" vertical="center"/>
    </xf>
    <xf numFmtId="176" fontId="0" fillId="0" borderId="2" xfId="0" applyNumberFormat="1" applyFont="1" applyFill="1" applyBorder="1" applyAlignment="1">
      <alignment horizontal="center" vertical="center"/>
    </xf>
    <xf numFmtId="177" fontId="0" fillId="0" borderId="3" xfId="0" applyNumberFormat="1" applyFont="1" applyFill="1" applyBorder="1" applyAlignment="1">
      <alignment horizontal="center" vertical="center"/>
    </xf>
    <xf numFmtId="0" fontId="0" fillId="14" borderId="0" xfId="0" applyFill="1" applyBorder="1" applyAlignment="1">
      <alignment horizontal="center" vertical="center"/>
    </xf>
    <xf numFmtId="10" fontId="0" fillId="14" borderId="0" xfId="0" applyNumberFormat="1" applyFill="1" applyBorder="1" applyAlignment="1">
      <alignment horizontal="center" vertical="center" wrapText="1"/>
    </xf>
    <xf numFmtId="177" fontId="0" fillId="14" borderId="0" xfId="0" applyNumberFormat="1" applyFill="1" applyBorder="1" applyAlignment="1">
      <alignment horizontal="center" vertical="center"/>
    </xf>
    <xf numFmtId="10" fontId="0" fillId="14" borderId="0" xfId="0" applyNumberFormat="1" applyFill="1" applyBorder="1" applyAlignment="1">
      <alignment horizontal="center" vertical="center"/>
    </xf>
    <xf numFmtId="178" fontId="0" fillId="14" borderId="0" xfId="0" applyNumberFormat="1" applyFill="1" applyBorder="1" applyAlignment="1">
      <alignment horizontal="center" vertical="center"/>
    </xf>
    <xf numFmtId="0" fontId="0" fillId="14" borderId="0" xfId="0" applyNumberFormat="1" applyFont="1" applyFill="1" applyBorder="1" applyAlignment="1" applyProtection="1">
      <alignment horizontal="center" vertical="center"/>
    </xf>
    <xf numFmtId="9" fontId="0" fillId="14" borderId="0" xfId="0" applyNumberFormat="1" applyFill="1" applyBorder="1" applyAlignment="1">
      <alignment horizontal="center" vertical="center"/>
    </xf>
    <xf numFmtId="177" fontId="2" fillId="14" borderId="11" xfId="0" applyNumberFormat="1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10" fontId="0" fillId="3" borderId="0" xfId="0" applyNumberFormat="1" applyFill="1" applyBorder="1" applyAlignment="1">
      <alignment horizontal="center" vertical="center" wrapText="1"/>
    </xf>
    <xf numFmtId="177" fontId="0" fillId="3" borderId="0" xfId="0" applyNumberFormat="1" applyFill="1" applyBorder="1" applyAlignment="1">
      <alignment horizontal="center" vertical="center"/>
    </xf>
    <xf numFmtId="10" fontId="0" fillId="3" borderId="0" xfId="0" applyNumberFormat="1" applyFill="1" applyBorder="1" applyAlignment="1">
      <alignment horizontal="center" vertical="center"/>
    </xf>
    <xf numFmtId="178" fontId="0" fillId="3" borderId="0" xfId="0" applyNumberFormat="1" applyFill="1" applyBorder="1" applyAlignment="1">
      <alignment horizontal="center" vertical="center"/>
    </xf>
    <xf numFmtId="0" fontId="0" fillId="3" borderId="0" xfId="0" applyNumberFormat="1" applyFont="1" applyFill="1" applyBorder="1" applyAlignment="1" applyProtection="1">
      <alignment horizontal="center" vertical="center"/>
    </xf>
    <xf numFmtId="9" fontId="0" fillId="3" borderId="0" xfId="0" applyNumberFormat="1" applyFill="1" applyBorder="1" applyAlignment="1">
      <alignment horizontal="center" vertical="center"/>
    </xf>
    <xf numFmtId="177" fontId="2" fillId="3" borderId="11" xfId="0" applyNumberFormat="1" applyFont="1" applyFill="1" applyBorder="1" applyAlignment="1">
      <alignment horizontal="center" vertical="center"/>
    </xf>
    <xf numFmtId="10" fontId="0" fillId="2" borderId="0" xfId="0" applyNumberFormat="1" applyFill="1" applyBorder="1" applyAlignment="1">
      <alignment horizontal="center" vertical="center" wrapText="1"/>
    </xf>
    <xf numFmtId="177" fontId="0" fillId="2" borderId="0" xfId="0" applyNumberFormat="1" applyFill="1" applyBorder="1" applyAlignment="1">
      <alignment horizontal="center" vertical="center"/>
    </xf>
    <xf numFmtId="10" fontId="0" fillId="2" borderId="0" xfId="0" applyNumberFormat="1" applyFill="1" applyBorder="1" applyAlignment="1">
      <alignment horizontal="center" vertical="center"/>
    </xf>
    <xf numFmtId="178" fontId="0" fillId="2" borderId="0" xfId="0" applyNumberFormat="1" applyFill="1" applyBorder="1" applyAlignment="1">
      <alignment horizontal="center" vertical="center"/>
    </xf>
    <xf numFmtId="0" fontId="0" fillId="2" borderId="0" xfId="0" applyNumberFormat="1" applyFont="1" applyFill="1" applyBorder="1" applyAlignment="1" applyProtection="1">
      <alignment horizontal="center" vertical="center"/>
    </xf>
    <xf numFmtId="9" fontId="0" fillId="2" borderId="0" xfId="0" applyNumberFormat="1" applyFill="1" applyBorder="1" applyAlignment="1">
      <alignment horizontal="center" vertical="center"/>
    </xf>
    <xf numFmtId="177" fontId="2" fillId="2" borderId="11" xfId="0" applyNumberFormat="1" applyFont="1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10" fontId="0" fillId="12" borderId="15" xfId="0" applyNumberFormat="1" applyFill="1" applyBorder="1" applyAlignment="1">
      <alignment horizontal="center" vertical="center" wrapText="1"/>
    </xf>
    <xf numFmtId="177" fontId="0" fillId="12" borderId="15" xfId="0" applyNumberFormat="1" applyFill="1" applyBorder="1" applyAlignment="1">
      <alignment horizontal="center" vertical="center"/>
    </xf>
    <xf numFmtId="10" fontId="0" fillId="12" borderId="15" xfId="0" applyNumberFormat="1" applyFill="1" applyBorder="1" applyAlignment="1">
      <alignment horizontal="center" vertical="center"/>
    </xf>
    <xf numFmtId="178" fontId="0" fillId="12" borderId="15" xfId="0" applyNumberFormat="1" applyFill="1" applyBorder="1" applyAlignment="1">
      <alignment horizontal="center" vertical="center"/>
    </xf>
    <xf numFmtId="0" fontId="0" fillId="12" borderId="15" xfId="0" applyNumberFormat="1" applyFont="1" applyFill="1" applyBorder="1" applyAlignment="1" applyProtection="1">
      <alignment horizontal="center" vertical="center"/>
    </xf>
    <xf numFmtId="9" fontId="0" fillId="12" borderId="15" xfId="0" applyNumberFormat="1" applyFill="1" applyBorder="1" applyAlignment="1">
      <alignment horizontal="center" vertical="center"/>
    </xf>
    <xf numFmtId="177" fontId="2" fillId="12" borderId="13" xfId="0" applyNumberFormat="1" applyFont="1" applyFill="1" applyBorder="1" applyAlignment="1">
      <alignment horizontal="center" vertical="center"/>
    </xf>
    <xf numFmtId="0" fontId="0" fillId="0" borderId="0" xfId="0" applyFill="1" applyAlignment="1" quotePrefix="1">
      <alignment horizontal="center" vertical="center"/>
    </xf>
    <xf numFmtId="0" fontId="10" fillId="0" borderId="0" xfId="0" applyFont="1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I59"/>
  <sheetViews>
    <sheetView zoomScale="90" zoomScaleNormal="90" topLeftCell="A10" workbookViewId="0">
      <selection activeCell="N12" sqref="N12"/>
    </sheetView>
  </sheetViews>
  <sheetFormatPr defaultColWidth="9.69090909090909" defaultRowHeight="14"/>
  <cols>
    <col min="1" max="1" width="9.69090909090909" style="1"/>
    <col min="2" max="2" width="15.4545454545455" style="1" customWidth="1"/>
    <col min="3" max="3" width="10" style="1" customWidth="1"/>
    <col min="4" max="4" width="11.8181818181818" style="1" customWidth="1"/>
    <col min="5" max="5" width="5.54545454545455" style="1" customWidth="1"/>
    <col min="6" max="6" width="11.8181818181818" style="1" customWidth="1"/>
    <col min="7" max="7" width="7.54545454545455" style="2" customWidth="1"/>
    <col min="8" max="8" width="14" style="1" customWidth="1"/>
    <col min="9" max="9" width="8.54545454545454" style="1" customWidth="1"/>
    <col min="10" max="10" width="11.8181818181818" style="1" customWidth="1"/>
    <col min="11" max="11" width="4.54545454545455" style="1" customWidth="1"/>
    <col min="12" max="12" width="9.54545454545454" style="1" customWidth="1"/>
    <col min="13" max="13" width="7.54545454545455" style="1" customWidth="1"/>
    <col min="14" max="14" width="5.54545454545455" style="1" customWidth="1"/>
    <col min="15" max="15" width="6.27272727272727" style="1" customWidth="1"/>
    <col min="16" max="16" width="21.2727272727273" style="1" customWidth="1"/>
    <col min="17" max="17" width="9.54545454545454" style="2" customWidth="1"/>
    <col min="18" max="18" width="6.27272727272727" style="1" customWidth="1"/>
    <col min="19" max="19" width="11" style="1" customWidth="1"/>
    <col min="20" max="20" width="8.54545454545454" style="1" customWidth="1"/>
    <col min="21" max="21" width="8.54545454545454" style="2" customWidth="1"/>
    <col min="22" max="22" width="8.54545454545454" style="3" customWidth="1"/>
    <col min="23" max="25" width="8.54545454545454" style="1" customWidth="1"/>
    <col min="26" max="26" width="11" style="1" customWidth="1"/>
    <col min="27" max="27" width="8.54545454545454" style="1" customWidth="1"/>
    <col min="28" max="28" width="11" style="4" customWidth="1"/>
    <col min="29" max="29" width="10" style="4" customWidth="1"/>
    <col min="30" max="31" width="7.18181818181818" style="1" customWidth="1"/>
    <col min="32" max="32" width="9.54545454545454" style="1" customWidth="1"/>
    <col min="33" max="33" width="5.54545454545455" style="1" customWidth="1"/>
    <col min="34" max="34" width="8.54545454545454" style="1" customWidth="1"/>
    <col min="35" max="35" width="9.54545454545454" style="1" customWidth="1"/>
    <col min="36" max="16384" width="9.69090909090909" style="1"/>
  </cols>
  <sheetData>
    <row r="1" s="1" customFormat="1" ht="14.75" spans="2:35">
      <c r="B1" s="5" t="s">
        <v>0</v>
      </c>
      <c r="C1" s="5" t="s">
        <v>1</v>
      </c>
      <c r="D1" s="6" t="s">
        <v>2</v>
      </c>
      <c r="E1" s="6">
        <v>2</v>
      </c>
      <c r="Q1" s="2"/>
      <c r="U1" s="2"/>
      <c r="V1" s="3"/>
      <c r="AB1" s="4"/>
      <c r="AC1" s="4"/>
    </row>
    <row r="2" s="1" customFormat="1" ht="15.75" spans="2:35">
      <c r="B2" s="7" t="s">
        <v>3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74" t="s">
        <v>4</v>
      </c>
      <c r="P2" s="175" t="s">
        <v>5</v>
      </c>
      <c r="Q2" s="176" t="s">
        <v>6</v>
      </c>
      <c r="R2" s="175" t="s">
        <v>7</v>
      </c>
      <c r="S2" s="175" t="s">
        <v>8</v>
      </c>
      <c r="T2" s="175" t="s">
        <v>9</v>
      </c>
      <c r="U2" s="176" t="s">
        <v>10</v>
      </c>
      <c r="V2" s="177" t="s">
        <v>11</v>
      </c>
      <c r="W2" s="175" t="s">
        <v>12</v>
      </c>
      <c r="X2" s="175" t="s">
        <v>13</v>
      </c>
      <c r="Y2" s="175" t="s">
        <v>14</v>
      </c>
      <c r="Z2" s="175" t="s">
        <v>15</v>
      </c>
      <c r="AA2" s="175" t="s">
        <v>16</v>
      </c>
      <c r="AB2" s="178" t="s">
        <v>17</v>
      </c>
      <c r="AC2" s="179" t="s">
        <v>18</v>
      </c>
      <c r="AD2" s="17" t="s">
        <v>19</v>
      </c>
      <c r="AE2" s="17" t="s">
        <v>20</v>
      </c>
      <c r="AF2" s="18" t="s">
        <v>21</v>
      </c>
      <c r="AG2" s="18" t="s">
        <v>22</v>
      </c>
      <c r="AH2" s="19" t="s">
        <v>13</v>
      </c>
      <c r="AI2" s="19" t="s">
        <v>23</v>
      </c>
    </row>
    <row r="3" s="1" customFormat="1" ht="15" spans="2:35">
      <c r="B3" s="20" t="s">
        <v>24</v>
      </c>
      <c r="C3" s="21"/>
      <c r="D3" s="20" t="s">
        <v>10</v>
      </c>
      <c r="E3" s="21"/>
      <c r="F3" s="20" t="s">
        <v>25</v>
      </c>
      <c r="G3" s="21"/>
      <c r="H3" s="20" t="s">
        <v>26</v>
      </c>
      <c r="I3" s="21"/>
      <c r="J3" s="20" t="s">
        <v>12</v>
      </c>
      <c r="K3" s="21"/>
      <c r="L3" s="20" t="s">
        <v>27</v>
      </c>
      <c r="M3" s="21"/>
      <c r="O3" s="40"/>
      <c r="P3" s="180"/>
      <c r="Q3" s="44"/>
      <c r="R3" s="42"/>
      <c r="S3" s="42"/>
      <c r="T3" s="42"/>
      <c r="U3" s="44"/>
      <c r="V3" s="46"/>
      <c r="W3" s="45"/>
      <c r="X3" s="42"/>
      <c r="Y3" s="42"/>
      <c r="Z3" s="47"/>
      <c r="AA3" s="47"/>
      <c r="AB3" s="43"/>
      <c r="AC3" s="180"/>
      <c r="AD3" s="32">
        <v>10</v>
      </c>
      <c r="AE3" s="32"/>
      <c r="AF3" s="18">
        <v>0</v>
      </c>
      <c r="AG3" s="18">
        <v>0</v>
      </c>
      <c r="AH3" s="19">
        <f t="shared" ref="AH3:AH8" si="0">1520/(1520+(792+8*AI3)*(1-AG3/100))</f>
        <v>0.488431876606684</v>
      </c>
      <c r="AI3" s="33">
        <v>100</v>
      </c>
    </row>
    <row r="4" s="1" customFormat="1" ht="15" spans="2:35">
      <c r="B4" s="34" t="s">
        <v>28</v>
      </c>
      <c r="C4" s="35">
        <f>437+587</f>
        <v>1024</v>
      </c>
      <c r="D4" s="34" t="s">
        <v>29</v>
      </c>
      <c r="E4" s="36">
        <f>E1*30%</f>
        <v>0.6</v>
      </c>
      <c r="F4" s="34" t="s">
        <v>30</v>
      </c>
      <c r="G4" s="37">
        <v>0.13</v>
      </c>
      <c r="H4" s="34" t="s">
        <v>30</v>
      </c>
      <c r="I4" s="37">
        <v>1.5</v>
      </c>
      <c r="J4" s="181" t="s">
        <v>31</v>
      </c>
      <c r="K4" s="36">
        <v>0.15</v>
      </c>
      <c r="L4" s="34" t="s">
        <v>32</v>
      </c>
      <c r="M4" s="37">
        <f>8.6%*2</f>
        <v>0.172</v>
      </c>
      <c r="O4" s="40"/>
      <c r="P4" s="23"/>
      <c r="Q4" s="44"/>
      <c r="R4" s="42"/>
      <c r="S4" s="42"/>
      <c r="T4" s="42"/>
      <c r="U4" s="44"/>
      <c r="V4" s="46"/>
      <c r="W4" s="45"/>
      <c r="X4" s="42"/>
      <c r="Y4" s="42"/>
      <c r="Z4" s="47"/>
      <c r="AA4" s="47"/>
      <c r="AB4" s="43"/>
      <c r="AC4" s="23"/>
      <c r="AD4" s="32">
        <v>10</v>
      </c>
      <c r="AE4" s="32"/>
      <c r="AF4" s="18">
        <v>12</v>
      </c>
      <c r="AG4" s="18">
        <v>18</v>
      </c>
      <c r="AH4" s="19">
        <f>1520/(1520+(792+8*AI4)*(1-AG4/100)*(1-AF4/100))</f>
        <v>0.569547096149142</v>
      </c>
      <c r="AI4" s="33">
        <v>100</v>
      </c>
    </row>
    <row r="5" s="1" customFormat="1" ht="15" spans="2:35">
      <c r="B5" s="34" t="s">
        <v>33</v>
      </c>
      <c r="C5" s="36">
        <f>12%+12%</f>
        <v>0.24</v>
      </c>
      <c r="D5" s="34" t="s">
        <v>34</v>
      </c>
      <c r="E5" s="36"/>
      <c r="F5" s="34" t="s">
        <v>35</v>
      </c>
      <c r="G5" s="37">
        <v>0.243</v>
      </c>
      <c r="H5" s="34" t="s">
        <v>35</v>
      </c>
      <c r="I5" s="37">
        <v>0</v>
      </c>
      <c r="J5" s="49" t="s">
        <v>36</v>
      </c>
      <c r="K5" s="36">
        <v>0.25</v>
      </c>
      <c r="L5" s="34" t="s">
        <v>37</v>
      </c>
      <c r="M5" s="37">
        <f>8.6%*2</f>
        <v>0.172</v>
      </c>
      <c r="O5" s="40">
        <v>1</v>
      </c>
      <c r="P5" s="23" t="s">
        <v>38</v>
      </c>
      <c r="Q5" s="44">
        <f>53.45%*2+95.43%+39.23%+26.15%*6</f>
        <v>3.9846</v>
      </c>
      <c r="R5" s="42" t="s">
        <v>1</v>
      </c>
      <c r="S5" s="43">
        <f>$C$4*(1+C$5+C$6+C$7+C$8)+C$9</f>
        <v>2650.928</v>
      </c>
      <c r="T5" s="44">
        <f>($C$5+$C$6+$C$7+$C$8)+($C$9+$C$10)/$C$4</f>
        <v>1.588796875</v>
      </c>
      <c r="U5" s="44">
        <f>IF(R5=$C$1,SUM($E$4:$E$9),SUM($E$4:$E$8))</f>
        <v>0.9</v>
      </c>
      <c r="V5" s="46">
        <f>1+$G$10*($I$10-1)</f>
        <v>2.7115</v>
      </c>
      <c r="W5" s="45">
        <f>IF(R5=$C$1,$K$4+$K$5,$K$4)</f>
        <v>0.4</v>
      </c>
      <c r="X5" s="46">
        <f>$AH$3</f>
        <v>0.488431876606684</v>
      </c>
      <c r="Y5" s="42">
        <f>$AH$11</f>
        <v>0.8</v>
      </c>
      <c r="Z5" s="47">
        <v>0</v>
      </c>
      <c r="AA5" s="47">
        <v>0</v>
      </c>
      <c r="AB5" s="47">
        <v>0</v>
      </c>
      <c r="AC5" s="23">
        <f>Q5*$C$4*(1+T5)*(1+U5)*V5*(1+W5)*X5*Y5*(1+Z5)*(1+AA5)*(1+AB5)*O5</f>
        <v>29769.2501168671</v>
      </c>
      <c r="AD5" s="32">
        <v>10</v>
      </c>
      <c r="AE5" s="32"/>
      <c r="AF5" s="18">
        <v>0</v>
      </c>
      <c r="AG5" s="18">
        <v>30</v>
      </c>
      <c r="AH5" s="19">
        <f t="shared" si="0"/>
        <v>0.57698147585788</v>
      </c>
      <c r="AI5" s="33">
        <v>100</v>
      </c>
    </row>
    <row r="6" s="1" customFormat="1" ht="15" spans="2:35">
      <c r="B6" s="34" t="s">
        <v>39</v>
      </c>
      <c r="C6" s="36">
        <f>18%+18%+M4+(2-E1)*30%</f>
        <v>0.532</v>
      </c>
      <c r="D6" s="34" t="s">
        <v>40</v>
      </c>
      <c r="E6" s="36"/>
      <c r="F6" s="34" t="s">
        <v>41</v>
      </c>
      <c r="G6" s="37">
        <v>0.2</v>
      </c>
      <c r="H6" s="34" t="s">
        <v>41</v>
      </c>
      <c r="I6" s="37">
        <v>0</v>
      </c>
      <c r="J6" s="49"/>
      <c r="K6" s="37"/>
      <c r="L6" s="34" t="s">
        <v>25</v>
      </c>
      <c r="M6" s="37">
        <f>8.1*5%</f>
        <v>0.405</v>
      </c>
      <c r="O6" s="40">
        <v>1</v>
      </c>
      <c r="P6" s="23" t="s">
        <v>38</v>
      </c>
      <c r="Q6" s="44">
        <f>53.45%*2+95.43%+39.23%+26.15%*6</f>
        <v>3.9846</v>
      </c>
      <c r="R6" s="42" t="s">
        <v>42</v>
      </c>
      <c r="S6" s="43">
        <f>$C$4*(1+C$5+C$6+C$7+C$8)+C$9</f>
        <v>2650.928</v>
      </c>
      <c r="T6" s="44">
        <f>($C$5+$C$6+$C$7+$C$8)+($C$9+$C$10)/$C$4</f>
        <v>1.588796875</v>
      </c>
      <c r="U6" s="44">
        <f>IF(R6=$C$1,SUM($E$4:$E$9),SUM($E$4:$E$8))</f>
        <v>0.6</v>
      </c>
      <c r="V6" s="46">
        <f>1+$G$10*($I$10-1)</f>
        <v>2.7115</v>
      </c>
      <c r="W6" s="45">
        <f>IF(R6=$C$1,$K$4+$K$5,$K$4)</f>
        <v>0.15</v>
      </c>
      <c r="X6" s="46">
        <f>$AH$3</f>
        <v>0.488431876606684</v>
      </c>
      <c r="Y6" s="42">
        <f>$AH$11</f>
        <v>0.8</v>
      </c>
      <c r="Z6" s="47">
        <v>0</v>
      </c>
      <c r="AA6" s="47">
        <v>0</v>
      </c>
      <c r="AB6" s="47">
        <v>0</v>
      </c>
      <c r="AC6" s="23">
        <f>Q6*$C$4*(1+T6)*(1+U6)*V6*(1+W6)*X6*Y6*(1+Z6)*(1+AA6)*(1+AB6)*O6</f>
        <v>20592.2632387351</v>
      </c>
      <c r="AD6" s="32">
        <v>10</v>
      </c>
      <c r="AE6" s="32"/>
      <c r="AF6" s="18">
        <v>0</v>
      </c>
      <c r="AG6" s="18">
        <v>21.6</v>
      </c>
      <c r="AH6" s="19">
        <f t="shared" si="0"/>
        <v>0.549107555719967</v>
      </c>
      <c r="AI6" s="33">
        <v>100</v>
      </c>
    </row>
    <row r="7" s="1" customFormat="1" ht="15" spans="2:35">
      <c r="B7" s="34" t="s">
        <v>43</v>
      </c>
      <c r="C7" s="69"/>
      <c r="D7" s="34" t="s">
        <v>44</v>
      </c>
      <c r="E7" s="36"/>
      <c r="F7" s="34" t="s">
        <v>39</v>
      </c>
      <c r="G7" s="37">
        <f>M6</f>
        <v>0.405</v>
      </c>
      <c r="H7" s="34" t="s">
        <v>39</v>
      </c>
      <c r="I7" s="37">
        <f>M7+44%</f>
        <v>1.25</v>
      </c>
      <c r="J7" s="49"/>
      <c r="K7" s="37"/>
      <c r="L7" s="34" t="s">
        <v>45</v>
      </c>
      <c r="M7" s="36">
        <f>16.2%*5</f>
        <v>0.81</v>
      </c>
      <c r="O7" s="40"/>
      <c r="P7" s="23"/>
      <c r="Q7" s="44"/>
      <c r="R7" s="42"/>
      <c r="S7" s="42"/>
      <c r="T7" s="44"/>
      <c r="U7" s="44"/>
      <c r="V7" s="46"/>
      <c r="W7" s="45"/>
      <c r="X7" s="46"/>
      <c r="Y7" s="42"/>
      <c r="Z7" s="47"/>
      <c r="AA7" s="47"/>
      <c r="AB7" s="47"/>
      <c r="AC7" s="23"/>
      <c r="AD7" s="32">
        <v>10</v>
      </c>
      <c r="AE7" s="32"/>
      <c r="AF7" s="18">
        <v>0</v>
      </c>
      <c r="AG7" s="18">
        <v>28.8</v>
      </c>
      <c r="AH7" s="19">
        <f t="shared" si="0"/>
        <v>0.572827476423627</v>
      </c>
      <c r="AI7" s="33">
        <v>100</v>
      </c>
    </row>
    <row r="8" s="1" customFormat="1" ht="15" spans="2:35">
      <c r="B8" s="34" t="s">
        <v>46</v>
      </c>
      <c r="C8" s="69">
        <f>22.5%+25%</f>
        <v>0.475</v>
      </c>
      <c r="D8" s="34" t="s">
        <v>47</v>
      </c>
      <c r="E8" s="171"/>
      <c r="F8" s="34" t="s">
        <v>48</v>
      </c>
      <c r="G8" s="37">
        <v>0</v>
      </c>
      <c r="H8" s="34" t="s">
        <v>48</v>
      </c>
      <c r="I8" s="37">
        <v>0</v>
      </c>
      <c r="J8" s="49"/>
      <c r="K8" s="37"/>
      <c r="L8" s="34"/>
      <c r="M8" s="35"/>
      <c r="O8" s="40"/>
      <c r="P8" s="23"/>
      <c r="Q8" s="44"/>
      <c r="R8" s="42"/>
      <c r="S8" s="42"/>
      <c r="T8" s="44"/>
      <c r="U8" s="44"/>
      <c r="V8" s="46"/>
      <c r="W8" s="45"/>
      <c r="X8" s="46"/>
      <c r="Y8" s="42"/>
      <c r="Z8" s="47"/>
      <c r="AA8" s="47"/>
      <c r="AB8" s="47"/>
      <c r="AC8" s="23"/>
      <c r="AD8" s="32">
        <v>10</v>
      </c>
      <c r="AE8" s="32"/>
      <c r="AF8" s="18">
        <v>0</v>
      </c>
      <c r="AG8" s="18">
        <v>36</v>
      </c>
      <c r="AH8" s="19">
        <f t="shared" si="0"/>
        <v>0.598689185782707</v>
      </c>
      <c r="AI8" s="33">
        <v>100</v>
      </c>
    </row>
    <row r="9" s="1" customFormat="1" ht="15" spans="2:35">
      <c r="B9" s="34" t="s">
        <v>49</v>
      </c>
      <c r="C9" s="35">
        <v>350</v>
      </c>
      <c r="D9" s="34" t="s">
        <v>50</v>
      </c>
      <c r="E9" s="36">
        <v>0.3</v>
      </c>
      <c r="F9" s="34" t="s">
        <v>51</v>
      </c>
      <c r="G9" s="37">
        <v>0</v>
      </c>
      <c r="H9" s="34" t="s">
        <v>51</v>
      </c>
      <c r="I9" s="37">
        <v>0</v>
      </c>
      <c r="J9" s="49"/>
      <c r="K9" s="37"/>
      <c r="L9" s="34"/>
      <c r="M9" s="35"/>
      <c r="O9" s="40"/>
      <c r="P9" s="23"/>
      <c r="Q9" s="44"/>
      <c r="R9" s="42"/>
      <c r="S9" s="42"/>
      <c r="T9" s="44"/>
      <c r="U9" s="44"/>
      <c r="V9" s="46"/>
      <c r="W9" s="45"/>
      <c r="X9" s="46"/>
      <c r="Y9" s="42"/>
      <c r="Z9" s="47"/>
      <c r="AA9" s="47"/>
      <c r="AB9" s="47"/>
      <c r="AC9" s="23"/>
      <c r="AD9" s="32">
        <v>10</v>
      </c>
      <c r="AE9" s="32"/>
    </row>
    <row r="10" s="1" customFormat="1" ht="15" spans="2:35">
      <c r="B10" s="51" t="s">
        <v>52</v>
      </c>
      <c r="C10" s="52"/>
      <c r="D10" s="51"/>
      <c r="E10" s="53"/>
      <c r="F10" s="54" t="s">
        <v>53</v>
      </c>
      <c r="G10" s="55">
        <f>MIN(100%,SUM(G4:G9))</f>
        <v>0.978</v>
      </c>
      <c r="H10" s="54" t="s">
        <v>54</v>
      </c>
      <c r="I10" s="55">
        <f>SUM(I4:I9)</f>
        <v>2.75</v>
      </c>
      <c r="J10" s="56"/>
      <c r="K10" s="71"/>
      <c r="L10" s="51"/>
      <c r="M10" s="52"/>
      <c r="O10" s="40"/>
      <c r="P10" s="23"/>
      <c r="Q10" s="44"/>
      <c r="R10" s="42"/>
      <c r="S10" s="42"/>
      <c r="T10" s="44"/>
      <c r="U10" s="44"/>
      <c r="V10" s="46"/>
      <c r="W10" s="45"/>
      <c r="X10" s="46"/>
      <c r="Y10" s="42"/>
      <c r="Z10" s="47"/>
      <c r="AA10" s="47"/>
      <c r="AB10" s="47"/>
      <c r="AC10" s="23"/>
      <c r="AD10" s="32">
        <v>10</v>
      </c>
      <c r="AE10" s="32"/>
    </row>
    <row r="11" s="1" customFormat="1" ht="15" spans="2:35">
      <c r="B11" s="57"/>
      <c r="C11" s="57"/>
      <c r="E11" s="58"/>
      <c r="F11" s="20" t="s">
        <v>55</v>
      </c>
      <c r="G11" s="59">
        <f>MAX(0,SUM(G4:G9)-1)</f>
        <v>0</v>
      </c>
      <c r="J11" s="2"/>
      <c r="K11" s="2"/>
      <c r="O11" s="40"/>
      <c r="P11" s="23"/>
      <c r="Q11" s="44"/>
      <c r="R11" s="42"/>
      <c r="S11" s="42"/>
      <c r="T11" s="44"/>
      <c r="U11" s="44"/>
      <c r="V11" s="46"/>
      <c r="W11" s="45"/>
      <c r="X11" s="46"/>
      <c r="Y11" s="42"/>
      <c r="Z11" s="47"/>
      <c r="AA11" s="47"/>
      <c r="AB11" s="47"/>
      <c r="AC11" s="23"/>
      <c r="AD11" s="32">
        <v>10</v>
      </c>
      <c r="AE11" s="32"/>
      <c r="AG11" s="60" t="s">
        <v>56</v>
      </c>
      <c r="AH11" s="60">
        <v>0.8</v>
      </c>
    </row>
    <row r="12" s="1" customFormat="1" ht="15" spans="2:35">
      <c r="B12" s="57"/>
      <c r="C12" s="57"/>
      <c r="E12" s="58"/>
      <c r="G12" s="61"/>
      <c r="J12" s="2"/>
      <c r="K12" s="2"/>
      <c r="O12" s="40"/>
      <c r="P12" s="23"/>
      <c r="Q12" s="44"/>
      <c r="R12" s="42"/>
      <c r="S12" s="42"/>
      <c r="T12" s="44"/>
      <c r="U12" s="44"/>
      <c r="V12" s="46"/>
      <c r="W12" s="45"/>
      <c r="X12" s="46"/>
      <c r="Y12" s="42"/>
      <c r="Z12" s="47"/>
      <c r="AA12" s="47"/>
      <c r="AB12" s="47"/>
      <c r="AC12" s="23"/>
      <c r="AD12" s="32">
        <v>10</v>
      </c>
      <c r="AE12" s="32"/>
      <c r="AG12" s="62" t="s">
        <v>57</v>
      </c>
      <c r="AH12" s="62">
        <v>0.8</v>
      </c>
    </row>
    <row r="13" s="1" customFormat="1" ht="15" spans="2:35">
      <c r="B13" s="5" t="s">
        <v>0</v>
      </c>
      <c r="C13" s="5" t="s">
        <v>1</v>
      </c>
      <c r="D13" s="6" t="s">
        <v>2</v>
      </c>
      <c r="E13" s="6">
        <v>2</v>
      </c>
      <c r="O13" s="40"/>
      <c r="P13" s="23"/>
      <c r="Q13" s="44"/>
      <c r="R13" s="42"/>
      <c r="S13" s="42"/>
      <c r="T13" s="44"/>
      <c r="U13" s="44"/>
      <c r="V13" s="46"/>
      <c r="W13" s="45"/>
      <c r="X13" s="46"/>
      <c r="Y13" s="42"/>
      <c r="Z13" s="47"/>
      <c r="AA13" s="47"/>
      <c r="AB13" s="47"/>
      <c r="AC13" s="23"/>
      <c r="AD13" s="32">
        <v>10</v>
      </c>
      <c r="AE13" s="32"/>
      <c r="AG13" s="182" t="s">
        <v>58</v>
      </c>
      <c r="AH13" s="182">
        <v>0.8</v>
      </c>
    </row>
    <row r="14" s="1" customFormat="1" ht="15" spans="2:35">
      <c r="B14" s="63" t="s">
        <v>59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O14" s="40"/>
      <c r="P14" s="23"/>
      <c r="Q14" s="44"/>
      <c r="R14" s="42"/>
      <c r="S14" s="42"/>
      <c r="T14" s="44"/>
      <c r="U14" s="44"/>
      <c r="V14" s="46"/>
      <c r="W14" s="45"/>
      <c r="X14" s="46"/>
      <c r="Y14" s="42"/>
      <c r="Z14" s="47"/>
      <c r="AA14" s="47"/>
      <c r="AB14" s="47"/>
      <c r="AC14" s="23"/>
      <c r="AD14" s="32">
        <v>10</v>
      </c>
      <c r="AE14" s="32"/>
      <c r="AG14" s="64" t="s">
        <v>60</v>
      </c>
      <c r="AH14" s="64">
        <v>0.8</v>
      </c>
    </row>
    <row r="15" s="1" customFormat="1" ht="15" spans="2:35">
      <c r="B15" s="65" t="s">
        <v>24</v>
      </c>
      <c r="C15" s="65"/>
      <c r="D15" s="65" t="s">
        <v>10</v>
      </c>
      <c r="E15" s="65"/>
      <c r="F15" s="65" t="s">
        <v>25</v>
      </c>
      <c r="G15" s="65"/>
      <c r="H15" s="65" t="s">
        <v>26</v>
      </c>
      <c r="I15" s="65"/>
      <c r="J15" s="65" t="s">
        <v>12</v>
      </c>
      <c r="K15" s="65"/>
      <c r="L15" s="65" t="s">
        <v>27</v>
      </c>
      <c r="M15" s="65"/>
      <c r="O15" s="40"/>
      <c r="P15" s="183"/>
      <c r="Q15" s="44"/>
      <c r="R15" s="42"/>
      <c r="S15" s="42"/>
      <c r="T15" s="44"/>
      <c r="U15" s="44"/>
      <c r="V15" s="46"/>
      <c r="W15" s="45"/>
      <c r="X15" s="46"/>
      <c r="Y15" s="42"/>
      <c r="Z15" s="47"/>
      <c r="AA15" s="47"/>
      <c r="AB15" s="47"/>
      <c r="AC15" s="183"/>
      <c r="AD15" s="32">
        <v>10</v>
      </c>
      <c r="AE15" s="32"/>
      <c r="AG15" s="184" t="s">
        <v>61</v>
      </c>
      <c r="AH15" s="185">
        <v>0.8</v>
      </c>
    </row>
    <row r="16" s="1" customFormat="1" ht="15" spans="2:35">
      <c r="B16" s="66" t="s">
        <v>28</v>
      </c>
      <c r="C16" s="67">
        <f>437+587</f>
        <v>1024</v>
      </c>
      <c r="D16" s="66" t="s">
        <v>29</v>
      </c>
      <c r="E16" s="39">
        <f>E13*30%</f>
        <v>0.6</v>
      </c>
      <c r="F16" s="66" t="s">
        <v>30</v>
      </c>
      <c r="G16" s="68">
        <v>0.13</v>
      </c>
      <c r="H16" s="66" t="s">
        <v>30</v>
      </c>
      <c r="I16" s="68">
        <v>1.5</v>
      </c>
      <c r="J16" s="38" t="s">
        <v>31</v>
      </c>
      <c r="K16" s="39">
        <v>0.15</v>
      </c>
      <c r="L16" s="66" t="s">
        <v>32</v>
      </c>
      <c r="M16" s="68">
        <f>8.6%*2</f>
        <v>0.172</v>
      </c>
      <c r="O16" s="66">
        <v>1</v>
      </c>
      <c r="P16" s="97" t="s">
        <v>38</v>
      </c>
      <c r="Q16" s="93">
        <f>53.45%*2+95.43%+39.23%+26.15%*6</f>
        <v>3.9846</v>
      </c>
      <c r="R16" s="91" t="s">
        <v>1</v>
      </c>
      <c r="S16" s="92">
        <f>$C$16*(1+$C$17+$C$18+$C$19+$C$20)+($C$21+$C$22)</f>
        <v>2650.928</v>
      </c>
      <c r="T16" s="93">
        <f>($C$17+$C$18+$C$19+$C$20)+($C$21+$C$22)/$C$16</f>
        <v>1.588796875</v>
      </c>
      <c r="U16" s="93">
        <f>IF(R16=$C$13,SUM($E$16:$E$21),SUM($E$16:$E$20))</f>
        <v>0.9</v>
      </c>
      <c r="V16" s="94">
        <f>1+$G$22*($I$22-1)</f>
        <v>2.7115</v>
      </c>
      <c r="W16" s="95">
        <f>IF(R16=$C$1,$K$16+$K$17,$K$16)</f>
        <v>0.4</v>
      </c>
      <c r="X16" s="94">
        <f>$AH$3</f>
        <v>0.488431876606684</v>
      </c>
      <c r="Y16" s="91">
        <f>$AH$12</f>
        <v>0.8</v>
      </c>
      <c r="Z16" s="96">
        <v>0</v>
      </c>
      <c r="AA16" s="96">
        <v>0</v>
      </c>
      <c r="AB16" s="96">
        <v>0</v>
      </c>
      <c r="AC16" s="97">
        <f>Q16*$C$16*(1+T16)*(1+U16)*V16*(1+W16)*X16*Y16*(1+Z16)*(1+AA16)*(1+AB16)*O16</f>
        <v>29769.2501168671</v>
      </c>
      <c r="AG16" s="186" t="s">
        <v>62</v>
      </c>
      <c r="AH16" s="186">
        <v>0.8</v>
      </c>
    </row>
    <row r="17" s="1" customFormat="1" ht="15" spans="2:34">
      <c r="B17" s="34" t="s">
        <v>33</v>
      </c>
      <c r="C17" s="36">
        <f>12%+12%</f>
        <v>0.24</v>
      </c>
      <c r="D17" s="34" t="s">
        <v>34</v>
      </c>
      <c r="E17" s="36"/>
      <c r="F17" s="34" t="s">
        <v>35</v>
      </c>
      <c r="G17" s="37">
        <v>0.243</v>
      </c>
      <c r="H17" s="34" t="s">
        <v>35</v>
      </c>
      <c r="I17" s="37">
        <v>0</v>
      </c>
      <c r="J17" s="49" t="s">
        <v>36</v>
      </c>
      <c r="K17" s="36">
        <v>0.25</v>
      </c>
      <c r="L17" s="34" t="s">
        <v>37</v>
      </c>
      <c r="M17" s="37">
        <f>8.6%*2</f>
        <v>0.172</v>
      </c>
      <c r="O17" s="34">
        <v>1</v>
      </c>
      <c r="P17" s="97" t="s">
        <v>38</v>
      </c>
      <c r="Q17" s="100">
        <f>53.45%*2+95.43%+39.23%+26.15%*6</f>
        <v>3.9846</v>
      </c>
      <c r="R17" s="57" t="s">
        <v>42</v>
      </c>
      <c r="S17" s="99">
        <f>$C$16*(1+$C$17+$C$18+$C$19+$C$20)+($C$21+$C$22)</f>
        <v>2650.928</v>
      </c>
      <c r="T17" s="100">
        <f>($C$17+$C$18+$C$19+$C$20)+($C$21+$C$22)/$C$16</f>
        <v>1.588796875</v>
      </c>
      <c r="U17" s="100">
        <f>IF(R17=$C$13,SUM($E$16:$E$21),SUM($E$16:$E$20))</f>
        <v>0.6</v>
      </c>
      <c r="V17" s="101">
        <f>1+$G$22*($I$22-1)</f>
        <v>2.7115</v>
      </c>
      <c r="W17" s="95">
        <f>IF(R17=$C$1,$K$16+$K$17,$K$16)</f>
        <v>0.15</v>
      </c>
      <c r="X17" s="101">
        <f>$AH$3</f>
        <v>0.488431876606684</v>
      </c>
      <c r="Y17" s="57">
        <f>$AH$12</f>
        <v>0.8</v>
      </c>
      <c r="Z17" s="103">
        <v>0</v>
      </c>
      <c r="AA17" s="103">
        <v>0</v>
      </c>
      <c r="AB17" s="103">
        <v>0</v>
      </c>
      <c r="AC17" s="97">
        <f>Q17*$C$16*(1+T17)*(1+U17)*V17*(1+W17)*X17*Y17*(1+Z17)*(1+AA17)*(1+AB17)*O17</f>
        <v>20592.2632387351</v>
      </c>
    </row>
    <row r="18" s="1" customFormat="1" ht="15" spans="2:34">
      <c r="B18" s="34" t="s">
        <v>39</v>
      </c>
      <c r="C18" s="36">
        <f>18%+18%+M16+(2-E13)*30%</f>
        <v>0.532</v>
      </c>
      <c r="D18" s="34" t="s">
        <v>40</v>
      </c>
      <c r="E18" s="36"/>
      <c r="F18" s="34" t="s">
        <v>41</v>
      </c>
      <c r="G18" s="37">
        <v>0.2</v>
      </c>
      <c r="H18" s="34" t="s">
        <v>41</v>
      </c>
      <c r="I18" s="37">
        <v>0</v>
      </c>
      <c r="J18" s="49"/>
      <c r="K18" s="37"/>
      <c r="L18" s="34" t="s">
        <v>25</v>
      </c>
      <c r="M18" s="37">
        <f>8.1*5%</f>
        <v>0.405</v>
      </c>
      <c r="O18" s="34"/>
      <c r="P18" s="97"/>
      <c r="Q18" s="100"/>
      <c r="R18" s="57"/>
      <c r="S18" s="57"/>
      <c r="T18" s="57"/>
      <c r="U18" s="100"/>
      <c r="V18" s="101"/>
      <c r="W18" s="103"/>
      <c r="X18" s="57"/>
      <c r="Y18" s="57"/>
      <c r="Z18" s="103"/>
      <c r="AA18" s="103"/>
      <c r="AB18" s="99"/>
      <c r="AC18" s="97"/>
      <c r="AG18" s="1" t="s">
        <v>63</v>
      </c>
      <c r="AH18" s="1">
        <v>0.8</v>
      </c>
    </row>
    <row r="19" s="1" customFormat="1" ht="15" spans="2:34">
      <c r="B19" s="34" t="s">
        <v>43</v>
      </c>
      <c r="C19" s="69"/>
      <c r="D19" s="34" t="s">
        <v>44</v>
      </c>
      <c r="E19" s="36"/>
      <c r="F19" s="34" t="s">
        <v>39</v>
      </c>
      <c r="G19" s="37">
        <f>M18</f>
        <v>0.405</v>
      </c>
      <c r="H19" s="34" t="s">
        <v>39</v>
      </c>
      <c r="I19" s="37">
        <f>M19+44%</f>
        <v>1.25</v>
      </c>
      <c r="J19" s="49"/>
      <c r="K19" s="37"/>
      <c r="L19" s="34" t="s">
        <v>45</v>
      </c>
      <c r="M19" s="36">
        <f>16.2%*5</f>
        <v>0.81</v>
      </c>
      <c r="O19" s="34"/>
      <c r="P19" s="97"/>
      <c r="Q19" s="100"/>
      <c r="R19" s="57"/>
      <c r="S19" s="57"/>
      <c r="T19" s="57"/>
      <c r="U19" s="100"/>
      <c r="V19" s="101"/>
      <c r="W19" s="103"/>
      <c r="X19" s="57"/>
      <c r="Y19" s="57"/>
      <c r="Z19" s="103"/>
      <c r="AA19" s="103"/>
      <c r="AB19" s="99"/>
      <c r="AC19" s="97"/>
    </row>
    <row r="20" s="1" customFormat="1" ht="15" spans="2:34">
      <c r="B20" s="34" t="s">
        <v>46</v>
      </c>
      <c r="C20" s="69">
        <f>22.5%+25%</f>
        <v>0.475</v>
      </c>
      <c r="D20" s="34" t="s">
        <v>47</v>
      </c>
      <c r="E20" s="171"/>
      <c r="F20" s="34" t="s">
        <v>48</v>
      </c>
      <c r="G20" s="37">
        <v>0</v>
      </c>
      <c r="H20" s="34" t="s">
        <v>48</v>
      </c>
      <c r="I20" s="37">
        <v>0</v>
      </c>
      <c r="J20" s="49"/>
      <c r="K20" s="37"/>
      <c r="L20" s="34"/>
      <c r="M20" s="35"/>
      <c r="O20" s="34"/>
      <c r="P20" s="97"/>
      <c r="Q20" s="100"/>
      <c r="R20" s="57"/>
      <c r="S20" s="57"/>
      <c r="T20" s="57"/>
      <c r="U20" s="100"/>
      <c r="V20" s="101"/>
      <c r="W20" s="103"/>
      <c r="X20" s="57"/>
      <c r="Y20" s="57"/>
      <c r="Z20" s="103"/>
      <c r="AA20" s="103"/>
      <c r="AB20" s="99"/>
      <c r="AC20" s="97"/>
    </row>
    <row r="21" s="1" customFormat="1" ht="15" spans="2:34">
      <c r="B21" s="34" t="s">
        <v>49</v>
      </c>
      <c r="C21" s="35">
        <v>350</v>
      </c>
      <c r="D21" s="34" t="s">
        <v>50</v>
      </c>
      <c r="E21" s="36">
        <v>0.3</v>
      </c>
      <c r="F21" s="34" t="s">
        <v>51</v>
      </c>
      <c r="G21" s="37">
        <v>0</v>
      </c>
      <c r="H21" s="34" t="s">
        <v>51</v>
      </c>
      <c r="I21" s="37">
        <v>0</v>
      </c>
      <c r="J21" s="49"/>
      <c r="K21" s="37"/>
      <c r="L21" s="34"/>
      <c r="M21" s="35"/>
      <c r="O21" s="34"/>
      <c r="P21" s="97"/>
      <c r="Q21" s="100"/>
      <c r="R21" s="57"/>
      <c r="S21" s="57"/>
      <c r="T21" s="57"/>
      <c r="U21" s="100"/>
      <c r="V21" s="101"/>
      <c r="W21" s="103"/>
      <c r="X21" s="57"/>
      <c r="Y21" s="57"/>
      <c r="Z21" s="103"/>
      <c r="AA21" s="103"/>
      <c r="AB21" s="99"/>
      <c r="AC21" s="97"/>
    </row>
    <row r="22" s="1" customFormat="1" ht="15" spans="2:34">
      <c r="B22" s="51" t="s">
        <v>52</v>
      </c>
      <c r="C22" s="52"/>
      <c r="D22" s="51"/>
      <c r="E22" s="53"/>
      <c r="F22" s="54" t="s">
        <v>53</v>
      </c>
      <c r="G22" s="55">
        <f>MIN(100%,SUM(G16:G21))</f>
        <v>0.978</v>
      </c>
      <c r="H22" s="54" t="s">
        <v>54</v>
      </c>
      <c r="I22" s="55">
        <f>SUM(I16:I21)</f>
        <v>2.75</v>
      </c>
      <c r="J22" s="56"/>
      <c r="K22" s="71"/>
      <c r="L22" s="51"/>
      <c r="M22" s="52"/>
      <c r="O22" s="34"/>
      <c r="P22" s="97"/>
      <c r="Q22" s="100"/>
      <c r="R22" s="57"/>
      <c r="S22" s="57"/>
      <c r="T22" s="57"/>
      <c r="U22" s="100"/>
      <c r="V22" s="101"/>
      <c r="W22" s="103"/>
      <c r="X22" s="57"/>
      <c r="Y22" s="57"/>
      <c r="Z22" s="103"/>
      <c r="AA22" s="103"/>
      <c r="AB22" s="99"/>
      <c r="AC22" s="97"/>
    </row>
    <row r="23" s="1" customFormat="1" ht="15" spans="2:34">
      <c r="B23" s="57"/>
      <c r="C23" s="57"/>
      <c r="E23" s="58"/>
      <c r="F23" s="20" t="s">
        <v>55</v>
      </c>
      <c r="G23" s="59">
        <f>MAX(0,SUM(G16:G21)-1)</f>
        <v>0</v>
      </c>
      <c r="J23" s="2"/>
      <c r="K23" s="2"/>
      <c r="O23" s="51"/>
      <c r="P23" s="97"/>
      <c r="Q23" s="130"/>
      <c r="R23" s="128"/>
      <c r="S23" s="128"/>
      <c r="T23" s="128"/>
      <c r="U23" s="130"/>
      <c r="V23" s="131"/>
      <c r="W23" s="133"/>
      <c r="X23" s="128"/>
      <c r="Y23" s="128"/>
      <c r="Z23" s="133"/>
      <c r="AA23" s="133"/>
      <c r="AB23" s="129"/>
      <c r="AC23" s="97"/>
    </row>
    <row r="24" s="1" customFormat="1" ht="15" spans="2:34">
      <c r="B24" s="57"/>
      <c r="C24" s="57"/>
      <c r="E24" s="58"/>
      <c r="J24" s="2"/>
      <c r="K24" s="2"/>
      <c r="O24" s="187">
        <v>1</v>
      </c>
      <c r="P24" s="188" t="s">
        <v>38</v>
      </c>
      <c r="Q24" s="189">
        <f>53.45%*2+95.43%+39.23%+26.15%*6</f>
        <v>3.9846</v>
      </c>
      <c r="R24" s="189" t="s">
        <v>1</v>
      </c>
      <c r="S24" s="190">
        <f>$C$28*(1+$C$29+$C$30+$C$31+$C$32)+($C$33+$C$34)</f>
        <v>2650.928</v>
      </c>
      <c r="T24" s="191">
        <f>S24/$C$28-1</f>
        <v>1.588796875</v>
      </c>
      <c r="U24" s="191">
        <f>IF(R24=$C$25,SUM($E$28:$E$33),SUM($E$28:$E$32))</f>
        <v>0.9</v>
      </c>
      <c r="V24" s="192">
        <f>1+$G$34*($I$34-1)</f>
        <v>2.7115</v>
      </c>
      <c r="W24" s="189">
        <f>IF(R24=$C$1,$K$28+$K$29,$K$28)</f>
        <v>0.4</v>
      </c>
      <c r="X24" s="192">
        <f>$AH$3</f>
        <v>0.488431876606684</v>
      </c>
      <c r="Y24" s="189">
        <f>$AH$13</f>
        <v>0.8</v>
      </c>
      <c r="Z24" s="193">
        <v>0</v>
      </c>
      <c r="AA24" s="193">
        <v>0</v>
      </c>
      <c r="AB24" s="193">
        <v>0</v>
      </c>
      <c r="AC24" s="188">
        <f>Q24*$C$16*(1+T24)*(1+U24)*V24*(1+W24)*X24*Y24*(1+Z24)*(1+AA24)*(1+AB24)*O24</f>
        <v>29769.2501168671</v>
      </c>
    </row>
    <row r="25" s="1" customFormat="1" ht="15" spans="2:34">
      <c r="B25" s="5" t="s">
        <v>0</v>
      </c>
      <c r="C25" s="5" t="s">
        <v>1</v>
      </c>
      <c r="D25" s="6" t="s">
        <v>2</v>
      </c>
      <c r="E25" s="6">
        <v>2</v>
      </c>
      <c r="O25" s="194">
        <v>1</v>
      </c>
      <c r="P25" s="188" t="s">
        <v>38</v>
      </c>
      <c r="Q25" s="114">
        <f>53.45%*2+95.43%+39.23%+26.15%*6</f>
        <v>3.9846</v>
      </c>
      <c r="R25" s="114" t="s">
        <v>42</v>
      </c>
      <c r="S25" s="195">
        <f>$C$28*(1+$C$29+$C$30+$C$31+$C$32)+($C$33+$C$34)</f>
        <v>2650.928</v>
      </c>
      <c r="T25" s="196">
        <f>S25/$C$28-1</f>
        <v>1.588796875</v>
      </c>
      <c r="U25" s="196">
        <f>IF(R25=$C$25,SUM($E$28:$E$33),SUM($E$28:$E$32))</f>
        <v>0.6</v>
      </c>
      <c r="V25" s="197">
        <f>1+$G$34*($I$34-1)</f>
        <v>2.7115</v>
      </c>
      <c r="W25" s="189">
        <f>IF(R25=$C$1,$K$28+$K$29,$K$28)</f>
        <v>0.15</v>
      </c>
      <c r="X25" s="197">
        <f>$AH$3</f>
        <v>0.488431876606684</v>
      </c>
      <c r="Y25" s="114">
        <f>$AH$13</f>
        <v>0.8</v>
      </c>
      <c r="Z25" s="198">
        <v>0</v>
      </c>
      <c r="AA25" s="198">
        <v>0</v>
      </c>
      <c r="AB25" s="198">
        <v>0</v>
      </c>
      <c r="AC25" s="188">
        <f>Q25*$C$16*(1+T25)*(1+U25)*V25*(1+W25)*X25*Y25*(1+Z25)*(1+AA25)*(1+AB25)*O25</f>
        <v>20592.2632387351</v>
      </c>
    </row>
    <row r="26" s="1" customFormat="1" ht="15" spans="2:34">
      <c r="B26" s="199" t="s">
        <v>64</v>
      </c>
      <c r="C26" s="199"/>
      <c r="D26" s="199"/>
      <c r="E26" s="199"/>
      <c r="F26" s="199"/>
      <c r="G26" s="199"/>
      <c r="H26" s="199"/>
      <c r="I26" s="199"/>
      <c r="J26" s="199"/>
      <c r="K26" s="199"/>
      <c r="L26" s="199"/>
      <c r="M26" s="199"/>
      <c r="O26" s="194"/>
      <c r="P26" s="188"/>
      <c r="Q26" s="114"/>
      <c r="R26" s="114"/>
      <c r="S26" s="114"/>
      <c r="T26" s="114"/>
      <c r="U26" s="196"/>
      <c r="V26" s="200"/>
      <c r="W26" s="114"/>
      <c r="X26" s="114"/>
      <c r="Y26" s="114"/>
      <c r="Z26" s="114"/>
      <c r="AA26" s="114"/>
      <c r="AB26" s="195"/>
      <c r="AC26" s="188"/>
    </row>
    <row r="27" s="1" customFormat="1" ht="15" spans="2:34">
      <c r="B27" s="20" t="s">
        <v>24</v>
      </c>
      <c r="C27" s="21"/>
      <c r="D27" s="20" t="s">
        <v>10</v>
      </c>
      <c r="E27" s="21"/>
      <c r="F27" s="20" t="s">
        <v>25</v>
      </c>
      <c r="G27" s="21"/>
      <c r="H27" s="20" t="s">
        <v>26</v>
      </c>
      <c r="I27" s="21"/>
      <c r="J27" s="20" t="s">
        <v>12</v>
      </c>
      <c r="K27" s="21"/>
      <c r="L27" s="20" t="s">
        <v>27</v>
      </c>
      <c r="M27" s="21"/>
      <c r="O27" s="194"/>
      <c r="P27" s="188"/>
      <c r="Q27" s="196"/>
      <c r="R27" s="114"/>
      <c r="S27" s="114"/>
      <c r="T27" s="114"/>
      <c r="U27" s="196"/>
      <c r="V27" s="200"/>
      <c r="W27" s="114"/>
      <c r="X27" s="114"/>
      <c r="Y27" s="114"/>
      <c r="Z27" s="114"/>
      <c r="AA27" s="114"/>
      <c r="AB27" s="195"/>
      <c r="AC27" s="188"/>
    </row>
    <row r="28" s="1" customFormat="1" ht="15" spans="2:34">
      <c r="B28" s="34" t="s">
        <v>28</v>
      </c>
      <c r="C28" s="35">
        <f>437+587</f>
        <v>1024</v>
      </c>
      <c r="D28" s="34" t="s">
        <v>29</v>
      </c>
      <c r="E28" s="36">
        <f>E25*30%</f>
        <v>0.6</v>
      </c>
      <c r="F28" s="34" t="s">
        <v>30</v>
      </c>
      <c r="G28" s="37">
        <v>0.13</v>
      </c>
      <c r="H28" s="34" t="s">
        <v>30</v>
      </c>
      <c r="I28" s="37">
        <v>1.5</v>
      </c>
      <c r="J28" s="181" t="s">
        <v>31</v>
      </c>
      <c r="K28" s="36">
        <v>0.15</v>
      </c>
      <c r="L28" s="34" t="s">
        <v>32</v>
      </c>
      <c r="M28" s="37">
        <f>8.6%*2</f>
        <v>0.172</v>
      </c>
      <c r="O28" s="194"/>
      <c r="P28" s="188"/>
      <c r="Q28" s="196"/>
      <c r="R28" s="114"/>
      <c r="S28" s="114"/>
      <c r="T28" s="114"/>
      <c r="U28" s="196"/>
      <c r="V28" s="200"/>
      <c r="W28" s="114"/>
      <c r="X28" s="114"/>
      <c r="Y28" s="114"/>
      <c r="Z28" s="114"/>
      <c r="AA28" s="114"/>
      <c r="AB28" s="195"/>
      <c r="AC28" s="188"/>
    </row>
    <row r="29" s="1" customFormat="1" ht="15" spans="2:34">
      <c r="B29" s="34" t="s">
        <v>33</v>
      </c>
      <c r="C29" s="36">
        <f>12%+12%</f>
        <v>0.24</v>
      </c>
      <c r="D29" s="34" t="s">
        <v>34</v>
      </c>
      <c r="E29" s="36"/>
      <c r="F29" s="34" t="s">
        <v>35</v>
      </c>
      <c r="G29" s="37">
        <v>0.243</v>
      </c>
      <c r="H29" s="34" t="s">
        <v>35</v>
      </c>
      <c r="I29" s="37">
        <v>0</v>
      </c>
      <c r="J29" s="49" t="s">
        <v>36</v>
      </c>
      <c r="K29" s="36">
        <v>0.25</v>
      </c>
      <c r="L29" s="34" t="s">
        <v>37</v>
      </c>
      <c r="M29" s="37">
        <f>8.6%*2</f>
        <v>0.172</v>
      </c>
      <c r="O29" s="194"/>
      <c r="P29" s="188"/>
      <c r="Q29" s="195"/>
      <c r="R29" s="114"/>
      <c r="S29" s="114"/>
      <c r="T29" s="114"/>
      <c r="U29" s="196"/>
      <c r="V29" s="195"/>
      <c r="W29" s="114"/>
      <c r="X29" s="114"/>
      <c r="Y29" s="114"/>
      <c r="Z29" s="114"/>
      <c r="AA29" s="114"/>
      <c r="AB29" s="195"/>
      <c r="AC29" s="188"/>
    </row>
    <row r="30" s="1" customFormat="1" ht="15" spans="2:34">
      <c r="B30" s="34" t="s">
        <v>39</v>
      </c>
      <c r="C30" s="36">
        <f>18%+18%+M28+(2-E25)*30%</f>
        <v>0.532</v>
      </c>
      <c r="D30" s="34" t="s">
        <v>40</v>
      </c>
      <c r="E30" s="36"/>
      <c r="F30" s="34" t="s">
        <v>41</v>
      </c>
      <c r="G30" s="37">
        <v>0.2</v>
      </c>
      <c r="H30" s="34" t="s">
        <v>41</v>
      </c>
      <c r="I30" s="37">
        <v>0</v>
      </c>
      <c r="J30" s="49"/>
      <c r="K30" s="37"/>
      <c r="L30" s="34" t="s">
        <v>25</v>
      </c>
      <c r="M30" s="37">
        <f>8.1*5%</f>
        <v>0.405</v>
      </c>
      <c r="O30" s="194"/>
      <c r="P30" s="188"/>
      <c r="Q30" s="195"/>
      <c r="R30" s="114"/>
      <c r="S30" s="114"/>
      <c r="T30" s="114"/>
      <c r="U30" s="196"/>
      <c r="V30" s="195"/>
      <c r="W30" s="114"/>
      <c r="X30" s="114"/>
      <c r="Y30" s="114"/>
      <c r="Z30" s="114"/>
      <c r="AA30" s="114"/>
      <c r="AB30" s="195"/>
      <c r="AC30" s="188"/>
    </row>
    <row r="31" s="1" customFormat="1" ht="15" spans="2:34">
      <c r="B31" s="34" t="s">
        <v>43</v>
      </c>
      <c r="C31" s="69"/>
      <c r="D31" s="34" t="s">
        <v>44</v>
      </c>
      <c r="E31" s="36"/>
      <c r="F31" s="34" t="s">
        <v>39</v>
      </c>
      <c r="G31" s="37">
        <f>M30</f>
        <v>0.405</v>
      </c>
      <c r="H31" s="34" t="s">
        <v>39</v>
      </c>
      <c r="I31" s="37">
        <f>M31+44%</f>
        <v>1.25</v>
      </c>
      <c r="J31" s="49"/>
      <c r="K31" s="37"/>
      <c r="L31" s="34" t="s">
        <v>45</v>
      </c>
      <c r="M31" s="36">
        <f>16.2%*5</f>
        <v>0.81</v>
      </c>
      <c r="O31" s="194"/>
      <c r="P31" s="188"/>
      <c r="Q31" s="195"/>
      <c r="R31" s="114"/>
      <c r="S31" s="114"/>
      <c r="T31" s="114"/>
      <c r="U31" s="114"/>
      <c r="V31" s="195"/>
      <c r="W31" s="114"/>
      <c r="X31" s="114"/>
      <c r="Y31" s="114"/>
      <c r="Z31" s="114"/>
      <c r="AA31" s="114"/>
      <c r="AB31" s="195"/>
      <c r="AC31" s="188"/>
    </row>
    <row r="32" s="1" customFormat="1" ht="15" spans="2:34">
      <c r="B32" s="34" t="s">
        <v>46</v>
      </c>
      <c r="C32" s="69">
        <f>22.5%+25%</f>
        <v>0.475</v>
      </c>
      <c r="D32" s="34" t="s">
        <v>47</v>
      </c>
      <c r="E32" s="171"/>
      <c r="F32" s="34" t="s">
        <v>48</v>
      </c>
      <c r="G32" s="37">
        <v>0</v>
      </c>
      <c r="H32" s="34" t="s">
        <v>48</v>
      </c>
      <c r="I32" s="37">
        <v>0</v>
      </c>
      <c r="J32" s="49"/>
      <c r="K32" s="37"/>
      <c r="L32" s="34"/>
      <c r="M32" s="35"/>
      <c r="O32" s="194"/>
      <c r="P32" s="188"/>
      <c r="Q32" s="195"/>
      <c r="R32" s="114"/>
      <c r="S32" s="114"/>
      <c r="T32" s="114"/>
      <c r="U32" s="196"/>
      <c r="V32" s="196"/>
      <c r="W32" s="114"/>
      <c r="X32" s="114"/>
      <c r="Y32" s="114"/>
      <c r="Z32" s="114"/>
      <c r="AA32" s="114"/>
      <c r="AB32" s="195"/>
      <c r="AC32" s="188"/>
    </row>
    <row r="33" s="1" customFormat="1" ht="15" spans="2:29">
      <c r="B33" s="34" t="s">
        <v>49</v>
      </c>
      <c r="C33" s="35">
        <v>350</v>
      </c>
      <c r="D33" s="34" t="s">
        <v>50</v>
      </c>
      <c r="E33" s="36">
        <v>0.3</v>
      </c>
      <c r="F33" s="34" t="s">
        <v>51</v>
      </c>
      <c r="G33" s="37">
        <v>0</v>
      </c>
      <c r="H33" s="34" t="s">
        <v>51</v>
      </c>
      <c r="I33" s="37">
        <v>0</v>
      </c>
      <c r="J33" s="49"/>
      <c r="K33" s="37"/>
      <c r="L33" s="34"/>
      <c r="M33" s="35"/>
      <c r="O33" s="201"/>
      <c r="P33" s="188"/>
      <c r="Q33" s="202"/>
      <c r="R33" s="203"/>
      <c r="S33" s="203"/>
      <c r="T33" s="203"/>
      <c r="U33" s="202"/>
      <c r="V33" s="204"/>
      <c r="W33" s="203"/>
      <c r="X33" s="203"/>
      <c r="Y33" s="203"/>
      <c r="Z33" s="203"/>
      <c r="AA33" s="203"/>
      <c r="AB33" s="205"/>
      <c r="AC33" s="188"/>
    </row>
    <row r="34" s="1" customFormat="1" spans="2:29">
      <c r="B34" s="51" t="s">
        <v>52</v>
      </c>
      <c r="C34" s="52"/>
      <c r="D34" s="51"/>
      <c r="E34" s="53"/>
      <c r="F34" s="54" t="s">
        <v>53</v>
      </c>
      <c r="G34" s="55">
        <f>MIN(100%,SUM(G28:G33))</f>
        <v>0.978</v>
      </c>
      <c r="H34" s="54" t="s">
        <v>54</v>
      </c>
      <c r="I34" s="55">
        <f>SUM(I28:I33)</f>
        <v>2.75</v>
      </c>
      <c r="J34" s="56"/>
      <c r="K34" s="71"/>
      <c r="L34" s="51"/>
      <c r="M34" s="52"/>
    </row>
    <row r="35" s="1" customFormat="1" ht="15" spans="2:29">
      <c r="F35" s="20" t="s">
        <v>55</v>
      </c>
      <c r="G35" s="59">
        <f>MAX(0,SUM(G28:G33)-1)</f>
        <v>0</v>
      </c>
      <c r="O35" s="66">
        <f t="shared" ref="O35:O37" si="1">$O$38</f>
        <v>1</v>
      </c>
      <c r="P35" s="91" t="s">
        <v>65</v>
      </c>
      <c r="Q35" s="93">
        <v>18.8075</v>
      </c>
      <c r="R35" s="91" t="s">
        <v>66</v>
      </c>
      <c r="S35" s="91">
        <v>10027</v>
      </c>
      <c r="T35" s="93">
        <v>0</v>
      </c>
      <c r="U35" s="93">
        <v>0</v>
      </c>
      <c r="V35" s="94">
        <v>1</v>
      </c>
      <c r="W35" s="95">
        <v>0</v>
      </c>
      <c r="X35" s="94">
        <f t="shared" ref="X35:X38" si="2">$AH$3</f>
        <v>0.488431876606684</v>
      </c>
      <c r="Y35" s="91">
        <f t="shared" ref="Y35:Y38" si="3">$AH$18</f>
        <v>0.8</v>
      </c>
      <c r="Z35" s="96">
        <v>0</v>
      </c>
      <c r="AA35" s="96">
        <v>0</v>
      </c>
      <c r="AB35" s="39">
        <v>0.5</v>
      </c>
      <c r="AC35" s="138">
        <f t="shared" ref="AC35:AC38" si="4">Q35*S35*(1+T35)*(1+U35)*V35*(1+W35)*X35*Y35*(1+Z35)*(1+AA35)*(1+AB35)*O35</f>
        <v>110531.822544987</v>
      </c>
    </row>
    <row r="36" s="1" customFormat="1" ht="15" spans="2:29">
      <c r="G36" s="2"/>
      <c r="O36" s="34">
        <f t="shared" si="1"/>
        <v>1</v>
      </c>
      <c r="P36" s="57" t="s">
        <v>67</v>
      </c>
      <c r="Q36" s="100">
        <v>2.9822</v>
      </c>
      <c r="R36" s="57" t="s">
        <v>66</v>
      </c>
      <c r="S36" s="57">
        <v>10027</v>
      </c>
      <c r="T36" s="100">
        <v>0</v>
      </c>
      <c r="U36" s="100">
        <v>0</v>
      </c>
      <c r="V36" s="101">
        <v>1</v>
      </c>
      <c r="W36" s="102">
        <v>0</v>
      </c>
      <c r="X36" s="101">
        <f t="shared" si="2"/>
        <v>0.488431876606684</v>
      </c>
      <c r="Y36" s="57">
        <f t="shared" si="3"/>
        <v>0.8</v>
      </c>
      <c r="Z36" s="103">
        <v>0</v>
      </c>
      <c r="AA36" s="103">
        <v>0</v>
      </c>
      <c r="AB36" s="36">
        <v>0.5</v>
      </c>
      <c r="AC36" s="138">
        <f t="shared" si="4"/>
        <v>17526.4123989717</v>
      </c>
    </row>
    <row r="37" s="1" customFormat="1" ht="15" spans="2:29">
      <c r="B37" s="120" t="s">
        <v>68</v>
      </c>
      <c r="D37" s="120"/>
      <c r="G37" s="2"/>
      <c r="O37" s="34">
        <f t="shared" si="1"/>
        <v>1</v>
      </c>
      <c r="P37" s="57" t="s">
        <v>69</v>
      </c>
      <c r="Q37" s="100">
        <v>5.9643</v>
      </c>
      <c r="R37" s="57" t="s">
        <v>66</v>
      </c>
      <c r="S37" s="57">
        <v>10027</v>
      </c>
      <c r="T37" s="100">
        <v>0</v>
      </c>
      <c r="U37" s="100">
        <v>0</v>
      </c>
      <c r="V37" s="101">
        <v>1</v>
      </c>
      <c r="W37" s="102">
        <v>0</v>
      </c>
      <c r="X37" s="101">
        <f t="shared" si="2"/>
        <v>0.488431876606684</v>
      </c>
      <c r="Y37" s="57">
        <f t="shared" si="3"/>
        <v>0.8</v>
      </c>
      <c r="Z37" s="103">
        <v>0</v>
      </c>
      <c r="AA37" s="103">
        <v>0</v>
      </c>
      <c r="AB37" s="36">
        <v>0.5</v>
      </c>
      <c r="AC37" s="206">
        <f t="shared" si="4"/>
        <v>35052.2370971722</v>
      </c>
    </row>
    <row r="38" s="1" customFormat="1" ht="15" spans="2:29">
      <c r="B38" s="121"/>
      <c r="C38" s="122" t="s">
        <v>70</v>
      </c>
      <c r="D38" s="122" t="s">
        <v>71</v>
      </c>
      <c r="E38" s="122" t="s">
        <v>72</v>
      </c>
      <c r="F38" s="122" t="s">
        <v>73</v>
      </c>
      <c r="G38" s="2"/>
      <c r="O38" s="20">
        <v>1</v>
      </c>
      <c r="P38" s="137" t="s">
        <v>74</v>
      </c>
      <c r="Q38" s="145">
        <v>16</v>
      </c>
      <c r="R38" s="137" t="s">
        <v>75</v>
      </c>
      <c r="S38" s="137">
        <v>10027</v>
      </c>
      <c r="T38" s="145">
        <v>0</v>
      </c>
      <c r="U38" s="145">
        <v>0</v>
      </c>
      <c r="V38" s="146">
        <v>1</v>
      </c>
      <c r="W38" s="147">
        <v>0</v>
      </c>
      <c r="X38" s="146">
        <f t="shared" si="2"/>
        <v>0.488431876606684</v>
      </c>
      <c r="Y38" s="137">
        <f t="shared" si="3"/>
        <v>0.8</v>
      </c>
      <c r="Z38" s="148">
        <v>0</v>
      </c>
      <c r="AA38" s="148">
        <v>0</v>
      </c>
      <c r="AB38" s="207">
        <v>0.1</v>
      </c>
      <c r="AC38" s="208">
        <f t="shared" si="4"/>
        <v>68956.8904884319</v>
      </c>
    </row>
    <row r="39" s="1" customFormat="1" ht="15" spans="2:29">
      <c r="B39" s="4" t="s">
        <v>3</v>
      </c>
      <c r="C39" s="123">
        <f>SUM(AC3:AC15)</f>
        <v>50361.5133556022</v>
      </c>
      <c r="D39" s="123">
        <f t="shared" ref="D39:D44" si="5">C39/$E$39</f>
        <v>2014.46053422409</v>
      </c>
      <c r="E39" s="124">
        <v>25</v>
      </c>
      <c r="F39" s="125">
        <f t="shared" ref="F39:F44" si="6">C39/$C$45</f>
        <v>0.119703251049144</v>
      </c>
      <c r="G39" s="2"/>
      <c r="Q39" s="2"/>
      <c r="U39" s="2"/>
      <c r="V39" s="3"/>
      <c r="AB39" s="4"/>
      <c r="AC39" s="4"/>
    </row>
    <row r="40" s="1" customFormat="1" ht="15" spans="2:29">
      <c r="B40" s="4" t="s">
        <v>59</v>
      </c>
      <c r="C40" s="123">
        <f>SUM(AC16:AC23)</f>
        <v>50361.5133556022</v>
      </c>
      <c r="D40" s="123">
        <f t="shared" si="5"/>
        <v>2014.46053422409</v>
      </c>
      <c r="E40" s="126"/>
      <c r="F40" s="125">
        <f t="shared" si="6"/>
        <v>0.119703251049144</v>
      </c>
      <c r="G40" s="2"/>
      <c r="N40" s="187" t="s">
        <v>76</v>
      </c>
      <c r="O40" s="189" t="s">
        <v>4</v>
      </c>
      <c r="P40" s="189"/>
      <c r="Q40" s="191"/>
      <c r="R40" s="189"/>
      <c r="S40" s="189"/>
      <c r="T40" s="189"/>
      <c r="U40" s="191"/>
      <c r="V40" s="209"/>
      <c r="W40" s="189"/>
      <c r="X40" s="189"/>
      <c r="Y40" s="189"/>
      <c r="Z40" s="189"/>
      <c r="AA40" s="189"/>
      <c r="AB40" s="190"/>
      <c r="AC40" s="210"/>
    </row>
    <row r="41" s="1" customFormat="1" ht="15" spans="2:29">
      <c r="B41" s="4" t="s">
        <v>64</v>
      </c>
      <c r="C41" s="123">
        <f>SUM(AC24:AC33)</f>
        <v>50361.5133556022</v>
      </c>
      <c r="D41" s="123">
        <f t="shared" si="5"/>
        <v>2014.46053422409</v>
      </c>
      <c r="E41" s="134"/>
      <c r="F41" s="125">
        <f t="shared" si="6"/>
        <v>0.119703251049144</v>
      </c>
      <c r="G41" s="2"/>
      <c r="N41" s="34">
        <v>6</v>
      </c>
      <c r="O41" s="57">
        <v>1</v>
      </c>
      <c r="P41" s="211" t="s">
        <v>77</v>
      </c>
      <c r="Q41" s="212">
        <f>IF(N41&gt;0,(MAX(45%,112.5%+112.5%*(N41-2))),(IF(N41&lt;=0,0)))</f>
        <v>5.625</v>
      </c>
      <c r="R41" s="211" t="s">
        <v>77</v>
      </c>
      <c r="S41" s="213">
        <v>3674.1</v>
      </c>
      <c r="T41" s="214">
        <v>0</v>
      </c>
      <c r="U41" s="214">
        <v>0</v>
      </c>
      <c r="V41" s="215">
        <v>1</v>
      </c>
      <c r="W41" s="216">
        <v>0</v>
      </c>
      <c r="X41" s="215">
        <f t="shared" ref="X41:X44" si="7">$AH$3</f>
        <v>0.488431876606684</v>
      </c>
      <c r="Y41" s="211">
        <f>$AH$13</f>
        <v>0.8</v>
      </c>
      <c r="Z41" s="217">
        <v>0</v>
      </c>
      <c r="AA41" s="217">
        <v>0</v>
      </c>
      <c r="AB41" s="217">
        <v>0</v>
      </c>
      <c r="AC41" s="218">
        <f t="shared" ref="AC41:AC44" si="8">Q41*S41*(1+T41)*(1+U41)*V41*(1+W41)*X41*Y41*(1+Z41)*(1+AA41)*(1+AB41)*O41</f>
        <v>8075.46401028278</v>
      </c>
    </row>
    <row r="42" s="1" customFormat="1" ht="15" spans="2:29">
      <c r="B42" s="4" t="s">
        <v>78</v>
      </c>
      <c r="C42" s="123">
        <f>SUM(AC41:AC44)</f>
        <v>37567.7763948586</v>
      </c>
      <c r="D42" s="123">
        <f t="shared" si="5"/>
        <v>1502.71105579434</v>
      </c>
      <c r="E42" s="134"/>
      <c r="F42" s="125">
        <f t="shared" si="6"/>
        <v>0.0892940793379001</v>
      </c>
      <c r="G42" s="2"/>
      <c r="N42" s="34">
        <v>10</v>
      </c>
      <c r="O42" s="57">
        <v>1</v>
      </c>
      <c r="P42" s="219" t="s">
        <v>79</v>
      </c>
      <c r="Q42" s="220">
        <f>IF(N42=1,0.3,IF(AND(N42&gt;=2,N42&lt;=10),0.3+0.2439*(N42-1),IF(AND(N42&gt;=11),2.4951+0.8317*(N42-10),IF(AND(N42&lt;=0),0,""))))</f>
        <v>2.4951</v>
      </c>
      <c r="R42" s="219" t="s">
        <v>79</v>
      </c>
      <c r="S42" s="221">
        <v>3674.1</v>
      </c>
      <c r="T42" s="222">
        <v>0</v>
      </c>
      <c r="U42" s="222">
        <v>0</v>
      </c>
      <c r="V42" s="223">
        <v>1</v>
      </c>
      <c r="W42" s="224">
        <v>0</v>
      </c>
      <c r="X42" s="223">
        <f t="shared" si="7"/>
        <v>0.488431876606684</v>
      </c>
      <c r="Y42" s="219">
        <f>$AH$11</f>
        <v>0.8</v>
      </c>
      <c r="Z42" s="225">
        <v>0</v>
      </c>
      <c r="AA42" s="225">
        <v>0</v>
      </c>
      <c r="AB42" s="225">
        <v>0</v>
      </c>
      <c r="AC42" s="226">
        <f t="shared" si="8"/>
        <v>3582.0604892545</v>
      </c>
    </row>
    <row r="43" s="1" customFormat="1" ht="15" spans="2:29">
      <c r="B43" s="4" t="s">
        <v>66</v>
      </c>
      <c r="C43" s="123">
        <f>SUM(AC35:AC37)</f>
        <v>163110.472041131</v>
      </c>
      <c r="D43" s="123">
        <f t="shared" si="5"/>
        <v>6524.41888164524</v>
      </c>
      <c r="E43" s="134"/>
      <c r="F43" s="125">
        <f t="shared" si="6"/>
        <v>0.387693944890398</v>
      </c>
      <c r="G43" s="2"/>
      <c r="N43" s="34">
        <v>13</v>
      </c>
      <c r="O43" s="57">
        <v>1</v>
      </c>
      <c r="P43" s="184" t="s">
        <v>80</v>
      </c>
      <c r="Q43" s="227">
        <f>IF(N43=1,24.5%,IF(AND(10&gt;=N43,N43&gt;=2),24.5%+(N43-1)*19.9185%,IF(AND(13&gt;=N43,N43&gt;=11),203.77%+(N43-10)*(271.69%-203.77%),"")))</f>
        <v>4.0753</v>
      </c>
      <c r="R43" s="184" t="s">
        <v>80</v>
      </c>
      <c r="S43" s="228">
        <v>3674.1</v>
      </c>
      <c r="T43" s="229">
        <v>0</v>
      </c>
      <c r="U43" s="229">
        <v>0</v>
      </c>
      <c r="V43" s="230">
        <v>1</v>
      </c>
      <c r="W43" s="231">
        <v>0</v>
      </c>
      <c r="X43" s="230">
        <f t="shared" si="7"/>
        <v>0.488431876606684</v>
      </c>
      <c r="Y43" s="184">
        <f>$AH$15</f>
        <v>0.8</v>
      </c>
      <c r="Z43" s="232">
        <v>0</v>
      </c>
      <c r="AA43" s="232">
        <v>0</v>
      </c>
      <c r="AB43" s="232">
        <v>0</v>
      </c>
      <c r="AC43" s="233">
        <f t="shared" si="8"/>
        <v>5850.65572997429</v>
      </c>
    </row>
    <row r="44" s="1" customFormat="1" ht="15" spans="2:29">
      <c r="B44" s="4" t="s">
        <v>74</v>
      </c>
      <c r="C44" s="123">
        <f>AC38</f>
        <v>68956.8904884319</v>
      </c>
      <c r="D44" s="123">
        <f t="shared" si="5"/>
        <v>2758.27561953727</v>
      </c>
      <c r="E44" s="134"/>
      <c r="F44" s="125">
        <f t="shared" si="6"/>
        <v>0.16390222262427</v>
      </c>
      <c r="G44" s="2"/>
      <c r="N44" s="51">
        <v>13</v>
      </c>
      <c r="O44" s="128">
        <v>1</v>
      </c>
      <c r="P44" s="234" t="s">
        <v>81</v>
      </c>
      <c r="Q44" s="235">
        <f>IF(N44=1,0.84,IF(N44=2,1.5229,IF(N44=3,2.2058,IF(N44=4,2.8888,IF(N44=5,3.5717,IF(N44=6,4.2546,IF(N44=7,4.9375,IF(N44=8,5.6204,IF(N44=9,6.3034,IF(N44=10,6.9863,IF(N44=11,9.315,IF(N44=12,11.6438,IF(N44=13,13.9726,"")))))))))))))</f>
        <v>13.9726</v>
      </c>
      <c r="R44" s="234" t="s">
        <v>81</v>
      </c>
      <c r="S44" s="236">
        <v>3674.1</v>
      </c>
      <c r="T44" s="237">
        <v>0</v>
      </c>
      <c r="U44" s="237">
        <v>0</v>
      </c>
      <c r="V44" s="238">
        <v>1</v>
      </c>
      <c r="W44" s="239">
        <v>0</v>
      </c>
      <c r="X44" s="238">
        <f t="shared" si="7"/>
        <v>0.488431876606684</v>
      </c>
      <c r="Y44" s="234">
        <f>$AH$16</f>
        <v>0.8</v>
      </c>
      <c r="Z44" s="240">
        <v>0</v>
      </c>
      <c r="AA44" s="240">
        <v>0</v>
      </c>
      <c r="AB44" s="240">
        <v>0</v>
      </c>
      <c r="AC44" s="241">
        <f t="shared" si="8"/>
        <v>20059.596165347</v>
      </c>
    </row>
    <row r="45" s="1" customFormat="1" ht="15" spans="2:29">
      <c r="B45" s="4" t="s">
        <v>82</v>
      </c>
      <c r="C45" s="139">
        <f>SUM(C39:C44)</f>
        <v>420719.678991228</v>
      </c>
      <c r="D45" s="139">
        <f>C45/E39</f>
        <v>16828.7871596491</v>
      </c>
      <c r="E45" s="140"/>
      <c r="F45" s="141"/>
      <c r="G45" s="2"/>
      <c r="Q45" s="2"/>
      <c r="U45" s="2"/>
      <c r="V45" s="3"/>
      <c r="AB45" s="4"/>
      <c r="AC45" s="4"/>
    </row>
    <row r="46" s="1" customFormat="1" spans="2:29">
      <c r="B46" s="4"/>
      <c r="C46" s="4"/>
      <c r="D46" s="4"/>
      <c r="G46" s="2"/>
      <c r="Q46" s="2"/>
      <c r="U46" s="2"/>
      <c r="V46" s="3"/>
      <c r="AB46" s="4"/>
      <c r="AC46" s="4"/>
    </row>
    <row r="47" s="1" customFormat="1" spans="2:29">
      <c r="B47" s="4"/>
      <c r="C47" s="4"/>
      <c r="D47" s="4"/>
      <c r="F47" s="4"/>
      <c r="G47" s="2"/>
      <c r="Q47" s="2"/>
      <c r="U47" s="2"/>
      <c r="V47" s="3"/>
      <c r="AB47" s="4"/>
      <c r="AC47" s="4"/>
    </row>
    <row r="48" s="1" customFormat="1" spans="2:29">
      <c r="F48" s="4"/>
      <c r="Q48" s="2"/>
      <c r="U48" s="2"/>
      <c r="V48" s="3"/>
      <c r="AB48" s="4"/>
      <c r="AC48" s="4"/>
    </row>
    <row r="49" s="1" customFormat="1" spans="2:29">
      <c r="G49" s="2"/>
      <c r="Q49" s="2"/>
      <c r="U49" s="2"/>
      <c r="V49" s="3"/>
      <c r="AB49" s="4"/>
      <c r="AC49" s="4"/>
    </row>
    <row r="50" s="1" customFormat="1" spans="2:29">
      <c r="B50" s="4"/>
      <c r="C50" s="4"/>
      <c r="D50" s="4"/>
      <c r="F50" s="4"/>
      <c r="G50" s="2"/>
      <c r="Q50" s="2"/>
      <c r="U50" s="2"/>
      <c r="V50" s="3"/>
      <c r="AB50" s="4"/>
      <c r="AC50" s="4"/>
    </row>
    <row r="51" s="1" customFormat="1" spans="2:29">
      <c r="B51" s="4"/>
      <c r="C51" s="4"/>
      <c r="D51" s="4"/>
      <c r="F51" s="4"/>
      <c r="G51" s="2"/>
      <c r="Q51" s="2"/>
      <c r="U51" s="2"/>
      <c r="V51" s="3"/>
      <c r="AB51" s="4"/>
      <c r="AC51" s="4"/>
    </row>
    <row r="52" s="1" customFormat="1" spans="2:29">
      <c r="G52" s="2"/>
      <c r="Q52" s="2"/>
      <c r="U52" s="2"/>
      <c r="V52" s="3"/>
      <c r="AB52" s="4"/>
      <c r="AC52" s="4"/>
    </row>
    <row r="53" s="1" customFormat="1" spans="2:29">
      <c r="B53" s="4"/>
      <c r="C53" s="4"/>
      <c r="D53" s="4"/>
      <c r="F53" s="4"/>
      <c r="G53" s="2"/>
      <c r="Q53" s="2"/>
      <c r="U53" s="2"/>
      <c r="V53" s="3"/>
      <c r="AB53" s="4"/>
      <c r="AC53" s="4"/>
    </row>
    <row r="54" s="1" customFormat="1" spans="2:29">
      <c r="B54" s="4"/>
      <c r="C54" s="4"/>
      <c r="D54" s="4"/>
      <c r="F54" s="4"/>
      <c r="G54" s="2"/>
      <c r="Q54" s="2"/>
      <c r="U54" s="2"/>
      <c r="V54" s="3"/>
      <c r="AB54" s="4"/>
      <c r="AC54" s="4"/>
    </row>
    <row r="55" s="1" customFormat="1" spans="2:29">
      <c r="G55" s="2"/>
      <c r="Q55" s="2"/>
      <c r="U55" s="2"/>
      <c r="V55" s="3"/>
      <c r="AB55" s="4"/>
      <c r="AC55" s="4"/>
    </row>
    <row r="56" s="1" customFormat="1" spans="2:29">
      <c r="B56" s="4"/>
      <c r="C56" s="4"/>
      <c r="D56" s="4"/>
      <c r="F56" s="4"/>
      <c r="G56" s="2"/>
      <c r="Q56" s="2"/>
      <c r="U56" s="2"/>
      <c r="V56" s="3"/>
      <c r="AB56" s="4"/>
      <c r="AC56" s="4"/>
    </row>
    <row r="57" s="1" customFormat="1" spans="2:29">
      <c r="B57" s="4"/>
      <c r="C57" s="4"/>
      <c r="D57" s="4"/>
      <c r="G57" s="2"/>
      <c r="Q57" s="2"/>
      <c r="U57" s="2"/>
      <c r="V57" s="3"/>
      <c r="AB57" s="4"/>
      <c r="AC57" s="4"/>
    </row>
    <row r="59" s="1" customFormat="1" spans="2:29">
      <c r="B59" s="4"/>
      <c r="C59" s="4"/>
      <c r="D59" s="4"/>
      <c r="G59" s="2"/>
      <c r="Q59" s="2"/>
      <c r="U59" s="2"/>
      <c r="V59" s="3"/>
      <c r="AB59" s="4"/>
      <c r="AC59" s="4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6:M26"/>
    <mergeCell ref="B27:C27"/>
    <mergeCell ref="D27:E27"/>
    <mergeCell ref="F27:G27"/>
    <mergeCell ref="H27:I27"/>
    <mergeCell ref="J27:K27"/>
    <mergeCell ref="L27:M2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9"/>
  <sheetViews>
    <sheetView workbookViewId="0">
      <selection activeCell="H25" sqref="H25"/>
    </sheetView>
  </sheetViews>
  <sheetFormatPr defaultColWidth="9.69090909090909" defaultRowHeight="14"/>
  <cols>
    <col min="1" max="1" width="7.54545454545455" style="1" customWidth="1"/>
    <col min="2" max="2" width="15" style="1" customWidth="1"/>
    <col min="3" max="3" width="15.3636363636364" style="1" customWidth="1"/>
    <col min="4" max="4" width="13.9090909090909" style="1" customWidth="1"/>
    <col min="5" max="5" width="9.54545454545454" style="1" customWidth="1"/>
    <col min="6" max="6" width="13.9090909090909" style="1" customWidth="1"/>
    <col min="7" max="7" width="8.45454545454546" style="2" customWidth="1"/>
    <col min="8" max="8" width="13.9090909090909" style="1" customWidth="1"/>
    <col min="9" max="9" width="8.45454545454546" style="1" customWidth="1"/>
    <col min="10" max="10" width="11.6363636363636" style="1" customWidth="1"/>
    <col min="11" max="11" width="4.72727272727273" style="1" customWidth="1"/>
    <col min="12" max="12" width="9.54545454545454" style="1" customWidth="1"/>
    <col min="13" max="13" width="7.36363636363636" style="1" customWidth="1"/>
    <col min="14" max="14" width="5.54545454545455" style="1" customWidth="1"/>
    <col min="15" max="15" width="6.09090909090909" style="1" customWidth="1"/>
    <col min="16" max="16" width="17.2727272727273" style="1" customWidth="1"/>
    <col min="17" max="17" width="9.54545454545454" style="2" customWidth="1"/>
    <col min="18" max="18" width="6.09090909090909" style="1" customWidth="1"/>
    <col min="19" max="19" width="10.4545454545455" style="1" customWidth="1"/>
    <col min="20" max="20" width="8.45454545454546" style="1" customWidth="1"/>
    <col min="21" max="21" width="8.45454545454546" style="2" customWidth="1"/>
    <col min="22" max="22" width="8.27272727272727" style="3" customWidth="1"/>
    <col min="23" max="25" width="8.27272727272727" style="1" customWidth="1"/>
    <col min="26" max="26" width="10.4545454545455" style="1" customWidth="1"/>
    <col min="27" max="27" width="8.27272727272727" style="1" customWidth="1"/>
    <col min="28" max="28" width="10.4545454545455" style="4" customWidth="1"/>
    <col min="29" max="29" width="9.45454545454546" style="4" customWidth="1"/>
    <col min="30" max="31" width="5.90909090909091" style="1" customWidth="1"/>
    <col min="32" max="32" width="9.54545454545454" style="1" customWidth="1"/>
    <col min="33" max="33" width="5.90909090909091" style="1" customWidth="1"/>
    <col min="34" max="34" width="8" style="1" customWidth="1"/>
    <col min="35" max="35" width="9.54545454545454" style="1" customWidth="1"/>
    <col min="36" max="16384" width="9.69090909090909" style="1"/>
  </cols>
  <sheetData>
    <row r="1" s="1" customFormat="1" ht="14.75" spans="2:35">
      <c r="B1" s="5" t="s">
        <v>0</v>
      </c>
      <c r="C1" s="5" t="s">
        <v>83</v>
      </c>
      <c r="D1" s="6" t="s">
        <v>2</v>
      </c>
      <c r="E1" s="6">
        <v>2</v>
      </c>
      <c r="Q1" s="2"/>
      <c r="U1" s="2"/>
      <c r="V1" s="3"/>
      <c r="AB1" s="4"/>
      <c r="AC1" s="4"/>
    </row>
    <row r="2" s="1" customFormat="1" ht="15" spans="2:35">
      <c r="B2" s="7" t="s">
        <v>84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4</v>
      </c>
      <c r="P2" s="11" t="s">
        <v>5</v>
      </c>
      <c r="Q2" s="12" t="s">
        <v>6</v>
      </c>
      <c r="R2" s="11" t="s">
        <v>7</v>
      </c>
      <c r="S2" s="11" t="s">
        <v>8</v>
      </c>
      <c r="T2" s="13" t="s">
        <v>9</v>
      </c>
      <c r="U2" s="12" t="s">
        <v>10</v>
      </c>
      <c r="V2" s="14" t="s">
        <v>11</v>
      </c>
      <c r="W2" s="11" t="s">
        <v>12</v>
      </c>
      <c r="X2" s="11" t="s">
        <v>13</v>
      </c>
      <c r="Y2" s="11" t="s">
        <v>14</v>
      </c>
      <c r="Z2" s="11" t="s">
        <v>15</v>
      </c>
      <c r="AA2" s="11" t="s">
        <v>16</v>
      </c>
      <c r="AB2" s="15" t="s">
        <v>17</v>
      </c>
      <c r="AC2" s="16" t="s">
        <v>18</v>
      </c>
      <c r="AD2" s="17" t="s">
        <v>85</v>
      </c>
      <c r="AE2" s="17" t="s">
        <v>86</v>
      </c>
      <c r="AF2" s="18" t="s">
        <v>21</v>
      </c>
      <c r="AG2" s="18" t="s">
        <v>22</v>
      </c>
      <c r="AH2" s="19" t="s">
        <v>13</v>
      </c>
      <c r="AI2" s="19" t="s">
        <v>23</v>
      </c>
    </row>
    <row r="3" s="1" customFormat="1" ht="15" spans="2:35">
      <c r="B3" s="20" t="s">
        <v>24</v>
      </c>
      <c r="C3" s="21"/>
      <c r="D3" s="20" t="s">
        <v>10</v>
      </c>
      <c r="E3" s="21"/>
      <c r="F3" s="20" t="s">
        <v>25</v>
      </c>
      <c r="G3" s="21"/>
      <c r="H3" s="20" t="s">
        <v>26</v>
      </c>
      <c r="I3" s="21"/>
      <c r="J3" s="20" t="s">
        <v>12</v>
      </c>
      <c r="K3" s="21"/>
      <c r="L3" s="20" t="s">
        <v>27</v>
      </c>
      <c r="M3" s="21"/>
      <c r="O3" s="22">
        <v>1</v>
      </c>
      <c r="P3" s="23" t="s">
        <v>87</v>
      </c>
      <c r="Q3" s="24">
        <v>5.9643</v>
      </c>
      <c r="R3" s="25" t="s">
        <v>83</v>
      </c>
      <c r="S3" s="26">
        <f t="shared" ref="S3:S14" si="0">$C$4*(1+C$5+C$6+C$7+C$8)+C$9</f>
        <v>2882.352</v>
      </c>
      <c r="T3" s="27">
        <f t="shared" ref="T3:T23" si="1">S3/$C$4-1</f>
        <v>1.814796875</v>
      </c>
      <c r="U3" s="27">
        <f t="shared" ref="U3:U10" si="2">IF(R3=$C$1,SUM($E$4:$E$9),SUM($E$4:$E$8))</f>
        <v>1.432</v>
      </c>
      <c r="V3" s="28">
        <f t="shared" ref="V3:V14" si="3">1+$G$10*($I$10-1+AD3*2.5%+AE3*1%)</f>
        <v>3.425</v>
      </c>
      <c r="W3" s="29">
        <f t="shared" ref="W3:W10" si="4">IF(R3=$C$1,$K$4+$K$5,$K$4)</f>
        <v>0.6</v>
      </c>
      <c r="X3" s="28">
        <f t="shared" ref="X3:X23" si="5">$AH$4</f>
        <v>0.509274150316286</v>
      </c>
      <c r="Y3" s="25">
        <f t="shared" ref="Y3:Y26" si="6">$AH$11</f>
        <v>0.8</v>
      </c>
      <c r="Z3" s="30">
        <v>0</v>
      </c>
      <c r="AA3" s="30">
        <v>0</v>
      </c>
      <c r="AB3" s="31">
        <v>0</v>
      </c>
      <c r="AC3" s="23">
        <f t="shared" ref="AC3:AC10" si="7">Q3*$C$4*(1+T3)*(1+U3)*V3*(1+W3)*X3*Y3*(1+Z3)*(1+AA3)*(1+AB3)*O3</f>
        <v>93345.2548633916</v>
      </c>
      <c r="AD3" s="32">
        <v>17</v>
      </c>
      <c r="AE3" s="32"/>
      <c r="AF3" s="18">
        <v>0</v>
      </c>
      <c r="AG3" s="18">
        <v>0</v>
      </c>
      <c r="AH3" s="19">
        <f t="shared" ref="AH3:AH8" si="8">1520/(1520+(792+8*AI3)*(1-AG3/100))</f>
        <v>0.488431876606684</v>
      </c>
      <c r="AI3" s="33">
        <v>100</v>
      </c>
    </row>
    <row r="4" s="1" customFormat="1" ht="15" spans="2:35">
      <c r="B4" s="34" t="s">
        <v>28</v>
      </c>
      <c r="C4" s="35">
        <f>437+587</f>
        <v>1024</v>
      </c>
      <c r="D4" s="34" t="s">
        <v>29</v>
      </c>
      <c r="E4" s="36">
        <f>E1*30%</f>
        <v>0.6</v>
      </c>
      <c r="F4" s="34" t="s">
        <v>30</v>
      </c>
      <c r="G4" s="37">
        <v>0.13</v>
      </c>
      <c r="H4" s="34" t="s">
        <v>30</v>
      </c>
      <c r="I4" s="37">
        <v>1.5</v>
      </c>
      <c r="J4" s="38" t="s">
        <v>31</v>
      </c>
      <c r="K4" s="39">
        <f>15%+20%</f>
        <v>0.35</v>
      </c>
      <c r="L4" s="34" t="s">
        <v>32</v>
      </c>
      <c r="M4" s="37">
        <f>8.6%*3</f>
        <v>0.258</v>
      </c>
      <c r="O4" s="40">
        <v>1</v>
      </c>
      <c r="P4" s="23" t="s">
        <v>88</v>
      </c>
      <c r="Q4" s="41">
        <f>39.23%+26.15%*2</f>
        <v>0.9153</v>
      </c>
      <c r="R4" s="42" t="s">
        <v>1</v>
      </c>
      <c r="S4" s="43">
        <f t="shared" si="0"/>
        <v>2882.352</v>
      </c>
      <c r="T4" s="44">
        <f t="shared" si="1"/>
        <v>1.814796875</v>
      </c>
      <c r="U4" s="44">
        <f t="shared" si="2"/>
        <v>0.94</v>
      </c>
      <c r="V4" s="46">
        <f t="shared" si="3"/>
        <v>3.425</v>
      </c>
      <c r="W4" s="45">
        <f t="shared" si="4"/>
        <v>0.35</v>
      </c>
      <c r="X4" s="46">
        <f t="shared" si="5"/>
        <v>0.509274150316286</v>
      </c>
      <c r="Y4" s="42">
        <f t="shared" si="6"/>
        <v>0.8</v>
      </c>
      <c r="Z4" s="47">
        <v>0</v>
      </c>
      <c r="AA4" s="47">
        <v>0</v>
      </c>
      <c r="AB4" s="48">
        <v>0</v>
      </c>
      <c r="AC4" s="23">
        <f t="shared" si="7"/>
        <v>9641.57920507617</v>
      </c>
      <c r="AD4" s="32">
        <v>17</v>
      </c>
      <c r="AE4" s="32"/>
      <c r="AF4" s="18">
        <v>8</v>
      </c>
      <c r="AG4" s="18">
        <v>0</v>
      </c>
      <c r="AH4" s="19">
        <f>1520/(1520+(792+8*AI4)*(1-AG4/100)*(1-AF4/100))</f>
        <v>0.509274150316286</v>
      </c>
      <c r="AI4" s="33">
        <v>100</v>
      </c>
    </row>
    <row r="5" s="1" customFormat="1" ht="15" spans="2:35">
      <c r="B5" s="34" t="s">
        <v>33</v>
      </c>
      <c r="C5" s="37">
        <f>12%+12%</f>
        <v>0.24</v>
      </c>
      <c r="D5" s="34" t="s">
        <v>34</v>
      </c>
      <c r="E5" s="36">
        <f>12%+10%</f>
        <v>0.22</v>
      </c>
      <c r="F5" s="34" t="s">
        <v>35</v>
      </c>
      <c r="G5" s="37">
        <v>0.243</v>
      </c>
      <c r="H5" s="34" t="s">
        <v>35</v>
      </c>
      <c r="I5" s="37">
        <v>0</v>
      </c>
      <c r="J5" s="49" t="s">
        <v>89</v>
      </c>
      <c r="K5" s="36">
        <v>0.25</v>
      </c>
      <c r="L5" s="34" t="s">
        <v>37</v>
      </c>
      <c r="M5" s="37">
        <f>8.6%*2</f>
        <v>0.172</v>
      </c>
      <c r="O5" s="40">
        <v>1</v>
      </c>
      <c r="P5" s="23" t="s">
        <v>90</v>
      </c>
      <c r="Q5" s="41">
        <f t="shared" ref="Q5:Q9" si="9">37.88%*4+117.88%*3</f>
        <v>5.0516</v>
      </c>
      <c r="R5" s="42" t="s">
        <v>83</v>
      </c>
      <c r="S5" s="43">
        <f t="shared" si="0"/>
        <v>2882.352</v>
      </c>
      <c r="T5" s="44">
        <f t="shared" si="1"/>
        <v>1.814796875</v>
      </c>
      <c r="U5" s="44">
        <f t="shared" si="2"/>
        <v>1.432</v>
      </c>
      <c r="V5" s="46">
        <f t="shared" si="3"/>
        <v>3.425</v>
      </c>
      <c r="W5" s="45">
        <f t="shared" si="4"/>
        <v>0.6</v>
      </c>
      <c r="X5" s="46">
        <f t="shared" si="5"/>
        <v>0.509274150316286</v>
      </c>
      <c r="Y5" s="42">
        <f t="shared" si="6"/>
        <v>0.8</v>
      </c>
      <c r="Z5" s="47">
        <v>0</v>
      </c>
      <c r="AA5" s="47">
        <v>0</v>
      </c>
      <c r="AB5" s="48">
        <v>0</v>
      </c>
      <c r="AC5" s="23">
        <f t="shared" si="7"/>
        <v>79060.89389667</v>
      </c>
      <c r="AD5" s="32">
        <v>17</v>
      </c>
      <c r="AE5" s="32"/>
      <c r="AF5" s="18">
        <v>0</v>
      </c>
      <c r="AG5" s="18">
        <v>30</v>
      </c>
      <c r="AH5" s="19">
        <f t="shared" si="8"/>
        <v>0.57698147585788</v>
      </c>
      <c r="AI5" s="33">
        <v>100</v>
      </c>
    </row>
    <row r="6" s="1" customFormat="1" ht="15" spans="2:35">
      <c r="B6" s="34" t="s">
        <v>39</v>
      </c>
      <c r="C6" s="37">
        <f>18%+18%+M4+(2-E1)*30%</f>
        <v>0.618</v>
      </c>
      <c r="D6" s="34" t="s">
        <v>40</v>
      </c>
      <c r="E6" s="36"/>
      <c r="F6" s="34" t="s">
        <v>41</v>
      </c>
      <c r="G6" s="37">
        <v>0.2</v>
      </c>
      <c r="H6" s="34" t="s">
        <v>41</v>
      </c>
      <c r="I6" s="37">
        <v>0</v>
      </c>
      <c r="J6" s="49" t="s">
        <v>91</v>
      </c>
      <c r="K6" s="36">
        <v>0.32</v>
      </c>
      <c r="L6" s="34" t="s">
        <v>25</v>
      </c>
      <c r="M6" s="37">
        <f>8.1*5%</f>
        <v>0.405</v>
      </c>
      <c r="O6" s="40">
        <v>1</v>
      </c>
      <c r="P6" s="23" t="s">
        <v>83</v>
      </c>
      <c r="Q6" s="41">
        <f>105.97%*2</f>
        <v>2.1194</v>
      </c>
      <c r="R6" s="42" t="s">
        <v>83</v>
      </c>
      <c r="S6" s="43">
        <f t="shared" si="0"/>
        <v>2882.352</v>
      </c>
      <c r="T6" s="44">
        <f t="shared" si="1"/>
        <v>1.814796875</v>
      </c>
      <c r="U6" s="44">
        <f t="shared" si="2"/>
        <v>1.432</v>
      </c>
      <c r="V6" s="46">
        <f t="shared" si="3"/>
        <v>3.425</v>
      </c>
      <c r="W6" s="45">
        <f t="shared" si="4"/>
        <v>0.6</v>
      </c>
      <c r="X6" s="46">
        <f t="shared" si="5"/>
        <v>0.509274150316286</v>
      </c>
      <c r="Y6" s="42">
        <f t="shared" si="6"/>
        <v>0.8</v>
      </c>
      <c r="Z6" s="47">
        <v>0</v>
      </c>
      <c r="AA6" s="47">
        <v>0</v>
      </c>
      <c r="AB6" s="48">
        <v>0</v>
      </c>
      <c r="AC6" s="23">
        <f t="shared" si="7"/>
        <v>33170.0171281579</v>
      </c>
      <c r="AD6" s="32">
        <v>17</v>
      </c>
      <c r="AE6" s="32"/>
      <c r="AF6" s="18">
        <v>0</v>
      </c>
      <c r="AG6" s="18">
        <v>21.6</v>
      </c>
      <c r="AH6" s="19">
        <f t="shared" si="8"/>
        <v>0.549107555719967</v>
      </c>
      <c r="AI6" s="33">
        <v>100</v>
      </c>
    </row>
    <row r="7" s="1" customFormat="1" ht="15" spans="2:35">
      <c r="B7" s="34" t="s">
        <v>43</v>
      </c>
      <c r="C7" s="37"/>
      <c r="D7" s="34" t="s">
        <v>44</v>
      </c>
      <c r="E7" s="36">
        <v>0.12</v>
      </c>
      <c r="F7" s="34" t="s">
        <v>39</v>
      </c>
      <c r="G7" s="37">
        <f>M6</f>
        <v>0.405</v>
      </c>
      <c r="H7" s="34" t="s">
        <v>39</v>
      </c>
      <c r="I7" s="37">
        <f>M7+44%</f>
        <v>1.25</v>
      </c>
      <c r="J7" s="49"/>
      <c r="K7" s="36"/>
      <c r="L7" s="34" t="s">
        <v>45</v>
      </c>
      <c r="M7" s="36">
        <f>16.2%*5</f>
        <v>0.81</v>
      </c>
      <c r="O7" s="40">
        <v>1</v>
      </c>
      <c r="P7" s="23" t="s">
        <v>90</v>
      </c>
      <c r="Q7" s="41">
        <f t="shared" si="9"/>
        <v>5.0516</v>
      </c>
      <c r="R7" s="42" t="s">
        <v>83</v>
      </c>
      <c r="S7" s="43">
        <f t="shared" si="0"/>
        <v>2882.352</v>
      </c>
      <c r="T7" s="44">
        <f t="shared" si="1"/>
        <v>1.814796875</v>
      </c>
      <c r="U7" s="44">
        <f t="shared" si="2"/>
        <v>1.432</v>
      </c>
      <c r="V7" s="46">
        <f t="shared" si="3"/>
        <v>3.425</v>
      </c>
      <c r="W7" s="45">
        <f t="shared" si="4"/>
        <v>0.6</v>
      </c>
      <c r="X7" s="46">
        <f t="shared" si="5"/>
        <v>0.509274150316286</v>
      </c>
      <c r="Y7" s="42">
        <f t="shared" si="6"/>
        <v>0.8</v>
      </c>
      <c r="Z7" s="47">
        <v>0</v>
      </c>
      <c r="AA7" s="47">
        <v>0</v>
      </c>
      <c r="AB7" s="48">
        <v>0</v>
      </c>
      <c r="AC7" s="23">
        <f t="shared" si="7"/>
        <v>79060.89389667</v>
      </c>
      <c r="AD7" s="32">
        <v>17</v>
      </c>
      <c r="AE7" s="32"/>
      <c r="AF7" s="18">
        <v>0</v>
      </c>
      <c r="AG7" s="18">
        <v>28.8</v>
      </c>
      <c r="AH7" s="19">
        <f t="shared" si="8"/>
        <v>0.572827476423627</v>
      </c>
      <c r="AI7" s="33">
        <v>100</v>
      </c>
    </row>
    <row r="8" s="1" customFormat="1" ht="15" spans="2:35">
      <c r="B8" s="34" t="s">
        <v>46</v>
      </c>
      <c r="C8" s="37">
        <f>22.5%+25%+14%</f>
        <v>0.615</v>
      </c>
      <c r="D8" s="34" t="s">
        <v>47</v>
      </c>
      <c r="E8" s="171"/>
      <c r="F8" s="34" t="s">
        <v>48</v>
      </c>
      <c r="G8" s="37">
        <v>0</v>
      </c>
      <c r="H8" s="34" t="s">
        <v>48</v>
      </c>
      <c r="I8" s="37">
        <v>0</v>
      </c>
      <c r="J8" s="49"/>
      <c r="K8" s="36"/>
      <c r="L8" s="34"/>
      <c r="M8" s="35"/>
      <c r="O8" s="40">
        <v>1</v>
      </c>
      <c r="P8" s="23" t="s">
        <v>92</v>
      </c>
      <c r="Q8" s="41">
        <f>53.45%*2+95.43%+39.23%+26.15%*2</f>
        <v>2.9386</v>
      </c>
      <c r="R8" s="42" t="s">
        <v>1</v>
      </c>
      <c r="S8" s="43">
        <f t="shared" si="0"/>
        <v>2882.352</v>
      </c>
      <c r="T8" s="44">
        <f t="shared" si="1"/>
        <v>1.814796875</v>
      </c>
      <c r="U8" s="44">
        <f t="shared" si="2"/>
        <v>0.94</v>
      </c>
      <c r="V8" s="46">
        <f t="shared" si="3"/>
        <v>3.425</v>
      </c>
      <c r="W8" s="45">
        <f t="shared" si="4"/>
        <v>0.35</v>
      </c>
      <c r="X8" s="46">
        <f t="shared" si="5"/>
        <v>0.509274150316286</v>
      </c>
      <c r="Y8" s="42">
        <f t="shared" si="6"/>
        <v>0.8</v>
      </c>
      <c r="Z8" s="47">
        <v>0</v>
      </c>
      <c r="AA8" s="47">
        <v>0</v>
      </c>
      <c r="AB8" s="48">
        <v>0</v>
      </c>
      <c r="AC8" s="23">
        <f t="shared" si="7"/>
        <v>30954.5992046726</v>
      </c>
      <c r="AD8" s="32">
        <v>17</v>
      </c>
      <c r="AE8" s="32"/>
      <c r="AF8" s="18">
        <v>0</v>
      </c>
      <c r="AG8" s="18">
        <v>36</v>
      </c>
      <c r="AH8" s="19">
        <f t="shared" si="8"/>
        <v>0.598689185782707</v>
      </c>
      <c r="AI8" s="33">
        <v>100</v>
      </c>
    </row>
    <row r="9" s="1" customFormat="1" ht="15" spans="2:35">
      <c r="B9" s="34" t="s">
        <v>49</v>
      </c>
      <c r="C9" s="35">
        <v>350</v>
      </c>
      <c r="D9" s="34" t="s">
        <v>93</v>
      </c>
      <c r="E9" s="36">
        <f>32%+M5</f>
        <v>0.492</v>
      </c>
      <c r="F9" s="34" t="s">
        <v>51</v>
      </c>
      <c r="G9" s="37">
        <v>0.125</v>
      </c>
      <c r="H9" s="34" t="s">
        <v>51</v>
      </c>
      <c r="I9" s="37">
        <v>0.25</v>
      </c>
      <c r="J9" s="49"/>
      <c r="K9" s="36"/>
      <c r="L9" s="34"/>
      <c r="M9" s="35"/>
      <c r="O9" s="40">
        <v>1</v>
      </c>
      <c r="P9" s="23" t="s">
        <v>90</v>
      </c>
      <c r="Q9" s="41">
        <f t="shared" si="9"/>
        <v>5.0516</v>
      </c>
      <c r="R9" s="42" t="s">
        <v>83</v>
      </c>
      <c r="S9" s="43">
        <f t="shared" si="0"/>
        <v>2882.352</v>
      </c>
      <c r="T9" s="44">
        <f t="shared" si="1"/>
        <v>1.814796875</v>
      </c>
      <c r="U9" s="44">
        <f t="shared" si="2"/>
        <v>1.432</v>
      </c>
      <c r="V9" s="46">
        <f t="shared" si="3"/>
        <v>3.425</v>
      </c>
      <c r="W9" s="45">
        <f t="shared" si="4"/>
        <v>0.6</v>
      </c>
      <c r="X9" s="46">
        <f t="shared" si="5"/>
        <v>0.509274150316286</v>
      </c>
      <c r="Y9" s="42">
        <f t="shared" si="6"/>
        <v>0.8</v>
      </c>
      <c r="Z9" s="47">
        <v>0</v>
      </c>
      <c r="AA9" s="47">
        <v>0</v>
      </c>
      <c r="AB9" s="48">
        <v>0</v>
      </c>
      <c r="AC9" s="23">
        <f t="shared" si="7"/>
        <v>79060.89389667</v>
      </c>
      <c r="AD9" s="32">
        <v>17</v>
      </c>
      <c r="AE9" s="32"/>
    </row>
    <row r="10" s="1" customFormat="1" ht="15" spans="2:35">
      <c r="B10" s="51" t="s">
        <v>52</v>
      </c>
      <c r="C10" s="52"/>
      <c r="D10" s="51" t="s">
        <v>94</v>
      </c>
      <c r="E10" s="53">
        <f>20%+35%</f>
        <v>0.55</v>
      </c>
      <c r="F10" s="54" t="s">
        <v>53</v>
      </c>
      <c r="G10" s="55">
        <f>MIN(100%,SUM(G4:G9))</f>
        <v>1</v>
      </c>
      <c r="H10" s="54" t="s">
        <v>54</v>
      </c>
      <c r="I10" s="55">
        <f>SUM(I4:I9)</f>
        <v>3</v>
      </c>
      <c r="J10" s="56"/>
      <c r="K10" s="53"/>
      <c r="L10" s="51"/>
      <c r="M10" s="52"/>
      <c r="O10" s="40">
        <v>1</v>
      </c>
      <c r="P10" s="23" t="s">
        <v>92</v>
      </c>
      <c r="Q10" s="41">
        <f>53.45%*2+95.43%+39.23%+26.15%*2</f>
        <v>2.9386</v>
      </c>
      <c r="R10" s="42" t="s">
        <v>1</v>
      </c>
      <c r="S10" s="43">
        <f t="shared" si="0"/>
        <v>2882.352</v>
      </c>
      <c r="T10" s="44">
        <f t="shared" si="1"/>
        <v>1.814796875</v>
      </c>
      <c r="U10" s="44">
        <f t="shared" si="2"/>
        <v>0.94</v>
      </c>
      <c r="V10" s="46">
        <f t="shared" si="3"/>
        <v>3.425</v>
      </c>
      <c r="W10" s="45">
        <f t="shared" si="4"/>
        <v>0.35</v>
      </c>
      <c r="X10" s="46">
        <f t="shared" si="5"/>
        <v>0.509274150316286</v>
      </c>
      <c r="Y10" s="42">
        <f t="shared" si="6"/>
        <v>0.8</v>
      </c>
      <c r="Z10" s="47">
        <v>0</v>
      </c>
      <c r="AA10" s="47">
        <v>0</v>
      </c>
      <c r="AB10" s="48">
        <v>0</v>
      </c>
      <c r="AC10" s="23">
        <f t="shared" si="7"/>
        <v>30954.5992046726</v>
      </c>
      <c r="AD10" s="32">
        <v>17</v>
      </c>
      <c r="AE10" s="32"/>
    </row>
    <row r="11" s="1" customFormat="1" ht="15" spans="2:35">
      <c r="B11" s="57"/>
      <c r="C11" s="57"/>
      <c r="E11" s="58"/>
      <c r="F11" s="20" t="s">
        <v>55</v>
      </c>
      <c r="G11" s="59">
        <f>MAX(0,SUM(G4:G9)-1)</f>
        <v>0.103</v>
      </c>
      <c r="J11" s="2"/>
      <c r="K11" s="2"/>
      <c r="O11" s="40">
        <v>1</v>
      </c>
      <c r="P11" s="23" t="s">
        <v>95</v>
      </c>
      <c r="Q11" s="41">
        <f>152.39%*3</f>
        <v>4.5717</v>
      </c>
      <c r="R11" s="42" t="s">
        <v>96</v>
      </c>
      <c r="S11" s="43">
        <f t="shared" si="0"/>
        <v>2882.352</v>
      </c>
      <c r="T11" s="44">
        <f t="shared" si="1"/>
        <v>1.814796875</v>
      </c>
      <c r="U11" s="44">
        <f>IF(R11=$C$1,SUM($E$4:$E$9),SUM($E$4:$E$8))+$E$10</f>
        <v>1.49</v>
      </c>
      <c r="V11" s="46">
        <f t="shared" si="3"/>
        <v>3.425</v>
      </c>
      <c r="W11" s="45">
        <f>IF(R11=$C$1,$K$4+$K$5,$K$4)+$K$6</f>
        <v>0.67</v>
      </c>
      <c r="X11" s="46">
        <f t="shared" si="5"/>
        <v>0.509274150316286</v>
      </c>
      <c r="Y11" s="42">
        <f t="shared" si="6"/>
        <v>0.8</v>
      </c>
      <c r="Z11" s="47">
        <v>0</v>
      </c>
      <c r="AA11" s="47">
        <v>0</v>
      </c>
      <c r="AB11" s="48">
        <v>0</v>
      </c>
      <c r="AC11" s="23">
        <f>Q11*$C$4*(1+T11)*(1+U11)*V11*(1+W11)*X11*Y11*(1+Z11)*(1+AA11)*(1+AB11)*O12</f>
        <v>76461.4895963288</v>
      </c>
      <c r="AD11" s="32">
        <v>17</v>
      </c>
      <c r="AE11" s="32"/>
      <c r="AG11" s="60" t="s">
        <v>97</v>
      </c>
      <c r="AH11" s="60">
        <v>0.8</v>
      </c>
    </row>
    <row r="12" s="1" customFormat="1" ht="15" spans="2:35">
      <c r="B12" s="57"/>
      <c r="C12" s="57"/>
      <c r="E12" s="58"/>
      <c r="G12" s="61"/>
      <c r="J12" s="2"/>
      <c r="K12" s="2"/>
      <c r="O12" s="40">
        <v>1</v>
      </c>
      <c r="P12" s="23" t="s">
        <v>90</v>
      </c>
      <c r="Q12" s="41">
        <f>37.88%*4+117.88%*3</f>
        <v>5.0516</v>
      </c>
      <c r="R12" s="42" t="s">
        <v>83</v>
      </c>
      <c r="S12" s="43">
        <f t="shared" si="0"/>
        <v>2882.352</v>
      </c>
      <c r="T12" s="44">
        <f t="shared" si="1"/>
        <v>1.814796875</v>
      </c>
      <c r="U12" s="44">
        <f t="shared" ref="U12:U14" si="10">IF(R12=$C$1,SUM($E$4:$E$9),SUM($E$4:$E$8))</f>
        <v>1.432</v>
      </c>
      <c r="V12" s="46">
        <f t="shared" si="3"/>
        <v>3.425</v>
      </c>
      <c r="W12" s="45">
        <f t="shared" ref="W12:W14" si="11">IF(R12=$C$1,$K$4+$K$5,$K$4)</f>
        <v>0.6</v>
      </c>
      <c r="X12" s="46">
        <f t="shared" si="5"/>
        <v>0.509274150316286</v>
      </c>
      <c r="Y12" s="42">
        <f t="shared" si="6"/>
        <v>0.8</v>
      </c>
      <c r="Z12" s="47">
        <v>0</v>
      </c>
      <c r="AA12" s="47">
        <v>0</v>
      </c>
      <c r="AB12" s="48">
        <v>0</v>
      </c>
      <c r="AC12" s="23">
        <f t="shared" ref="AC12:AC21" si="12">Q12*$C$4*(1+T12)*(1+U12)*V12*(1+W12)*X12*Y12*(1+Z12)*(1+AA12)*(1+AB12)*O12</f>
        <v>79060.89389667</v>
      </c>
      <c r="AD12" s="32">
        <v>17</v>
      </c>
      <c r="AE12" s="32"/>
      <c r="AG12" s="62" t="s">
        <v>98</v>
      </c>
      <c r="AH12" s="62">
        <v>0.92</v>
      </c>
    </row>
    <row r="13" s="1" customFormat="1" ht="15" spans="2:35">
      <c r="B13" s="5" t="s">
        <v>0</v>
      </c>
      <c r="C13" s="5" t="s">
        <v>1</v>
      </c>
      <c r="D13" s="6" t="s">
        <v>2</v>
      </c>
      <c r="E13" s="6">
        <v>2</v>
      </c>
      <c r="O13" s="40">
        <v>1</v>
      </c>
      <c r="P13" s="23" t="s">
        <v>99</v>
      </c>
      <c r="Q13" s="41">
        <f>33.01%*2+12.38%*8+495.1%</f>
        <v>6.6016</v>
      </c>
      <c r="R13" s="42" t="s">
        <v>83</v>
      </c>
      <c r="S13" s="43">
        <f t="shared" si="0"/>
        <v>2882.352</v>
      </c>
      <c r="T13" s="44">
        <f t="shared" si="1"/>
        <v>1.814796875</v>
      </c>
      <c r="U13" s="44">
        <f t="shared" si="10"/>
        <v>1.432</v>
      </c>
      <c r="V13" s="46">
        <f t="shared" si="3"/>
        <v>3.425</v>
      </c>
      <c r="W13" s="45">
        <f t="shared" si="11"/>
        <v>0.6</v>
      </c>
      <c r="X13" s="46">
        <f t="shared" si="5"/>
        <v>0.509274150316286</v>
      </c>
      <c r="Y13" s="42">
        <f t="shared" si="6"/>
        <v>0.8</v>
      </c>
      <c r="Z13" s="47">
        <v>0</v>
      </c>
      <c r="AA13" s="47">
        <v>0</v>
      </c>
      <c r="AB13" s="48">
        <v>0</v>
      </c>
      <c r="AC13" s="23">
        <f t="shared" si="12"/>
        <v>103319.422984452</v>
      </c>
      <c r="AD13" s="32">
        <v>17</v>
      </c>
      <c r="AE13" s="32"/>
      <c r="AG13" s="1" t="s">
        <v>63</v>
      </c>
      <c r="AH13" s="1">
        <v>0.8</v>
      </c>
    </row>
    <row r="14" s="1" customFormat="1" ht="15" spans="2:35">
      <c r="B14" s="63" t="s">
        <v>100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O14" s="40">
        <v>1</v>
      </c>
      <c r="P14" s="23" t="s">
        <v>101</v>
      </c>
      <c r="Q14" s="41">
        <f>82.55%*AD14</f>
        <v>14.0335</v>
      </c>
      <c r="R14" s="42" t="s">
        <v>83</v>
      </c>
      <c r="S14" s="43">
        <f t="shared" si="0"/>
        <v>2882.352</v>
      </c>
      <c r="T14" s="44">
        <f t="shared" si="1"/>
        <v>1.814796875</v>
      </c>
      <c r="U14" s="44">
        <f t="shared" si="10"/>
        <v>1.432</v>
      </c>
      <c r="V14" s="46">
        <f t="shared" si="3"/>
        <v>3.425</v>
      </c>
      <c r="W14" s="45">
        <f t="shared" si="11"/>
        <v>0.6</v>
      </c>
      <c r="X14" s="46">
        <f t="shared" si="5"/>
        <v>0.509274150316286</v>
      </c>
      <c r="Y14" s="42">
        <f t="shared" si="6"/>
        <v>0.8</v>
      </c>
      <c r="Z14" s="47">
        <v>0</v>
      </c>
      <c r="AA14" s="47">
        <v>0</v>
      </c>
      <c r="AB14" s="48">
        <v>0</v>
      </c>
      <c r="AC14" s="23">
        <f t="shared" si="12"/>
        <v>219633.592227991</v>
      </c>
      <c r="AD14" s="32">
        <v>17</v>
      </c>
      <c r="AE14" s="32"/>
    </row>
    <row r="15" s="1" customFormat="1" ht="15" spans="2:35">
      <c r="B15" s="65" t="s">
        <v>24</v>
      </c>
      <c r="C15" s="65"/>
      <c r="D15" s="65" t="s">
        <v>10</v>
      </c>
      <c r="E15" s="65"/>
      <c r="F15" s="65" t="s">
        <v>25</v>
      </c>
      <c r="G15" s="65"/>
      <c r="H15" s="65" t="s">
        <v>26</v>
      </c>
      <c r="I15" s="65"/>
      <c r="J15" s="65" t="s">
        <v>12</v>
      </c>
      <c r="K15" s="65"/>
      <c r="L15" s="65" t="s">
        <v>27</v>
      </c>
      <c r="M15" s="65"/>
      <c r="O15" s="40">
        <v>1</v>
      </c>
      <c r="P15" s="23" t="s">
        <v>102</v>
      </c>
      <c r="Q15" s="41">
        <f t="shared" ref="Q15:Q22" si="13">104.38%+243.55%</f>
        <v>3.4793</v>
      </c>
      <c r="R15" s="42" t="s">
        <v>96</v>
      </c>
      <c r="S15" s="43">
        <f t="shared" ref="S15:S17" si="14">$C$4*(1+C$5+C$6+C$7+C$8+120%-22.5%-10%)+C$9</f>
        <v>3778.352</v>
      </c>
      <c r="T15" s="44">
        <f t="shared" si="1"/>
        <v>2.689796875</v>
      </c>
      <c r="U15" s="44">
        <f t="shared" ref="U15:U23" si="15">IF(R15=$C$1,SUM($E$4:$E$9),SUM($E$4:$E$8))+$E$10-12%</f>
        <v>1.37</v>
      </c>
      <c r="V15" s="46">
        <f t="shared" ref="V15:V18" si="16">1+($G$10-2.2%)*($I$10-1+AD15*2.5%+AE15*1%-25%)+2.2%</f>
        <v>3.14915</v>
      </c>
      <c r="W15" s="45">
        <f t="shared" ref="W15:W23" si="17">IF(R15=$C$1,$K$4+$K$5,$K$4)+$K$6-20%</f>
        <v>0.47</v>
      </c>
      <c r="X15" s="46">
        <f t="shared" si="5"/>
        <v>0.509274150316286</v>
      </c>
      <c r="Y15" s="42">
        <f t="shared" si="6"/>
        <v>0.8</v>
      </c>
      <c r="Z15" s="47">
        <v>0</v>
      </c>
      <c r="AA15" s="47">
        <v>0</v>
      </c>
      <c r="AB15" s="48">
        <v>0</v>
      </c>
      <c r="AC15" s="23">
        <f t="shared" si="12"/>
        <v>58761.779669362</v>
      </c>
      <c r="AD15" s="32">
        <v>17</v>
      </c>
      <c r="AE15" s="32"/>
    </row>
    <row r="16" s="1" customFormat="1" ht="15" spans="2:35">
      <c r="B16" s="66" t="s">
        <v>28</v>
      </c>
      <c r="C16" s="67">
        <f>400+500</f>
        <v>900</v>
      </c>
      <c r="D16" s="66" t="s">
        <v>29</v>
      </c>
      <c r="E16" s="39">
        <f>E13*30%</f>
        <v>0.6</v>
      </c>
      <c r="F16" s="66" t="s">
        <v>30</v>
      </c>
      <c r="G16" s="68">
        <v>0.13</v>
      </c>
      <c r="H16" s="66" t="s">
        <v>30</v>
      </c>
      <c r="I16" s="68">
        <v>1.5</v>
      </c>
      <c r="J16" s="38" t="s">
        <v>31</v>
      </c>
      <c r="K16" s="39">
        <v>0.15</v>
      </c>
      <c r="L16" s="66" t="s">
        <v>32</v>
      </c>
      <c r="M16" s="68"/>
      <c r="O16" s="40">
        <v>1</v>
      </c>
      <c r="P16" s="23" t="s">
        <v>103</v>
      </c>
      <c r="Q16" s="41">
        <f t="shared" si="13"/>
        <v>3.4793</v>
      </c>
      <c r="R16" s="42" t="s">
        <v>96</v>
      </c>
      <c r="S16" s="43">
        <f t="shared" si="14"/>
        <v>3778.352</v>
      </c>
      <c r="T16" s="44">
        <f t="shared" si="1"/>
        <v>2.689796875</v>
      </c>
      <c r="U16" s="44">
        <f t="shared" si="15"/>
        <v>1.37</v>
      </c>
      <c r="V16" s="46">
        <f t="shared" si="16"/>
        <v>3.1736</v>
      </c>
      <c r="W16" s="45">
        <f t="shared" si="17"/>
        <v>0.47</v>
      </c>
      <c r="X16" s="46">
        <f t="shared" si="5"/>
        <v>0.509274150316286</v>
      </c>
      <c r="Y16" s="42">
        <f t="shared" si="6"/>
        <v>0.8</v>
      </c>
      <c r="Z16" s="47">
        <v>0</v>
      </c>
      <c r="AA16" s="47">
        <v>0</v>
      </c>
      <c r="AB16" s="48">
        <v>0</v>
      </c>
      <c r="AC16" s="23">
        <f t="shared" si="12"/>
        <v>59218.0061155192</v>
      </c>
      <c r="AD16" s="32">
        <v>18</v>
      </c>
      <c r="AE16" s="32"/>
    </row>
    <row r="17" s="1" customFormat="1" ht="15" spans="1:31">
      <c r="B17" s="34" t="s">
        <v>33</v>
      </c>
      <c r="C17" s="36">
        <f>12%+12%</f>
        <v>0.24</v>
      </c>
      <c r="D17" s="34" t="s">
        <v>34</v>
      </c>
      <c r="E17" s="36"/>
      <c r="F17" s="34" t="s">
        <v>35</v>
      </c>
      <c r="G17" s="37"/>
      <c r="H17" s="34" t="s">
        <v>35</v>
      </c>
      <c r="I17" s="37">
        <v>0.72</v>
      </c>
      <c r="J17" s="49" t="s">
        <v>36</v>
      </c>
      <c r="K17" s="36"/>
      <c r="L17" s="34" t="s">
        <v>104</v>
      </c>
      <c r="M17" s="37">
        <f>1*8.6%</f>
        <v>0.086</v>
      </c>
      <c r="O17" s="40">
        <v>1</v>
      </c>
      <c r="P17" s="23" t="s">
        <v>103</v>
      </c>
      <c r="Q17" s="41">
        <f>99.16%+231.37%</f>
        <v>3.3053</v>
      </c>
      <c r="R17" s="42" t="s">
        <v>96</v>
      </c>
      <c r="S17" s="43">
        <f t="shared" si="14"/>
        <v>3778.352</v>
      </c>
      <c r="T17" s="44">
        <f t="shared" si="1"/>
        <v>2.689796875</v>
      </c>
      <c r="U17" s="44">
        <f t="shared" si="15"/>
        <v>1.37</v>
      </c>
      <c r="V17" s="46">
        <f t="shared" si="16"/>
        <v>3.19805</v>
      </c>
      <c r="W17" s="45">
        <f t="shared" si="17"/>
        <v>0.47</v>
      </c>
      <c r="X17" s="46">
        <f t="shared" si="5"/>
        <v>0.509274150316286</v>
      </c>
      <c r="Y17" s="42">
        <f t="shared" si="6"/>
        <v>0.8</v>
      </c>
      <c r="Z17" s="47">
        <v>0</v>
      </c>
      <c r="AA17" s="47">
        <v>0</v>
      </c>
      <c r="AB17" s="48">
        <v>0</v>
      </c>
      <c r="AC17" s="23">
        <f t="shared" si="12"/>
        <v>56689.9206409648</v>
      </c>
      <c r="AD17" s="32">
        <v>19</v>
      </c>
      <c r="AE17" s="32"/>
    </row>
    <row r="18" s="1" customFormat="1" ht="15" spans="1:31">
      <c r="B18" s="34" t="s">
        <v>39</v>
      </c>
      <c r="C18" s="36">
        <f>18%+18%+M16+(2-E13)*30%</f>
        <v>0.36</v>
      </c>
      <c r="D18" s="34" t="s">
        <v>40</v>
      </c>
      <c r="E18" s="36">
        <v>0.12</v>
      </c>
      <c r="F18" s="34" t="s">
        <v>41</v>
      </c>
      <c r="G18" s="37">
        <v>0.22</v>
      </c>
      <c r="H18" s="34" t="s">
        <v>41</v>
      </c>
      <c r="I18" s="37">
        <v>0</v>
      </c>
      <c r="J18" s="49"/>
      <c r="K18" s="37"/>
      <c r="L18" s="34" t="s">
        <v>25</v>
      </c>
      <c r="M18" s="37">
        <f>8.1*5%</f>
        <v>0.405</v>
      </c>
      <c r="O18" s="40">
        <v>1</v>
      </c>
      <c r="P18" s="23" t="s">
        <v>105</v>
      </c>
      <c r="Q18" s="41">
        <f>99.16%+231.37%</f>
        <v>3.3053</v>
      </c>
      <c r="R18" s="42" t="s">
        <v>96</v>
      </c>
      <c r="S18" s="43">
        <f t="shared" ref="S18:S23" si="18">$C$4*(1+C$5+C$6+C$7+C$8+120%-22.5%)+C$9</f>
        <v>3880.752</v>
      </c>
      <c r="T18" s="44">
        <f t="shared" si="1"/>
        <v>2.789796875</v>
      </c>
      <c r="U18" s="44">
        <f t="shared" si="15"/>
        <v>1.37</v>
      </c>
      <c r="V18" s="46">
        <f t="shared" si="16"/>
        <v>3.2225</v>
      </c>
      <c r="W18" s="45">
        <f t="shared" si="17"/>
        <v>0.47</v>
      </c>
      <c r="X18" s="46">
        <f t="shared" si="5"/>
        <v>0.509274150316286</v>
      </c>
      <c r="Y18" s="42">
        <f t="shared" si="6"/>
        <v>0.8</v>
      </c>
      <c r="Z18" s="47">
        <v>0</v>
      </c>
      <c r="AA18" s="47">
        <v>0</v>
      </c>
      <c r="AB18" s="48">
        <v>0</v>
      </c>
      <c r="AC18" s="23">
        <f t="shared" si="12"/>
        <v>58671.4741521228</v>
      </c>
      <c r="AD18" s="32">
        <v>20</v>
      </c>
      <c r="AE18" s="32"/>
    </row>
    <row r="19" s="1" customFormat="1" ht="15" spans="1:31">
      <c r="B19" s="34" t="s">
        <v>43</v>
      </c>
      <c r="C19" s="69"/>
      <c r="D19" s="34" t="s">
        <v>44</v>
      </c>
      <c r="E19" s="36"/>
      <c r="F19" s="34" t="s">
        <v>39</v>
      </c>
      <c r="G19" s="37">
        <f>M18</f>
        <v>0.405</v>
      </c>
      <c r="H19" s="34" t="s">
        <v>39</v>
      </c>
      <c r="I19" s="37">
        <f>M19</f>
        <v>0.81</v>
      </c>
      <c r="J19" s="49"/>
      <c r="K19" s="37"/>
      <c r="L19" s="34" t="s">
        <v>45</v>
      </c>
      <c r="M19" s="36">
        <f>16.2%*5</f>
        <v>0.81</v>
      </c>
      <c r="O19" s="40">
        <v>1</v>
      </c>
      <c r="P19" s="23" t="s">
        <v>106</v>
      </c>
      <c r="Q19" s="41">
        <f t="shared" si="13"/>
        <v>3.4793</v>
      </c>
      <c r="R19" s="42" t="s">
        <v>96</v>
      </c>
      <c r="S19" s="43">
        <f t="shared" si="18"/>
        <v>3880.752</v>
      </c>
      <c r="T19" s="44">
        <f t="shared" si="1"/>
        <v>2.789796875</v>
      </c>
      <c r="U19" s="44">
        <f t="shared" si="15"/>
        <v>1.37</v>
      </c>
      <c r="V19" s="46">
        <f t="shared" ref="V19:V23" si="19">1+$G$10*($I$10-1+AD19*2.5%+AE19*1%-25%)</f>
        <v>3.275</v>
      </c>
      <c r="W19" s="45">
        <f t="shared" si="17"/>
        <v>0.47</v>
      </c>
      <c r="X19" s="46">
        <f t="shared" si="5"/>
        <v>0.509274150316286</v>
      </c>
      <c r="Y19" s="42">
        <f t="shared" si="6"/>
        <v>0.8</v>
      </c>
      <c r="Z19" s="47">
        <v>0</v>
      </c>
      <c r="AA19" s="47">
        <v>0</v>
      </c>
      <c r="AB19" s="48">
        <v>0</v>
      </c>
      <c r="AC19" s="23">
        <f t="shared" si="12"/>
        <v>62766.2774162436</v>
      </c>
      <c r="AD19" s="32">
        <v>21</v>
      </c>
      <c r="AE19" s="32"/>
    </row>
    <row r="20" s="1" customFormat="1" ht="15" spans="1:31">
      <c r="B20" s="34" t="s">
        <v>46</v>
      </c>
      <c r="C20" s="69">
        <f>14%+25%</f>
        <v>0.39</v>
      </c>
      <c r="D20" s="34" t="s">
        <v>47</v>
      </c>
      <c r="E20" s="171"/>
      <c r="F20" s="34" t="s">
        <v>48</v>
      </c>
      <c r="G20" s="37">
        <v>0</v>
      </c>
      <c r="H20" s="34" t="s">
        <v>48</v>
      </c>
      <c r="I20" s="37">
        <v>0</v>
      </c>
      <c r="J20" s="49"/>
      <c r="K20" s="37"/>
      <c r="L20" s="34"/>
      <c r="M20" s="35"/>
      <c r="O20" s="40">
        <v>1</v>
      </c>
      <c r="P20" s="23" t="s">
        <v>106</v>
      </c>
      <c r="Q20" s="41">
        <f t="shared" si="13"/>
        <v>3.4793</v>
      </c>
      <c r="R20" s="42" t="s">
        <v>96</v>
      </c>
      <c r="S20" s="43">
        <f t="shared" si="18"/>
        <v>3880.752</v>
      </c>
      <c r="T20" s="44">
        <f t="shared" si="1"/>
        <v>2.789796875</v>
      </c>
      <c r="U20" s="44">
        <f t="shared" si="15"/>
        <v>1.37</v>
      </c>
      <c r="V20" s="46">
        <f t="shared" si="19"/>
        <v>3.3</v>
      </c>
      <c r="W20" s="45">
        <f t="shared" si="17"/>
        <v>0.47</v>
      </c>
      <c r="X20" s="46">
        <f t="shared" si="5"/>
        <v>0.509274150316286</v>
      </c>
      <c r="Y20" s="42">
        <f t="shared" si="6"/>
        <v>0.8</v>
      </c>
      <c r="Z20" s="47">
        <v>0</v>
      </c>
      <c r="AA20" s="47">
        <v>0</v>
      </c>
      <c r="AB20" s="48">
        <v>0</v>
      </c>
      <c r="AC20" s="23">
        <f t="shared" si="12"/>
        <v>63245.4093049172</v>
      </c>
      <c r="AD20" s="32">
        <v>22</v>
      </c>
      <c r="AE20" s="32"/>
    </row>
    <row r="21" s="1" customFormat="1" ht="15" spans="1:31">
      <c r="B21" s="34" t="s">
        <v>49</v>
      </c>
      <c r="C21" s="35">
        <v>350</v>
      </c>
      <c r="D21" s="34" t="s">
        <v>107</v>
      </c>
      <c r="E21" s="36">
        <f>40%+M17</f>
        <v>0.486</v>
      </c>
      <c r="F21" s="34" t="s">
        <v>51</v>
      </c>
      <c r="G21" s="37">
        <v>0.125</v>
      </c>
      <c r="H21" s="34" t="s">
        <v>51</v>
      </c>
      <c r="I21" s="37">
        <v>0</v>
      </c>
      <c r="J21" s="49"/>
      <c r="K21" s="37"/>
      <c r="L21" s="34"/>
      <c r="M21" s="35"/>
      <c r="O21" s="40">
        <v>1</v>
      </c>
      <c r="P21" s="23" t="s">
        <v>106</v>
      </c>
      <c r="Q21" s="41">
        <f t="shared" si="13"/>
        <v>3.4793</v>
      </c>
      <c r="R21" s="42" t="s">
        <v>96</v>
      </c>
      <c r="S21" s="43">
        <f t="shared" si="18"/>
        <v>3880.752</v>
      </c>
      <c r="T21" s="44">
        <f t="shared" si="1"/>
        <v>2.789796875</v>
      </c>
      <c r="U21" s="44">
        <f t="shared" si="15"/>
        <v>1.37</v>
      </c>
      <c r="V21" s="46">
        <f t="shared" si="19"/>
        <v>3.325</v>
      </c>
      <c r="W21" s="45">
        <f t="shared" si="17"/>
        <v>0.47</v>
      </c>
      <c r="X21" s="46">
        <f t="shared" si="5"/>
        <v>0.509274150316286</v>
      </c>
      <c r="Y21" s="42">
        <f t="shared" si="6"/>
        <v>0.8</v>
      </c>
      <c r="Z21" s="47">
        <v>0</v>
      </c>
      <c r="AA21" s="47">
        <v>0</v>
      </c>
      <c r="AB21" s="48">
        <v>0</v>
      </c>
      <c r="AC21" s="23">
        <f t="shared" si="12"/>
        <v>63724.5411935908</v>
      </c>
      <c r="AD21" s="32">
        <v>23</v>
      </c>
      <c r="AE21" s="32"/>
    </row>
    <row r="22" s="1" customFormat="1" ht="15" spans="1:31">
      <c r="B22" s="51" t="s">
        <v>52</v>
      </c>
      <c r="C22" s="52"/>
      <c r="D22" s="51"/>
      <c r="E22" s="53"/>
      <c r="F22" s="54" t="s">
        <v>53</v>
      </c>
      <c r="G22" s="55">
        <f>MIN(100%,SUM(G16:G21))</f>
        <v>0.88</v>
      </c>
      <c r="H22" s="54" t="s">
        <v>54</v>
      </c>
      <c r="I22" s="55">
        <f>SUM(I16:I21)</f>
        <v>3.03</v>
      </c>
      <c r="J22" s="56"/>
      <c r="K22" s="71"/>
      <c r="L22" s="51"/>
      <c r="M22" s="52"/>
      <c r="O22" s="40">
        <v>1</v>
      </c>
      <c r="P22" s="23" t="s">
        <v>106</v>
      </c>
      <c r="Q22" s="41">
        <f t="shared" si="13"/>
        <v>3.4793</v>
      </c>
      <c r="R22" s="42" t="s">
        <v>96</v>
      </c>
      <c r="S22" s="43">
        <f t="shared" si="18"/>
        <v>3880.752</v>
      </c>
      <c r="T22" s="44">
        <f t="shared" si="1"/>
        <v>2.789796875</v>
      </c>
      <c r="U22" s="44">
        <f t="shared" si="15"/>
        <v>1.37</v>
      </c>
      <c r="V22" s="46">
        <f t="shared" si="19"/>
        <v>3.35</v>
      </c>
      <c r="W22" s="45">
        <f t="shared" si="17"/>
        <v>0.47</v>
      </c>
      <c r="X22" s="46">
        <f t="shared" si="5"/>
        <v>0.509274150316286</v>
      </c>
      <c r="Y22" s="42">
        <f t="shared" si="6"/>
        <v>0.8</v>
      </c>
      <c r="Z22" s="47">
        <v>0</v>
      </c>
      <c r="AA22" s="47">
        <v>0</v>
      </c>
      <c r="AB22" s="48">
        <v>0</v>
      </c>
      <c r="AC22" s="23">
        <f>Q22*$C$4*(1+T22)*(1+U22)*V22*(1+W22)*X22*Y22*(1+Z22)*(1+AA22)*(1+AB22)*O21</f>
        <v>64203.6730822644</v>
      </c>
      <c r="AD22" s="32">
        <v>24</v>
      </c>
      <c r="AE22" s="32"/>
    </row>
    <row r="23" s="1" customFormat="1" ht="15" spans="1:31">
      <c r="B23" s="57"/>
      <c r="C23" s="57"/>
      <c r="E23" s="58"/>
      <c r="F23" s="20" t="s">
        <v>55</v>
      </c>
      <c r="G23" s="59">
        <f>MAX(0,SUM(G16:G21)-1)</f>
        <v>0</v>
      </c>
      <c r="J23" s="2"/>
      <c r="K23" s="2"/>
      <c r="O23" s="34">
        <v>1</v>
      </c>
      <c r="P23" s="23" t="s">
        <v>108</v>
      </c>
      <c r="Q23" s="81">
        <f>(27.84%+13.92%*2)*3</f>
        <v>1.6704</v>
      </c>
      <c r="R23" s="82" t="s">
        <v>96</v>
      </c>
      <c r="S23" s="173">
        <f t="shared" si="18"/>
        <v>3880.752</v>
      </c>
      <c r="T23" s="83">
        <f t="shared" si="1"/>
        <v>2.789796875</v>
      </c>
      <c r="U23" s="83">
        <f t="shared" si="15"/>
        <v>1.37</v>
      </c>
      <c r="V23" s="85">
        <f t="shared" si="19"/>
        <v>3.25</v>
      </c>
      <c r="W23" s="84">
        <f t="shared" si="17"/>
        <v>0.47</v>
      </c>
      <c r="X23" s="85">
        <f t="shared" si="5"/>
        <v>0.509274150316286</v>
      </c>
      <c r="Y23" s="82">
        <f t="shared" si="6"/>
        <v>0.8</v>
      </c>
      <c r="Z23" s="86">
        <v>0</v>
      </c>
      <c r="AA23" s="86">
        <v>0</v>
      </c>
      <c r="AB23" s="70">
        <v>0</v>
      </c>
      <c r="AC23" s="23">
        <f>Q23*$C$4*(1+T23)*(1+U23)*V23*(1+W23)*X23*Y23*(1+Z23)*(1+AA23)*(1+AB23)*O22</f>
        <v>29903.8449944681</v>
      </c>
      <c r="AD23" s="32">
        <v>20</v>
      </c>
      <c r="AE23" s="32"/>
    </row>
    <row r="24" s="1" customFormat="1" ht="15" spans="1:31">
      <c r="B24" s="57"/>
      <c r="C24" s="57"/>
      <c r="E24" s="58"/>
      <c r="J24" s="2"/>
      <c r="K24" s="2"/>
      <c r="O24" s="65">
        <v>1</v>
      </c>
      <c r="P24" s="89" t="s">
        <v>109</v>
      </c>
      <c r="Q24" s="90">
        <v>1.69</v>
      </c>
      <c r="R24" s="91" t="s">
        <v>110</v>
      </c>
      <c r="S24" s="92">
        <f t="shared" ref="S24:S35" si="20">$C$16*(1+$C$17+$C$18+$C$19+$C$20)+($C$21+$C$22)</f>
        <v>2141</v>
      </c>
      <c r="T24" s="93">
        <f t="shared" ref="T24:T35" si="21">($C$17+$C$18+$C$19+$C$20)+($C$21+$C$22)/$C$16</f>
        <v>1.37888888888889</v>
      </c>
      <c r="U24" s="93">
        <f>IF(R24=$C$13,SUM($E$16:$E$21),SUM($E$16:$E$20))-12%</f>
        <v>0.6</v>
      </c>
      <c r="V24" s="94">
        <f t="shared" ref="V24:V34" si="22">1+$G$22*($I$22-1)</f>
        <v>2.7864</v>
      </c>
      <c r="W24" s="95">
        <f t="shared" ref="W24:W35" si="23">IF(R24=$C$1,$K$16+$K$17,$K$16)</f>
        <v>0.15</v>
      </c>
      <c r="X24" s="94">
        <f t="shared" ref="X24:X35" si="24">$AH$3</f>
        <v>0.488431876606684</v>
      </c>
      <c r="Y24" s="91">
        <f t="shared" si="6"/>
        <v>0.8</v>
      </c>
      <c r="Z24" s="96">
        <v>0</v>
      </c>
      <c r="AA24" s="96">
        <v>0</v>
      </c>
      <c r="AB24" s="39">
        <v>0</v>
      </c>
      <c r="AC24" s="97">
        <f t="shared" ref="AC24:AC35" si="25">Q24*$C$16*(1+T24)*(1+U24)*V24*(1+W24)*X24*Y24*(1+Z24)*(1+AA24)*(1+AB24)*O24</f>
        <v>7248.67524585625</v>
      </c>
    </row>
    <row r="25" s="1" customFormat="1" ht="15" spans="1:31">
      <c r="A25" s="117"/>
      <c r="B25" s="118"/>
      <c r="C25" s="118"/>
      <c r="D25" s="118"/>
      <c r="E25" s="118"/>
      <c r="F25" s="118"/>
      <c r="G25" s="119"/>
      <c r="O25" s="98">
        <v>1</v>
      </c>
      <c r="P25" s="89" t="s">
        <v>111</v>
      </c>
      <c r="Q25" s="49">
        <v>1.472</v>
      </c>
      <c r="R25" s="57" t="s">
        <v>83</v>
      </c>
      <c r="S25" s="99">
        <f t="shared" si="20"/>
        <v>2141</v>
      </c>
      <c r="T25" s="100">
        <f t="shared" si="21"/>
        <v>1.37888888888889</v>
      </c>
      <c r="U25" s="100">
        <f>IF(R25=$C$13,SUM($E$16:$E$21),SUM($E$16:$E$20))-12%</f>
        <v>0.6</v>
      </c>
      <c r="V25" s="101">
        <f t="shared" si="22"/>
        <v>2.7864</v>
      </c>
      <c r="W25" s="102">
        <f t="shared" si="23"/>
        <v>0.15</v>
      </c>
      <c r="X25" s="101">
        <f t="shared" si="24"/>
        <v>0.488431876606684</v>
      </c>
      <c r="Y25" s="57">
        <f t="shared" si="6"/>
        <v>0.8</v>
      </c>
      <c r="Z25" s="103">
        <v>0</v>
      </c>
      <c r="AA25" s="103">
        <v>0</v>
      </c>
      <c r="AB25" s="36">
        <v>0</v>
      </c>
      <c r="AC25" s="97">
        <f t="shared" si="25"/>
        <v>6313.6390307103</v>
      </c>
    </row>
    <row r="26" s="1" customFormat="1" ht="15" spans="1:31">
      <c r="B26" s="120" t="s">
        <v>68</v>
      </c>
      <c r="C26" s="1" t="s">
        <v>112</v>
      </c>
      <c r="D26" s="1" t="s">
        <v>113</v>
      </c>
      <c r="E26" s="1" t="s">
        <v>114</v>
      </c>
      <c r="F26" s="1" t="s">
        <v>115</v>
      </c>
      <c r="G26" s="2"/>
      <c r="O26" s="98">
        <v>1</v>
      </c>
      <c r="P26" s="89" t="s">
        <v>42</v>
      </c>
      <c r="Q26" s="49">
        <v>1.061</v>
      </c>
      <c r="R26" s="57" t="s">
        <v>42</v>
      </c>
      <c r="S26" s="99">
        <f t="shared" si="20"/>
        <v>2141</v>
      </c>
      <c r="T26" s="100">
        <f t="shared" si="21"/>
        <v>1.37888888888889</v>
      </c>
      <c r="U26" s="100">
        <f>IF(R26=$C$13,SUM($E$16:$E$21),SUM($E$16:$E$20))-6%</f>
        <v>0.66</v>
      </c>
      <c r="V26" s="101">
        <f t="shared" si="22"/>
        <v>2.7864</v>
      </c>
      <c r="W26" s="102">
        <f t="shared" si="23"/>
        <v>0.15</v>
      </c>
      <c r="X26" s="101">
        <f t="shared" si="24"/>
        <v>0.488431876606684</v>
      </c>
      <c r="Y26" s="57">
        <f t="shared" si="6"/>
        <v>0.8</v>
      </c>
      <c r="Z26" s="103">
        <v>0</v>
      </c>
      <c r="AA26" s="103">
        <v>0</v>
      </c>
      <c r="AB26" s="36">
        <v>0</v>
      </c>
      <c r="AC26" s="97">
        <f t="shared" si="25"/>
        <v>4721.45035633017</v>
      </c>
    </row>
    <row r="27" s="1" customFormat="1" ht="15" spans="1:31">
      <c r="B27" s="121" t="s">
        <v>116</v>
      </c>
      <c r="C27" s="122" t="s">
        <v>70</v>
      </c>
      <c r="D27" s="122" t="s">
        <v>71</v>
      </c>
      <c r="E27" s="122" t="s">
        <v>72</v>
      </c>
      <c r="F27" s="122" t="s">
        <v>73</v>
      </c>
      <c r="G27" s="2"/>
      <c r="O27" s="98">
        <v>1</v>
      </c>
      <c r="P27" s="89" t="s">
        <v>117</v>
      </c>
      <c r="Q27" s="49">
        <v>1.9623</v>
      </c>
      <c r="R27" s="57" t="s">
        <v>83</v>
      </c>
      <c r="S27" s="99">
        <f t="shared" si="20"/>
        <v>2141</v>
      </c>
      <c r="T27" s="100">
        <f t="shared" si="21"/>
        <v>1.37888888888889</v>
      </c>
      <c r="U27" s="100">
        <f t="shared" ref="U27:U35" si="26">IF(R27=$C$13,SUM($E$16:$E$21),SUM($E$16:$E$20))</f>
        <v>0.72</v>
      </c>
      <c r="V27" s="101">
        <f t="shared" si="22"/>
        <v>2.7864</v>
      </c>
      <c r="W27" s="102">
        <f t="shared" si="23"/>
        <v>0.15</v>
      </c>
      <c r="X27" s="101">
        <f t="shared" si="24"/>
        <v>0.488431876606684</v>
      </c>
      <c r="Y27" s="57">
        <f t="shared" ref="Y27:Y35" si="27">$AH$12</f>
        <v>0.92</v>
      </c>
      <c r="Z27" s="103">
        <v>0</v>
      </c>
      <c r="AA27" s="103">
        <v>0</v>
      </c>
      <c r="AB27" s="36">
        <v>0</v>
      </c>
      <c r="AC27" s="97">
        <f t="shared" si="25"/>
        <v>10405.0374298516</v>
      </c>
    </row>
    <row r="28" s="1" customFormat="1" ht="15" spans="1:31">
      <c r="B28" s="4" t="s">
        <v>84</v>
      </c>
      <c r="C28" s="123">
        <f>SUM(AC3:AC23)</f>
        <v>1430909.05657088</v>
      </c>
      <c r="D28" s="123">
        <f t="shared" ref="D28:D31" si="28">C28/$E$28</f>
        <v>57236.362262835</v>
      </c>
      <c r="E28" s="124">
        <v>25</v>
      </c>
      <c r="F28" s="125">
        <f t="shared" ref="F28:F31" si="29">C28/$C$32</f>
        <v>0.799297874407432</v>
      </c>
      <c r="G28" s="2"/>
      <c r="O28" s="98">
        <v>1</v>
      </c>
      <c r="P28" s="89" t="s">
        <v>118</v>
      </c>
      <c r="Q28" s="49">
        <v>1.9801</v>
      </c>
      <c r="R28" s="57" t="s">
        <v>1</v>
      </c>
      <c r="S28" s="99">
        <f t="shared" si="20"/>
        <v>2141</v>
      </c>
      <c r="T28" s="100">
        <f t="shared" si="21"/>
        <v>1.37888888888889</v>
      </c>
      <c r="U28" s="100">
        <f t="shared" si="26"/>
        <v>1.206</v>
      </c>
      <c r="V28" s="101">
        <f t="shared" si="22"/>
        <v>2.7864</v>
      </c>
      <c r="W28" s="102">
        <f t="shared" si="23"/>
        <v>0.15</v>
      </c>
      <c r="X28" s="101">
        <f t="shared" si="24"/>
        <v>0.488431876606684</v>
      </c>
      <c r="Y28" s="57">
        <f t="shared" si="27"/>
        <v>0.92</v>
      </c>
      <c r="Z28" s="103">
        <v>0</v>
      </c>
      <c r="AA28" s="103">
        <v>0</v>
      </c>
      <c r="AB28" s="36">
        <v>0</v>
      </c>
      <c r="AC28" s="97">
        <f t="shared" si="25"/>
        <v>13466.1183780415</v>
      </c>
    </row>
    <row r="29" s="1" customFormat="1" ht="15" spans="1:31">
      <c r="A29" s="1" t="s">
        <v>119</v>
      </c>
      <c r="B29" s="4" t="s">
        <v>100</v>
      </c>
      <c r="C29" s="123">
        <f>SUM(AC24:AC35)</f>
        <v>240341.561789248</v>
      </c>
      <c r="D29" s="123">
        <f t="shared" si="28"/>
        <v>9613.66247156993</v>
      </c>
      <c r="E29" s="126"/>
      <c r="F29" s="125">
        <f t="shared" si="29"/>
        <v>0.134253465367171</v>
      </c>
      <c r="G29" s="2"/>
      <c r="O29" s="98">
        <v>1</v>
      </c>
      <c r="P29" s="89" t="s">
        <v>120</v>
      </c>
      <c r="Q29" s="49">
        <v>3.76</v>
      </c>
      <c r="R29" s="57" t="s">
        <v>1</v>
      </c>
      <c r="S29" s="99">
        <f t="shared" si="20"/>
        <v>2141</v>
      </c>
      <c r="T29" s="100">
        <f t="shared" si="21"/>
        <v>1.37888888888889</v>
      </c>
      <c r="U29" s="100">
        <f t="shared" si="26"/>
        <v>1.206</v>
      </c>
      <c r="V29" s="101">
        <f t="shared" si="22"/>
        <v>2.7864</v>
      </c>
      <c r="W29" s="102">
        <f t="shared" si="23"/>
        <v>0.15</v>
      </c>
      <c r="X29" s="101">
        <f t="shared" si="24"/>
        <v>0.488431876606684</v>
      </c>
      <c r="Y29" s="57">
        <f t="shared" si="27"/>
        <v>0.92</v>
      </c>
      <c r="Z29" s="103">
        <v>0</v>
      </c>
      <c r="AA29" s="103">
        <v>0</v>
      </c>
      <c r="AB29" s="36">
        <v>0</v>
      </c>
      <c r="AC29" s="97">
        <f t="shared" si="25"/>
        <v>25570.731327426</v>
      </c>
    </row>
    <row r="30" s="1" customFormat="1" ht="15" spans="1:31">
      <c r="B30" s="4" t="s">
        <v>121</v>
      </c>
      <c r="C30" s="123">
        <v>50000</v>
      </c>
      <c r="D30" s="123">
        <f t="shared" si="28"/>
        <v>2000</v>
      </c>
      <c r="E30" s="134"/>
      <c r="F30" s="125">
        <f t="shared" si="29"/>
        <v>0.0279297230923579</v>
      </c>
      <c r="G30" s="2"/>
      <c r="O30" s="98">
        <v>1</v>
      </c>
      <c r="P30" s="89" t="s">
        <v>122</v>
      </c>
      <c r="Q30" s="49">
        <v>4.9033</v>
      </c>
      <c r="R30" s="57" t="s">
        <v>1</v>
      </c>
      <c r="S30" s="99">
        <f t="shared" si="20"/>
        <v>2141</v>
      </c>
      <c r="T30" s="100">
        <f t="shared" si="21"/>
        <v>1.37888888888889</v>
      </c>
      <c r="U30" s="100">
        <f t="shared" si="26"/>
        <v>1.206</v>
      </c>
      <c r="V30" s="101">
        <f t="shared" si="22"/>
        <v>2.7864</v>
      </c>
      <c r="W30" s="102">
        <f t="shared" si="23"/>
        <v>0.15</v>
      </c>
      <c r="X30" s="101">
        <f t="shared" si="24"/>
        <v>0.488431876606684</v>
      </c>
      <c r="Y30" s="57">
        <f t="shared" si="27"/>
        <v>0.92</v>
      </c>
      <c r="Z30" s="103">
        <v>0</v>
      </c>
      <c r="AA30" s="103">
        <v>0</v>
      </c>
      <c r="AB30" s="36">
        <v>0</v>
      </c>
      <c r="AC30" s="97">
        <f t="shared" si="25"/>
        <v>33346.0018398319</v>
      </c>
    </row>
    <row r="31" s="1" customFormat="1" ht="15" spans="1:31">
      <c r="B31" s="4" t="s">
        <v>74</v>
      </c>
      <c r="C31" s="123">
        <f>AC37</f>
        <v>68956.8904884319</v>
      </c>
      <c r="D31" s="123">
        <f t="shared" si="28"/>
        <v>2758.27561953728</v>
      </c>
      <c r="E31" s="134"/>
      <c r="F31" s="125">
        <f t="shared" si="29"/>
        <v>0.038518937133039</v>
      </c>
      <c r="G31" s="2"/>
      <c r="O31" s="98">
        <v>1</v>
      </c>
      <c r="P31" s="89" t="s">
        <v>123</v>
      </c>
      <c r="Q31" s="49">
        <v>13.3598</v>
      </c>
      <c r="R31" s="57" t="s">
        <v>1</v>
      </c>
      <c r="S31" s="99">
        <f t="shared" si="20"/>
        <v>2141</v>
      </c>
      <c r="T31" s="100">
        <f t="shared" si="21"/>
        <v>1.37888888888889</v>
      </c>
      <c r="U31" s="100">
        <f t="shared" si="26"/>
        <v>1.206</v>
      </c>
      <c r="V31" s="101">
        <f t="shared" si="22"/>
        <v>2.7864</v>
      </c>
      <c r="W31" s="102">
        <f t="shared" si="23"/>
        <v>0.15</v>
      </c>
      <c r="X31" s="101">
        <f t="shared" si="24"/>
        <v>0.488431876606684</v>
      </c>
      <c r="Y31" s="57">
        <f t="shared" si="27"/>
        <v>0.92</v>
      </c>
      <c r="Z31" s="103">
        <v>0</v>
      </c>
      <c r="AA31" s="103">
        <v>0</v>
      </c>
      <c r="AB31" s="36">
        <v>0</v>
      </c>
      <c r="AC31" s="97">
        <f t="shared" si="25"/>
        <v>90856.3447840813</v>
      </c>
    </row>
    <row r="32" s="1" customFormat="1" ht="15" spans="1:31">
      <c r="B32" s="4" t="s">
        <v>82</v>
      </c>
      <c r="C32" s="139">
        <f>SUM(C28:C31)</f>
        <v>1790207.50884856</v>
      </c>
      <c r="D32" s="139">
        <f>C32/E28</f>
        <v>71608.3003539422</v>
      </c>
      <c r="E32" s="140"/>
      <c r="F32" s="141"/>
      <c r="G32" s="2"/>
      <c r="O32" s="98">
        <v>1</v>
      </c>
      <c r="P32" s="89" t="s">
        <v>118</v>
      </c>
      <c r="Q32" s="49">
        <v>1.9801</v>
      </c>
      <c r="R32" s="57" t="s">
        <v>1</v>
      </c>
      <c r="S32" s="99">
        <f t="shared" si="20"/>
        <v>2141</v>
      </c>
      <c r="T32" s="100">
        <f t="shared" si="21"/>
        <v>1.37888888888889</v>
      </c>
      <c r="U32" s="100">
        <f t="shared" si="26"/>
        <v>1.206</v>
      </c>
      <c r="V32" s="101">
        <f t="shared" si="22"/>
        <v>2.7864</v>
      </c>
      <c r="W32" s="102">
        <f t="shared" si="23"/>
        <v>0.15</v>
      </c>
      <c r="X32" s="101">
        <f t="shared" si="24"/>
        <v>0.488431876606684</v>
      </c>
      <c r="Y32" s="57">
        <f t="shared" si="27"/>
        <v>0.92</v>
      </c>
      <c r="Z32" s="103">
        <v>0</v>
      </c>
      <c r="AA32" s="103">
        <v>0</v>
      </c>
      <c r="AB32" s="36">
        <v>0</v>
      </c>
      <c r="AC32" s="97">
        <f t="shared" si="25"/>
        <v>13466.1183780415</v>
      </c>
    </row>
    <row r="33" s="1" customFormat="1" ht="15" spans="2:29">
      <c r="B33" s="4"/>
      <c r="C33" s="4"/>
      <c r="D33" s="4"/>
      <c r="G33" s="2"/>
      <c r="N33" s="114"/>
      <c r="O33" s="98">
        <v>1</v>
      </c>
      <c r="P33" s="89" t="s">
        <v>124</v>
      </c>
      <c r="Q33" s="49">
        <v>1.0599</v>
      </c>
      <c r="R33" s="57" t="s">
        <v>1</v>
      </c>
      <c r="S33" s="99">
        <f t="shared" si="20"/>
        <v>2141</v>
      </c>
      <c r="T33" s="100">
        <f t="shared" si="21"/>
        <v>1.37888888888889</v>
      </c>
      <c r="U33" s="100">
        <f t="shared" si="26"/>
        <v>1.206</v>
      </c>
      <c r="V33" s="101">
        <f t="shared" si="22"/>
        <v>2.7864</v>
      </c>
      <c r="W33" s="102">
        <f t="shared" si="23"/>
        <v>0.15</v>
      </c>
      <c r="X33" s="101">
        <f t="shared" si="24"/>
        <v>0.488431876606684</v>
      </c>
      <c r="Y33" s="57">
        <f t="shared" si="27"/>
        <v>0.92</v>
      </c>
      <c r="Z33" s="103">
        <v>0</v>
      </c>
      <c r="AA33" s="103">
        <v>0</v>
      </c>
      <c r="AB33" s="36">
        <v>0</v>
      </c>
      <c r="AC33" s="97">
        <f t="shared" si="25"/>
        <v>7208.08992923904</v>
      </c>
    </row>
    <row r="34" s="1" customFormat="1" ht="15" spans="2:29">
      <c r="B34" s="151" t="s">
        <v>125</v>
      </c>
      <c r="C34" s="152" t="s">
        <v>126</v>
      </c>
      <c r="D34" s="152" t="s">
        <v>127</v>
      </c>
      <c r="E34" s="152" t="s">
        <v>128</v>
      </c>
      <c r="F34" s="153" t="s">
        <v>129</v>
      </c>
      <c r="G34" s="167"/>
      <c r="N34" s="57"/>
      <c r="O34" s="98">
        <v>0</v>
      </c>
      <c r="P34" s="89" t="s">
        <v>130</v>
      </c>
      <c r="Q34" s="49">
        <v>3.1056</v>
      </c>
      <c r="R34" s="57" t="s">
        <v>96</v>
      </c>
      <c r="S34" s="99">
        <f t="shared" si="20"/>
        <v>2141</v>
      </c>
      <c r="T34" s="100">
        <f t="shared" si="21"/>
        <v>1.37888888888889</v>
      </c>
      <c r="U34" s="100">
        <f t="shared" si="26"/>
        <v>0.72</v>
      </c>
      <c r="V34" s="101">
        <f t="shared" si="22"/>
        <v>2.7864</v>
      </c>
      <c r="W34" s="102">
        <f t="shared" si="23"/>
        <v>0.15</v>
      </c>
      <c r="X34" s="101">
        <f t="shared" si="24"/>
        <v>0.488431876606684</v>
      </c>
      <c r="Y34" s="57">
        <f t="shared" si="27"/>
        <v>0.92</v>
      </c>
      <c r="Z34" s="103">
        <v>0</v>
      </c>
      <c r="AA34" s="103">
        <v>0</v>
      </c>
      <c r="AB34" s="36">
        <v>0</v>
      </c>
      <c r="AC34" s="97">
        <f t="shared" si="25"/>
        <v>0</v>
      </c>
    </row>
    <row r="35" s="1" customFormat="1" ht="15" spans="2:29">
      <c r="B35" s="156"/>
      <c r="C35" s="157"/>
      <c r="D35" s="157"/>
      <c r="E35" s="157"/>
      <c r="F35" s="158"/>
      <c r="G35" s="2"/>
      <c r="N35" s="57"/>
      <c r="O35" s="127">
        <v>1</v>
      </c>
      <c r="P35" s="89" t="s">
        <v>131</v>
      </c>
      <c r="Q35" s="56">
        <v>3.7804</v>
      </c>
      <c r="R35" s="128" t="s">
        <v>1</v>
      </c>
      <c r="S35" s="129">
        <f t="shared" si="20"/>
        <v>2141</v>
      </c>
      <c r="T35" s="130">
        <f t="shared" si="21"/>
        <v>1.37888888888889</v>
      </c>
      <c r="U35" s="130">
        <f t="shared" si="26"/>
        <v>1.206</v>
      </c>
      <c r="V35" s="131">
        <f>1+$G$22*($I$22-1+25%)</f>
        <v>3.0064</v>
      </c>
      <c r="W35" s="132">
        <f t="shared" si="23"/>
        <v>0.15</v>
      </c>
      <c r="X35" s="131">
        <f t="shared" si="24"/>
        <v>0.488431876606684</v>
      </c>
      <c r="Y35" s="128">
        <f t="shared" si="27"/>
        <v>0.92</v>
      </c>
      <c r="Z35" s="133">
        <v>0</v>
      </c>
      <c r="AA35" s="133">
        <v>0</v>
      </c>
      <c r="AB35" s="53">
        <v>0</v>
      </c>
      <c r="AC35" s="97">
        <f t="shared" si="25"/>
        <v>27739.3550898388</v>
      </c>
    </row>
    <row r="36" s="1" customFormat="1" spans="2:29">
      <c r="B36" s="159"/>
      <c r="C36" s="159"/>
      <c r="D36" s="159"/>
      <c r="E36" s="159"/>
      <c r="F36" s="159"/>
      <c r="G36" s="2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</row>
    <row r="37" s="1" customFormat="1" ht="15" spans="2:29">
      <c r="B37" s="160" t="s">
        <v>132</v>
      </c>
      <c r="C37" s="161" t="s">
        <v>133</v>
      </c>
      <c r="D37" s="161" t="s">
        <v>134</v>
      </c>
      <c r="E37" s="91"/>
      <c r="F37" s="162"/>
      <c r="N37" s="57"/>
      <c r="O37" s="20">
        <v>1</v>
      </c>
      <c r="P37" s="137" t="s">
        <v>74</v>
      </c>
      <c r="Q37" s="145">
        <v>16</v>
      </c>
      <c r="R37" s="137" t="s">
        <v>75</v>
      </c>
      <c r="S37" s="137">
        <v>10027</v>
      </c>
      <c r="T37" s="145">
        <v>0</v>
      </c>
      <c r="U37" s="145">
        <v>0</v>
      </c>
      <c r="V37" s="146">
        <v>1</v>
      </c>
      <c r="W37" s="147">
        <v>0</v>
      </c>
      <c r="X37" s="146">
        <f>$AH$3</f>
        <v>0.488431876606684</v>
      </c>
      <c r="Y37" s="137">
        <f>$AH$13</f>
        <v>0.8</v>
      </c>
      <c r="Z37" s="148">
        <v>0</v>
      </c>
      <c r="AA37" s="148">
        <v>0</v>
      </c>
      <c r="AB37" s="148">
        <v>0.1</v>
      </c>
      <c r="AC37" s="149">
        <f>Q37*S37*(1+T37)*(1+U37)*V37*(1+W37)*X37*Y37*(1+Z37)*(1+AA37)*(1+AB37)*O37</f>
        <v>68956.8904884319</v>
      </c>
    </row>
    <row r="38" s="1" customFormat="1" ht="15" spans="2:29">
      <c r="B38" s="165"/>
      <c r="C38" s="166" t="s">
        <v>135</v>
      </c>
      <c r="D38" s="166" t="s">
        <v>136</v>
      </c>
      <c r="E38" s="128"/>
      <c r="F38" s="52"/>
      <c r="G38" s="2"/>
      <c r="Q38" s="2"/>
      <c r="U38" s="2"/>
      <c r="V38" s="3"/>
      <c r="AB38" s="4"/>
      <c r="AC38" s="4"/>
    </row>
    <row r="39" s="1" customFormat="1" spans="2:29">
      <c r="B39" s="4"/>
      <c r="C39" s="4"/>
      <c r="D39" s="4"/>
      <c r="F39" s="4"/>
      <c r="G39" s="2"/>
      <c r="Q39" s="2"/>
      <c r="U39" s="2"/>
      <c r="V39" s="3"/>
      <c r="AB39" s="4"/>
      <c r="AC39" s="4"/>
    </row>
    <row r="40" s="1" customFormat="1" spans="2:29">
      <c r="B40" s="4"/>
      <c r="C40" s="4"/>
      <c r="D40" s="4"/>
      <c r="F40" s="4"/>
      <c r="G40" s="2"/>
      <c r="Q40" s="2"/>
      <c r="U40" s="2"/>
      <c r="V40" s="3"/>
      <c r="AB40" s="4"/>
      <c r="AC40" s="4"/>
    </row>
    <row r="41" s="1" customFormat="1" spans="2:29">
      <c r="G41" s="2"/>
      <c r="Q41" s="2"/>
      <c r="U41" s="2"/>
      <c r="V41" s="3"/>
      <c r="AB41" s="4"/>
      <c r="AC41" s="4"/>
    </row>
    <row r="42" s="1" customFormat="1" spans="2:29">
      <c r="B42" s="4"/>
      <c r="C42" s="4"/>
      <c r="D42" s="4"/>
      <c r="F42" s="4"/>
      <c r="G42" s="2"/>
      <c r="Q42" s="2"/>
      <c r="U42" s="2"/>
      <c r="V42" s="3"/>
      <c r="AB42" s="4"/>
      <c r="AC42" s="4"/>
    </row>
    <row r="43" s="1" customFormat="1" spans="2:29">
      <c r="B43" s="4"/>
      <c r="C43" s="4"/>
      <c r="D43" s="4"/>
      <c r="F43" s="4"/>
      <c r="G43" s="2"/>
      <c r="Q43" s="2"/>
      <c r="U43" s="2"/>
      <c r="V43" s="3"/>
      <c r="AB43" s="4"/>
      <c r="AC43" s="4"/>
    </row>
    <row r="44" s="1" customFormat="1" spans="2:29">
      <c r="G44" s="2"/>
      <c r="Q44" s="2"/>
      <c r="U44" s="2"/>
      <c r="V44" s="3"/>
      <c r="AB44" s="4"/>
      <c r="AC44" s="4"/>
    </row>
    <row r="45" s="1" customFormat="1" spans="2:29">
      <c r="B45" s="4"/>
      <c r="C45" s="4"/>
      <c r="D45" s="4"/>
      <c r="F45" s="4"/>
      <c r="G45" s="2"/>
      <c r="Q45" s="2"/>
      <c r="U45" s="2"/>
      <c r="V45" s="3"/>
      <c r="AB45" s="4"/>
      <c r="AC45" s="4"/>
    </row>
    <row r="46" s="1" customFormat="1" spans="2:29">
      <c r="B46" s="4"/>
      <c r="C46" s="4"/>
      <c r="D46" s="4"/>
      <c r="G46" s="2"/>
      <c r="Q46" s="2"/>
      <c r="U46" s="2"/>
      <c r="V46" s="3"/>
      <c r="AB46" s="4"/>
      <c r="AC46" s="4"/>
    </row>
    <row r="47" s="1" customFormat="1" spans="2:29">
      <c r="G47" s="2"/>
      <c r="Q47" s="2"/>
      <c r="U47" s="2"/>
      <c r="V47" s="3"/>
      <c r="AB47" s="4"/>
      <c r="AC47" s="4"/>
    </row>
    <row r="48" s="1" customFormat="1" spans="2:29">
      <c r="B48" s="4"/>
      <c r="C48" s="4"/>
      <c r="D48" s="4"/>
      <c r="G48" s="2"/>
      <c r="Q48" s="2"/>
      <c r="U48" s="2"/>
      <c r="V48" s="3"/>
      <c r="AB48" s="4"/>
      <c r="AC48" s="4"/>
    </row>
    <row r="49" s="1" customFormat="1" spans="7:29">
      <c r="G49" s="2"/>
      <c r="Q49" s="2"/>
      <c r="U49" s="2"/>
      <c r="V49" s="3"/>
      <c r="AB49" s="4"/>
      <c r="AC49" s="4"/>
    </row>
    <row r="50" s="1" customFormat="1" spans="7:29">
      <c r="G50" s="2"/>
      <c r="Q50" s="2"/>
      <c r="U50" s="2"/>
      <c r="V50" s="3"/>
      <c r="AB50" s="4"/>
      <c r="AC50" s="4"/>
    </row>
    <row r="51" s="1" customFormat="1" spans="7:29">
      <c r="G51" s="2"/>
      <c r="Q51" s="2"/>
      <c r="U51" s="2"/>
      <c r="V51" s="3"/>
      <c r="AB51" s="4"/>
      <c r="AC51" s="4"/>
    </row>
    <row r="52" s="1" customFormat="1" spans="7:29">
      <c r="G52" s="2"/>
      <c r="Q52" s="2"/>
      <c r="U52" s="2"/>
      <c r="V52" s="3"/>
      <c r="AB52" s="4"/>
      <c r="AC52" s="4"/>
    </row>
    <row r="53" s="1" customFormat="1" spans="7:29">
      <c r="G53" s="2"/>
      <c r="Q53" s="2"/>
      <c r="U53" s="2"/>
      <c r="V53" s="3"/>
      <c r="AB53" s="4"/>
      <c r="AC53" s="4"/>
    </row>
    <row r="54" s="1" customFormat="1" spans="7:29">
      <c r="G54" s="2"/>
      <c r="Q54" s="2"/>
      <c r="U54" s="2"/>
      <c r="V54" s="3"/>
      <c r="AB54" s="4"/>
      <c r="AC54" s="4"/>
    </row>
    <row r="55" s="1" customFormat="1" spans="7:29">
      <c r="G55" s="2"/>
      <c r="Q55" s="2"/>
      <c r="U55" s="2"/>
      <c r="V55" s="3"/>
      <c r="AB55" s="4"/>
      <c r="AC55" s="4"/>
    </row>
    <row r="56" s="1" customFormat="1" spans="7:29">
      <c r="G56" s="2"/>
      <c r="Q56" s="2"/>
      <c r="U56" s="2"/>
      <c r="V56" s="3"/>
      <c r="AB56" s="4"/>
      <c r="AC56" s="4"/>
    </row>
    <row r="57" s="1" customFormat="1" spans="7:29">
      <c r="G57" s="2"/>
      <c r="Q57" s="2"/>
      <c r="U57" s="2"/>
      <c r="V57" s="3"/>
      <c r="AB57" s="4"/>
      <c r="AC57" s="4"/>
    </row>
    <row r="59" s="1" customFormat="1" spans="7:29">
      <c r="G59" s="2"/>
      <c r="Q59" s="2"/>
      <c r="U59" s="2"/>
      <c r="V59" s="3"/>
      <c r="AB59" s="4"/>
      <c r="AC59" s="4"/>
    </row>
  </sheetData>
  <mergeCells count="14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9"/>
  <sheetViews>
    <sheetView topLeftCell="A16" workbookViewId="0">
      <selection activeCell="B25" sqref="B25:M25"/>
    </sheetView>
  </sheetViews>
  <sheetFormatPr defaultColWidth="9.69090909090909" defaultRowHeight="14"/>
  <cols>
    <col min="1" max="1" width="7.54545454545455" style="1" customWidth="1"/>
    <col min="2" max="2" width="15" style="1" customWidth="1"/>
    <col min="3" max="3" width="15.3636363636364" style="1" customWidth="1"/>
    <col min="4" max="4" width="13.9090909090909" style="1" customWidth="1"/>
    <col min="5" max="5" width="9.54545454545454" style="1" customWidth="1"/>
    <col min="6" max="6" width="13.9090909090909" style="1" customWidth="1"/>
    <col min="7" max="7" width="8.45454545454546" style="2" customWidth="1"/>
    <col min="8" max="8" width="13.9090909090909" style="1" customWidth="1"/>
    <col min="9" max="9" width="8.45454545454546" style="1" customWidth="1"/>
    <col min="10" max="10" width="11.6363636363636" style="1" customWidth="1"/>
    <col min="11" max="11" width="4.72727272727273" style="1" customWidth="1"/>
    <col min="12" max="12" width="9.54545454545454" style="1" customWidth="1"/>
    <col min="13" max="13" width="7.36363636363636" style="1" customWidth="1"/>
    <col min="14" max="14" width="5.54545454545455" style="1" customWidth="1"/>
    <col min="15" max="15" width="6.09090909090909" style="1" customWidth="1"/>
    <col min="16" max="16" width="17.2727272727273" style="1" customWidth="1"/>
    <col min="17" max="17" width="9.54545454545454" style="2" customWidth="1"/>
    <col min="18" max="18" width="6.09090909090909" style="1" customWidth="1"/>
    <col min="19" max="19" width="10.4545454545455" style="1" customWidth="1"/>
    <col min="20" max="20" width="8.45454545454546" style="1" customWidth="1"/>
    <col min="21" max="21" width="8.45454545454546" style="2" customWidth="1"/>
    <col min="22" max="22" width="8.27272727272727" style="3" customWidth="1"/>
    <col min="23" max="25" width="8.27272727272727" style="1" customWidth="1"/>
    <col min="26" max="26" width="10.4545454545455" style="1" customWidth="1"/>
    <col min="27" max="27" width="8.27272727272727" style="1" customWidth="1"/>
    <col min="28" max="28" width="10.4545454545455" style="4" customWidth="1"/>
    <col min="29" max="29" width="9.45454545454546" style="4" customWidth="1"/>
    <col min="30" max="31" width="5.90909090909091" style="1" customWidth="1"/>
    <col min="32" max="32" width="9.54545454545454" style="1" customWidth="1"/>
    <col min="33" max="33" width="5.90909090909091" style="1" customWidth="1"/>
    <col min="34" max="34" width="8" style="1" customWidth="1"/>
    <col min="35" max="35" width="9.54545454545454" style="1" customWidth="1"/>
    <col min="36" max="16384" width="9.69090909090909" style="1"/>
  </cols>
  <sheetData>
    <row r="1" s="1" customFormat="1" ht="14.75" spans="2:35">
      <c r="B1" s="5" t="s">
        <v>0</v>
      </c>
      <c r="C1" s="5" t="s">
        <v>83</v>
      </c>
      <c r="D1" s="6" t="s">
        <v>2</v>
      </c>
      <c r="E1" s="6">
        <v>2</v>
      </c>
      <c r="Q1" s="2"/>
      <c r="U1" s="2"/>
      <c r="V1" s="3"/>
      <c r="AB1" s="4"/>
      <c r="AC1" s="4"/>
    </row>
    <row r="2" s="1" customFormat="1" ht="15" spans="2:35">
      <c r="B2" s="7" t="s">
        <v>84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4</v>
      </c>
      <c r="P2" s="11" t="s">
        <v>5</v>
      </c>
      <c r="Q2" s="12" t="s">
        <v>6</v>
      </c>
      <c r="R2" s="11" t="s">
        <v>7</v>
      </c>
      <c r="S2" s="11" t="s">
        <v>8</v>
      </c>
      <c r="T2" s="13" t="s">
        <v>9</v>
      </c>
      <c r="U2" s="12" t="s">
        <v>10</v>
      </c>
      <c r="V2" s="14" t="s">
        <v>11</v>
      </c>
      <c r="W2" s="11" t="s">
        <v>12</v>
      </c>
      <c r="X2" s="11" t="s">
        <v>13</v>
      </c>
      <c r="Y2" s="11" t="s">
        <v>14</v>
      </c>
      <c r="Z2" s="11" t="s">
        <v>15</v>
      </c>
      <c r="AA2" s="11" t="s">
        <v>16</v>
      </c>
      <c r="AB2" s="15" t="s">
        <v>17</v>
      </c>
      <c r="AC2" s="16" t="s">
        <v>18</v>
      </c>
      <c r="AD2" s="17" t="s">
        <v>85</v>
      </c>
      <c r="AE2" s="17" t="s">
        <v>86</v>
      </c>
      <c r="AF2" s="18" t="s">
        <v>21</v>
      </c>
      <c r="AG2" s="18" t="s">
        <v>22</v>
      </c>
      <c r="AH2" s="19" t="s">
        <v>13</v>
      </c>
      <c r="AI2" s="19" t="s">
        <v>23</v>
      </c>
    </row>
    <row r="3" s="1" customFormat="1" ht="15" spans="2:35">
      <c r="B3" s="20" t="s">
        <v>24</v>
      </c>
      <c r="C3" s="21"/>
      <c r="D3" s="20" t="s">
        <v>10</v>
      </c>
      <c r="E3" s="21"/>
      <c r="F3" s="20" t="s">
        <v>25</v>
      </c>
      <c r="G3" s="21"/>
      <c r="H3" s="20" t="s">
        <v>26</v>
      </c>
      <c r="I3" s="21"/>
      <c r="J3" s="20" t="s">
        <v>12</v>
      </c>
      <c r="K3" s="21"/>
      <c r="L3" s="20" t="s">
        <v>27</v>
      </c>
      <c r="M3" s="21"/>
      <c r="O3" s="22">
        <v>1</v>
      </c>
      <c r="P3" s="23" t="s">
        <v>87</v>
      </c>
      <c r="Q3" s="24">
        <v>5.9643</v>
      </c>
      <c r="R3" s="25" t="s">
        <v>83</v>
      </c>
      <c r="S3" s="26">
        <f t="shared" ref="S3:S14" si="0">$C$4*(1+C$5+C$6+C$7+C$8)+C$9</f>
        <v>2764.592</v>
      </c>
      <c r="T3" s="27">
        <f t="shared" ref="T3:T23" si="1">S3/$C$4-1</f>
        <v>1.699796875</v>
      </c>
      <c r="U3" s="27">
        <f t="shared" ref="U3:U10" si="2">IF(R3=$C$1,SUM($E$4:$E$9),SUM($E$4:$E$8))</f>
        <v>1.712</v>
      </c>
      <c r="V3" s="28">
        <f t="shared" ref="V3:V23" si="3">1+$G$10*($I$10-1+AD3*2.5%+AE3*1%)</f>
        <v>3.12715</v>
      </c>
      <c r="W3" s="29">
        <f t="shared" ref="W3:W10" si="4">IF(R3=$C$1,$K$4+$K$5,$K$4)</f>
        <v>0.7</v>
      </c>
      <c r="X3" s="28">
        <f t="shared" ref="X3:X23" si="5">$AH$4</f>
        <v>0.509274150316286</v>
      </c>
      <c r="Y3" s="25">
        <f t="shared" ref="Y3:Y26" si="6">$AH$11</f>
        <v>0.8</v>
      </c>
      <c r="Z3" s="30">
        <v>0</v>
      </c>
      <c r="AA3" s="30">
        <v>0</v>
      </c>
      <c r="AB3" s="31">
        <v>0</v>
      </c>
      <c r="AC3" s="23">
        <f t="shared" ref="AC3:AC10" si="7">Q3*$C$4*(1+T3)*(1+U3)*V3*(1+W3)*X3*Y3*(1+Z3)*(1+AA3)*(1+AB3)*O3</f>
        <v>96854.4249513542</v>
      </c>
      <c r="AD3" s="32">
        <v>17</v>
      </c>
      <c r="AE3" s="32"/>
      <c r="AF3" s="18">
        <v>0</v>
      </c>
      <c r="AG3" s="18">
        <v>0</v>
      </c>
      <c r="AH3" s="19">
        <f t="shared" ref="AH3:AH8" si="8">1520/(1520+(792+8*AI3)*(1-AG3/100))</f>
        <v>0.488431876606684</v>
      </c>
      <c r="AI3" s="33">
        <v>100</v>
      </c>
    </row>
    <row r="4" s="1" customFormat="1" ht="15" spans="2:35">
      <c r="B4" s="34" t="s">
        <v>28</v>
      </c>
      <c r="C4" s="35">
        <f>437+587</f>
        <v>1024</v>
      </c>
      <c r="D4" s="34" t="s">
        <v>29</v>
      </c>
      <c r="E4" s="36">
        <f>E1*30%</f>
        <v>0.6</v>
      </c>
      <c r="F4" s="34" t="s">
        <v>30</v>
      </c>
      <c r="G4" s="37">
        <v>0.13</v>
      </c>
      <c r="H4" s="34" t="s">
        <v>30</v>
      </c>
      <c r="I4" s="37">
        <v>1.5</v>
      </c>
      <c r="J4" s="38" t="s">
        <v>31</v>
      </c>
      <c r="K4" s="39">
        <f>25%+20%</f>
        <v>0.45</v>
      </c>
      <c r="L4" s="34" t="s">
        <v>32</v>
      </c>
      <c r="M4" s="37">
        <f>8.6%*3</f>
        <v>0.258</v>
      </c>
      <c r="O4" s="40">
        <v>1</v>
      </c>
      <c r="P4" s="23" t="s">
        <v>88</v>
      </c>
      <c r="Q4" s="41">
        <f>39.23%+26.15%*2</f>
        <v>0.9153</v>
      </c>
      <c r="R4" s="42" t="s">
        <v>1</v>
      </c>
      <c r="S4" s="43">
        <f t="shared" si="0"/>
        <v>2764.592</v>
      </c>
      <c r="T4" s="44">
        <f t="shared" si="1"/>
        <v>1.699796875</v>
      </c>
      <c r="U4" s="44">
        <f t="shared" si="2"/>
        <v>1.22</v>
      </c>
      <c r="V4" s="46">
        <f t="shared" si="3"/>
        <v>3.12715</v>
      </c>
      <c r="W4" s="45">
        <f t="shared" si="4"/>
        <v>0.45</v>
      </c>
      <c r="X4" s="46">
        <f t="shared" si="5"/>
        <v>0.509274150316286</v>
      </c>
      <c r="Y4" s="42">
        <f t="shared" si="6"/>
        <v>0.8</v>
      </c>
      <c r="Z4" s="47">
        <v>0</v>
      </c>
      <c r="AA4" s="47">
        <v>0</v>
      </c>
      <c r="AB4" s="48">
        <v>0</v>
      </c>
      <c r="AC4" s="23">
        <f t="shared" si="7"/>
        <v>10377.8124889626</v>
      </c>
      <c r="AD4" s="32">
        <v>17</v>
      </c>
      <c r="AE4" s="32"/>
      <c r="AF4" s="18">
        <v>8</v>
      </c>
      <c r="AG4" s="18">
        <v>0</v>
      </c>
      <c r="AH4" s="19">
        <f>1520/(1520+(792+8*AI4)*(1-AG4/100)*(1-AF4/100))</f>
        <v>0.509274150316286</v>
      </c>
      <c r="AI4" s="33">
        <v>100</v>
      </c>
    </row>
    <row r="5" s="1" customFormat="1" ht="15" spans="2:35">
      <c r="B5" s="34" t="s">
        <v>33</v>
      </c>
      <c r="C5" s="37">
        <f>12%+12%</f>
        <v>0.24</v>
      </c>
      <c r="D5" s="34" t="s">
        <v>34</v>
      </c>
      <c r="E5" s="36">
        <f>12%+10%</f>
        <v>0.22</v>
      </c>
      <c r="F5" s="34" t="s">
        <v>35</v>
      </c>
      <c r="G5" s="37">
        <v>0.243</v>
      </c>
      <c r="H5" s="34" t="s">
        <v>35</v>
      </c>
      <c r="I5" s="37">
        <v>0</v>
      </c>
      <c r="J5" s="49" t="s">
        <v>89</v>
      </c>
      <c r="K5" s="36">
        <v>0.25</v>
      </c>
      <c r="L5" s="34" t="s">
        <v>37</v>
      </c>
      <c r="M5" s="37">
        <f>8.6%*2</f>
        <v>0.172</v>
      </c>
      <c r="O5" s="40">
        <v>1</v>
      </c>
      <c r="P5" s="23" t="s">
        <v>90</v>
      </c>
      <c r="Q5" s="41">
        <f t="shared" ref="Q5:Q9" si="9">37.88%*4+117.88%*3</f>
        <v>5.0516</v>
      </c>
      <c r="R5" s="42" t="s">
        <v>83</v>
      </c>
      <c r="S5" s="43">
        <f t="shared" si="0"/>
        <v>2764.592</v>
      </c>
      <c r="T5" s="44">
        <f t="shared" si="1"/>
        <v>1.699796875</v>
      </c>
      <c r="U5" s="44">
        <f t="shared" si="2"/>
        <v>1.712</v>
      </c>
      <c r="V5" s="46">
        <f t="shared" si="3"/>
        <v>3.12715</v>
      </c>
      <c r="W5" s="45">
        <f t="shared" si="4"/>
        <v>0.7</v>
      </c>
      <c r="X5" s="46">
        <f t="shared" si="5"/>
        <v>0.509274150316286</v>
      </c>
      <c r="Y5" s="42">
        <f t="shared" si="6"/>
        <v>0.8</v>
      </c>
      <c r="Z5" s="47">
        <v>0</v>
      </c>
      <c r="AA5" s="47">
        <v>0</v>
      </c>
      <c r="AB5" s="48">
        <v>0</v>
      </c>
      <c r="AC5" s="23">
        <f t="shared" si="7"/>
        <v>82033.0655876232</v>
      </c>
      <c r="AD5" s="32">
        <v>17</v>
      </c>
      <c r="AE5" s="32"/>
      <c r="AF5" s="18">
        <v>0</v>
      </c>
      <c r="AG5" s="18">
        <v>30</v>
      </c>
      <c r="AH5" s="19">
        <f t="shared" si="8"/>
        <v>0.57698147585788</v>
      </c>
      <c r="AI5" s="33">
        <v>100</v>
      </c>
    </row>
    <row r="6" s="1" customFormat="1" ht="15" spans="2:35">
      <c r="B6" s="34" t="s">
        <v>39</v>
      </c>
      <c r="C6" s="37">
        <f>18%+18%+M4+(2-E1)*30%</f>
        <v>0.618</v>
      </c>
      <c r="D6" s="34" t="s">
        <v>40</v>
      </c>
      <c r="E6" s="36"/>
      <c r="F6" s="34" t="s">
        <v>41</v>
      </c>
      <c r="G6" s="37">
        <v>0.2</v>
      </c>
      <c r="H6" s="34" t="s">
        <v>41</v>
      </c>
      <c r="I6" s="37">
        <v>0</v>
      </c>
      <c r="J6" s="49" t="s">
        <v>91</v>
      </c>
      <c r="K6" s="36">
        <v>0.32</v>
      </c>
      <c r="L6" s="34" t="s">
        <v>25</v>
      </c>
      <c r="M6" s="37">
        <f>8.1*5%</f>
        <v>0.405</v>
      </c>
      <c r="O6" s="40">
        <v>1</v>
      </c>
      <c r="P6" s="23" t="s">
        <v>83</v>
      </c>
      <c r="Q6" s="41">
        <f>105.97%*2</f>
        <v>2.1194</v>
      </c>
      <c r="R6" s="42" t="s">
        <v>83</v>
      </c>
      <c r="S6" s="43">
        <f t="shared" si="0"/>
        <v>2764.592</v>
      </c>
      <c r="T6" s="44">
        <f t="shared" si="1"/>
        <v>1.699796875</v>
      </c>
      <c r="U6" s="44">
        <f t="shared" si="2"/>
        <v>1.712</v>
      </c>
      <c r="V6" s="46">
        <f t="shared" si="3"/>
        <v>3.12715</v>
      </c>
      <c r="W6" s="45">
        <f t="shared" si="4"/>
        <v>0.7</v>
      </c>
      <c r="X6" s="46">
        <f t="shared" si="5"/>
        <v>0.509274150316286</v>
      </c>
      <c r="Y6" s="42">
        <f t="shared" si="6"/>
        <v>0.8</v>
      </c>
      <c r="Z6" s="47">
        <v>0</v>
      </c>
      <c r="AA6" s="47">
        <v>0</v>
      </c>
      <c r="AB6" s="48">
        <v>0</v>
      </c>
      <c r="AC6" s="23">
        <f t="shared" si="7"/>
        <v>34416.9924788995</v>
      </c>
      <c r="AD6" s="32">
        <v>17</v>
      </c>
      <c r="AE6" s="32"/>
      <c r="AF6" s="18">
        <v>0</v>
      </c>
      <c r="AG6" s="18">
        <v>21.6</v>
      </c>
      <c r="AH6" s="19">
        <f t="shared" si="8"/>
        <v>0.549107555719967</v>
      </c>
      <c r="AI6" s="33">
        <v>100</v>
      </c>
    </row>
    <row r="7" s="1" customFormat="1" ht="15" spans="2:35">
      <c r="B7" s="34" t="s">
        <v>43</v>
      </c>
      <c r="C7" s="37"/>
      <c r="D7" s="34" t="s">
        <v>44</v>
      </c>
      <c r="E7" s="36">
        <f>40%</f>
        <v>0.4</v>
      </c>
      <c r="F7" s="34" t="s">
        <v>39</v>
      </c>
      <c r="G7" s="37">
        <f>M6</f>
        <v>0.405</v>
      </c>
      <c r="H7" s="34" t="s">
        <v>39</v>
      </c>
      <c r="I7" s="37">
        <f>M7+44%</f>
        <v>1.25</v>
      </c>
      <c r="J7" s="49"/>
      <c r="K7" s="36"/>
      <c r="L7" s="34" t="s">
        <v>45</v>
      </c>
      <c r="M7" s="36">
        <f>16.2%*5</f>
        <v>0.81</v>
      </c>
      <c r="O7" s="40">
        <v>1</v>
      </c>
      <c r="P7" s="23" t="s">
        <v>90</v>
      </c>
      <c r="Q7" s="41">
        <f t="shared" si="9"/>
        <v>5.0516</v>
      </c>
      <c r="R7" s="42" t="s">
        <v>83</v>
      </c>
      <c r="S7" s="43">
        <f t="shared" si="0"/>
        <v>2764.592</v>
      </c>
      <c r="T7" s="44">
        <f t="shared" si="1"/>
        <v>1.699796875</v>
      </c>
      <c r="U7" s="44">
        <f t="shared" si="2"/>
        <v>1.712</v>
      </c>
      <c r="V7" s="46">
        <f t="shared" si="3"/>
        <v>3.12715</v>
      </c>
      <c r="W7" s="45">
        <f t="shared" si="4"/>
        <v>0.7</v>
      </c>
      <c r="X7" s="46">
        <f t="shared" si="5"/>
        <v>0.509274150316286</v>
      </c>
      <c r="Y7" s="42">
        <f t="shared" si="6"/>
        <v>0.8</v>
      </c>
      <c r="Z7" s="47">
        <v>0</v>
      </c>
      <c r="AA7" s="47">
        <v>0</v>
      </c>
      <c r="AB7" s="48">
        <v>0</v>
      </c>
      <c r="AC7" s="23">
        <f t="shared" si="7"/>
        <v>82033.0655876232</v>
      </c>
      <c r="AD7" s="32">
        <v>17</v>
      </c>
      <c r="AE7" s="32"/>
      <c r="AF7" s="18">
        <v>0</v>
      </c>
      <c r="AG7" s="18">
        <v>28.8</v>
      </c>
      <c r="AH7" s="19">
        <f t="shared" si="8"/>
        <v>0.572827476423627</v>
      </c>
      <c r="AI7" s="33">
        <v>100</v>
      </c>
    </row>
    <row r="8" s="1" customFormat="1" ht="15" spans="2:35">
      <c r="B8" s="34" t="s">
        <v>46</v>
      </c>
      <c r="C8" s="37">
        <f>25%+25%</f>
        <v>0.5</v>
      </c>
      <c r="D8" s="34" t="s">
        <v>47</v>
      </c>
      <c r="E8" s="171"/>
      <c r="F8" s="34" t="s">
        <v>48</v>
      </c>
      <c r="G8" s="37">
        <v>0</v>
      </c>
      <c r="H8" s="34" t="s">
        <v>48</v>
      </c>
      <c r="I8" s="37">
        <v>0</v>
      </c>
      <c r="J8" s="49"/>
      <c r="K8" s="36"/>
      <c r="L8" s="34"/>
      <c r="M8" s="35"/>
      <c r="O8" s="40">
        <v>1</v>
      </c>
      <c r="P8" s="23" t="s">
        <v>92</v>
      </c>
      <c r="Q8" s="41">
        <f>53.45%*2+95.43%+39.23%+26.15%*2</f>
        <v>2.9386</v>
      </c>
      <c r="R8" s="42" t="s">
        <v>1</v>
      </c>
      <c r="S8" s="43">
        <f t="shared" si="0"/>
        <v>2764.592</v>
      </c>
      <c r="T8" s="44">
        <f t="shared" si="1"/>
        <v>1.699796875</v>
      </c>
      <c r="U8" s="44">
        <f t="shared" si="2"/>
        <v>1.22</v>
      </c>
      <c r="V8" s="46">
        <f t="shared" si="3"/>
        <v>3.12715</v>
      </c>
      <c r="W8" s="45">
        <f t="shared" si="4"/>
        <v>0.45</v>
      </c>
      <c r="X8" s="46">
        <f t="shared" si="5"/>
        <v>0.509274150316286</v>
      </c>
      <c r="Y8" s="42">
        <f t="shared" si="6"/>
        <v>0.8</v>
      </c>
      <c r="Z8" s="47">
        <v>0</v>
      </c>
      <c r="AA8" s="47">
        <v>0</v>
      </c>
      <c r="AB8" s="48">
        <v>0</v>
      </c>
      <c r="AC8" s="23">
        <f t="shared" si="7"/>
        <v>33318.2997706385</v>
      </c>
      <c r="AD8" s="32">
        <v>17</v>
      </c>
      <c r="AE8" s="32"/>
      <c r="AF8" s="18">
        <v>0</v>
      </c>
      <c r="AG8" s="18">
        <v>36</v>
      </c>
      <c r="AH8" s="19">
        <f t="shared" si="8"/>
        <v>0.598689185782707</v>
      </c>
      <c r="AI8" s="33">
        <v>100</v>
      </c>
    </row>
    <row r="9" s="1" customFormat="1" ht="15" spans="2:35">
      <c r="B9" s="34" t="s">
        <v>49</v>
      </c>
      <c r="C9" s="35">
        <v>350</v>
      </c>
      <c r="D9" s="34" t="s">
        <v>93</v>
      </c>
      <c r="E9" s="36">
        <f>32%+M5</f>
        <v>0.492</v>
      </c>
      <c r="F9" s="34" t="s">
        <v>51</v>
      </c>
      <c r="G9" s="37"/>
      <c r="H9" s="34" t="s">
        <v>51</v>
      </c>
      <c r="I9" s="37"/>
      <c r="J9" s="49"/>
      <c r="K9" s="36"/>
      <c r="L9" s="34"/>
      <c r="M9" s="35"/>
      <c r="O9" s="40">
        <v>1</v>
      </c>
      <c r="P9" s="23" t="s">
        <v>90</v>
      </c>
      <c r="Q9" s="41">
        <f t="shared" si="9"/>
        <v>5.0516</v>
      </c>
      <c r="R9" s="42" t="s">
        <v>83</v>
      </c>
      <c r="S9" s="43">
        <f t="shared" si="0"/>
        <v>2764.592</v>
      </c>
      <c r="T9" s="44">
        <f t="shared" si="1"/>
        <v>1.699796875</v>
      </c>
      <c r="U9" s="44">
        <f t="shared" si="2"/>
        <v>1.712</v>
      </c>
      <c r="V9" s="46">
        <f t="shared" si="3"/>
        <v>3.12715</v>
      </c>
      <c r="W9" s="45">
        <f t="shared" si="4"/>
        <v>0.7</v>
      </c>
      <c r="X9" s="46">
        <f t="shared" si="5"/>
        <v>0.509274150316286</v>
      </c>
      <c r="Y9" s="42">
        <f t="shared" si="6"/>
        <v>0.8</v>
      </c>
      <c r="Z9" s="47">
        <v>0</v>
      </c>
      <c r="AA9" s="47">
        <v>0</v>
      </c>
      <c r="AB9" s="48">
        <v>0</v>
      </c>
      <c r="AC9" s="23">
        <f t="shared" si="7"/>
        <v>82033.0655876232</v>
      </c>
      <c r="AD9" s="32">
        <v>17</v>
      </c>
      <c r="AE9" s="32"/>
    </row>
    <row r="10" s="1" customFormat="1" ht="15" spans="2:35">
      <c r="B10" s="51" t="s">
        <v>52</v>
      </c>
      <c r="C10" s="52"/>
      <c r="D10" s="51" t="s">
        <v>94</v>
      </c>
      <c r="E10" s="53">
        <f>20%+35%</f>
        <v>0.55</v>
      </c>
      <c r="F10" s="54" t="s">
        <v>53</v>
      </c>
      <c r="G10" s="55">
        <f>MIN(100%,SUM(G4:G9))</f>
        <v>0.978</v>
      </c>
      <c r="H10" s="54" t="s">
        <v>54</v>
      </c>
      <c r="I10" s="55">
        <f>SUM(I4:I9)</f>
        <v>2.75</v>
      </c>
      <c r="J10" s="56"/>
      <c r="K10" s="53"/>
      <c r="L10" s="51"/>
      <c r="M10" s="52"/>
      <c r="O10" s="40">
        <v>1</v>
      </c>
      <c r="P10" s="23" t="s">
        <v>92</v>
      </c>
      <c r="Q10" s="41">
        <f>53.45%*2+95.43%+39.23%+26.15%*2</f>
        <v>2.9386</v>
      </c>
      <c r="R10" s="42" t="s">
        <v>1</v>
      </c>
      <c r="S10" s="43">
        <f t="shared" si="0"/>
        <v>2764.592</v>
      </c>
      <c r="T10" s="44">
        <f t="shared" si="1"/>
        <v>1.699796875</v>
      </c>
      <c r="U10" s="44">
        <f t="shared" si="2"/>
        <v>1.22</v>
      </c>
      <c r="V10" s="46">
        <f t="shared" si="3"/>
        <v>3.12715</v>
      </c>
      <c r="W10" s="45">
        <f t="shared" si="4"/>
        <v>0.45</v>
      </c>
      <c r="X10" s="46">
        <f t="shared" si="5"/>
        <v>0.509274150316286</v>
      </c>
      <c r="Y10" s="42">
        <f t="shared" si="6"/>
        <v>0.8</v>
      </c>
      <c r="Z10" s="47">
        <v>0</v>
      </c>
      <c r="AA10" s="47">
        <v>0</v>
      </c>
      <c r="AB10" s="48">
        <v>0</v>
      </c>
      <c r="AC10" s="23">
        <f t="shared" si="7"/>
        <v>33318.2997706385</v>
      </c>
      <c r="AD10" s="32">
        <v>17</v>
      </c>
      <c r="AE10" s="32"/>
    </row>
    <row r="11" s="1" customFormat="1" ht="15" spans="2:35">
      <c r="B11" s="57"/>
      <c r="C11" s="57"/>
      <c r="E11" s="58"/>
      <c r="F11" s="20" t="s">
        <v>55</v>
      </c>
      <c r="G11" s="59">
        <f>MAX(0,SUM(G4:G9)-1)</f>
        <v>0</v>
      </c>
      <c r="J11" s="2"/>
      <c r="K11" s="2"/>
      <c r="O11" s="40">
        <v>1</v>
      </c>
      <c r="P11" s="23" t="s">
        <v>95</v>
      </c>
      <c r="Q11" s="41">
        <f>152.39%*3</f>
        <v>4.5717</v>
      </c>
      <c r="R11" s="42" t="s">
        <v>96</v>
      </c>
      <c r="S11" s="43">
        <f t="shared" si="0"/>
        <v>2764.592</v>
      </c>
      <c r="T11" s="44">
        <f t="shared" si="1"/>
        <v>1.699796875</v>
      </c>
      <c r="U11" s="44">
        <f t="shared" ref="U11:U23" si="10">IF(R11=$C$1,SUM($E$4:$E$9),SUM($E$4:$E$8))+$E$10</f>
        <v>1.77</v>
      </c>
      <c r="V11" s="46">
        <f t="shared" si="3"/>
        <v>3.12715</v>
      </c>
      <c r="W11" s="45">
        <f>IF(R11=$C$1,$K$4+$K$5,$K$4)+$K$6</f>
        <v>0.77</v>
      </c>
      <c r="X11" s="46">
        <f t="shared" si="5"/>
        <v>0.509274150316286</v>
      </c>
      <c r="Y11" s="42">
        <f t="shared" si="6"/>
        <v>0.8</v>
      </c>
      <c r="Z11" s="47">
        <v>0</v>
      </c>
      <c r="AA11" s="47">
        <v>0</v>
      </c>
      <c r="AB11" s="48">
        <v>0</v>
      </c>
      <c r="AC11" s="23">
        <f>Q11*$C$4*(1+T11)*(1+U11)*V11*(1+W11)*X11*Y11*(1+Z11)*(1+AA11)*(1+AB11)*O12</f>
        <v>78950.0009469015</v>
      </c>
      <c r="AD11" s="32">
        <v>17</v>
      </c>
      <c r="AE11" s="32"/>
      <c r="AG11" s="60" t="s">
        <v>97</v>
      </c>
      <c r="AH11" s="60">
        <v>0.8</v>
      </c>
    </row>
    <row r="12" s="1" customFormat="1" ht="15" spans="2:35">
      <c r="B12" s="57"/>
      <c r="C12" s="57"/>
      <c r="E12" s="58"/>
      <c r="G12" s="61"/>
      <c r="J12" s="2"/>
      <c r="K12" s="2"/>
      <c r="O12" s="40">
        <v>1</v>
      </c>
      <c r="P12" s="23" t="s">
        <v>90</v>
      </c>
      <c r="Q12" s="41">
        <f>37.88%*4+117.88%*3</f>
        <v>5.0516</v>
      </c>
      <c r="R12" s="42" t="s">
        <v>83</v>
      </c>
      <c r="S12" s="43">
        <f t="shared" si="0"/>
        <v>2764.592</v>
      </c>
      <c r="T12" s="44">
        <f t="shared" si="1"/>
        <v>1.699796875</v>
      </c>
      <c r="U12" s="44">
        <f t="shared" ref="U12:U14" si="11">IF(R12=$C$1,SUM($E$4:$E$9),SUM($E$4:$E$8))</f>
        <v>1.712</v>
      </c>
      <c r="V12" s="46">
        <f t="shared" si="3"/>
        <v>3.12715</v>
      </c>
      <c r="W12" s="45">
        <f t="shared" ref="W12:W14" si="12">IF(R12=$C$1,$K$4+$K$5,$K$4)</f>
        <v>0.7</v>
      </c>
      <c r="X12" s="46">
        <f t="shared" si="5"/>
        <v>0.509274150316286</v>
      </c>
      <c r="Y12" s="42">
        <f t="shared" si="6"/>
        <v>0.8</v>
      </c>
      <c r="Z12" s="47">
        <v>0</v>
      </c>
      <c r="AA12" s="47">
        <v>0</v>
      </c>
      <c r="AB12" s="48">
        <v>0</v>
      </c>
      <c r="AC12" s="23">
        <f t="shared" ref="AC12:AC21" si="13">Q12*$C$4*(1+T12)*(1+U12)*V12*(1+W12)*X12*Y12*(1+Z12)*(1+AA12)*(1+AB12)*O12</f>
        <v>82033.0655876232</v>
      </c>
      <c r="AD12" s="32">
        <v>17</v>
      </c>
      <c r="AE12" s="32"/>
      <c r="AG12" s="62" t="s">
        <v>98</v>
      </c>
      <c r="AH12" s="62">
        <v>0.92</v>
      </c>
    </row>
    <row r="13" s="1" customFormat="1" ht="15" spans="2:35">
      <c r="B13" s="5" t="s">
        <v>0</v>
      </c>
      <c r="C13" s="5" t="s">
        <v>1</v>
      </c>
      <c r="D13" s="6" t="s">
        <v>2</v>
      </c>
      <c r="E13" s="6">
        <v>2</v>
      </c>
      <c r="O13" s="40">
        <v>1</v>
      </c>
      <c r="P13" s="23" t="s">
        <v>99</v>
      </c>
      <c r="Q13" s="41">
        <f>33.01%*2+12.38%*8+495.1%</f>
        <v>6.6016</v>
      </c>
      <c r="R13" s="42" t="s">
        <v>83</v>
      </c>
      <c r="S13" s="43">
        <f t="shared" si="0"/>
        <v>2764.592</v>
      </c>
      <c r="T13" s="44">
        <f t="shared" si="1"/>
        <v>1.699796875</v>
      </c>
      <c r="U13" s="44">
        <f t="shared" si="11"/>
        <v>1.712</v>
      </c>
      <c r="V13" s="46">
        <f t="shared" si="3"/>
        <v>3.12715</v>
      </c>
      <c r="W13" s="45">
        <f t="shared" si="12"/>
        <v>0.7</v>
      </c>
      <c r="X13" s="46">
        <f t="shared" si="5"/>
        <v>0.509274150316286</v>
      </c>
      <c r="Y13" s="42">
        <f t="shared" si="6"/>
        <v>0.8</v>
      </c>
      <c r="Z13" s="47">
        <v>0</v>
      </c>
      <c r="AA13" s="47">
        <v>0</v>
      </c>
      <c r="AB13" s="48">
        <v>0</v>
      </c>
      <c r="AC13" s="23">
        <f t="shared" si="13"/>
        <v>107203.556454045</v>
      </c>
      <c r="AD13" s="32">
        <v>17</v>
      </c>
      <c r="AE13" s="32"/>
      <c r="AG13" s="1" t="s">
        <v>63</v>
      </c>
      <c r="AH13" s="1">
        <v>0.8</v>
      </c>
    </row>
    <row r="14" s="1" customFormat="1" ht="15" spans="2:35">
      <c r="B14" s="63" t="s">
        <v>100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O14" s="40">
        <v>1</v>
      </c>
      <c r="P14" s="23" t="s">
        <v>101</v>
      </c>
      <c r="Q14" s="41">
        <f>82.55%*AD14</f>
        <v>14.0335</v>
      </c>
      <c r="R14" s="42" t="s">
        <v>83</v>
      </c>
      <c r="S14" s="43">
        <f t="shared" si="0"/>
        <v>2764.592</v>
      </c>
      <c r="T14" s="44">
        <f t="shared" si="1"/>
        <v>1.699796875</v>
      </c>
      <c r="U14" s="44">
        <f t="shared" si="11"/>
        <v>1.712</v>
      </c>
      <c r="V14" s="46">
        <f t="shared" si="3"/>
        <v>3.12715</v>
      </c>
      <c r="W14" s="45">
        <f t="shared" si="12"/>
        <v>0.7</v>
      </c>
      <c r="X14" s="46">
        <f t="shared" si="5"/>
        <v>0.509274150316286</v>
      </c>
      <c r="Y14" s="42">
        <f t="shared" si="6"/>
        <v>0.8</v>
      </c>
      <c r="Z14" s="47">
        <v>0</v>
      </c>
      <c r="AA14" s="47">
        <v>0</v>
      </c>
      <c r="AB14" s="48">
        <v>0</v>
      </c>
      <c r="AC14" s="23">
        <f t="shared" si="13"/>
        <v>227890.376499309</v>
      </c>
      <c r="AD14" s="32">
        <v>17</v>
      </c>
      <c r="AE14" s="32"/>
      <c r="AG14" s="64" t="s">
        <v>137</v>
      </c>
      <c r="AH14" s="64">
        <v>0.8</v>
      </c>
    </row>
    <row r="15" s="1" customFormat="1" ht="15" spans="2:35">
      <c r="B15" s="65" t="s">
        <v>24</v>
      </c>
      <c r="C15" s="65"/>
      <c r="D15" s="65" t="s">
        <v>10</v>
      </c>
      <c r="E15" s="65"/>
      <c r="F15" s="65" t="s">
        <v>25</v>
      </c>
      <c r="G15" s="65"/>
      <c r="H15" s="65" t="s">
        <v>26</v>
      </c>
      <c r="I15" s="65"/>
      <c r="J15" s="65" t="s">
        <v>12</v>
      </c>
      <c r="K15" s="65"/>
      <c r="L15" s="65" t="s">
        <v>27</v>
      </c>
      <c r="M15" s="65"/>
      <c r="O15" s="40">
        <v>1</v>
      </c>
      <c r="P15" s="23" t="s">
        <v>102</v>
      </c>
      <c r="Q15" s="41">
        <f t="shared" ref="Q15:Q22" si="14">104.38%+243.55%</f>
        <v>3.4793</v>
      </c>
      <c r="R15" s="42" t="s">
        <v>96</v>
      </c>
      <c r="S15" s="43">
        <f t="shared" ref="S15:S23" si="15">$C$4*(1+C$5+C$6+C$7+C$8+120%)+C$9</f>
        <v>3993.392</v>
      </c>
      <c r="T15" s="44">
        <f t="shared" si="1"/>
        <v>2.899796875</v>
      </c>
      <c r="U15" s="44">
        <f t="shared" si="10"/>
        <v>1.77</v>
      </c>
      <c r="V15" s="46">
        <f t="shared" si="3"/>
        <v>3.12715</v>
      </c>
      <c r="W15" s="45">
        <f t="shared" ref="W15:W23" si="16">IF(R15=$C$1,$K$4+$K$5,$K$4)+$K$6-20%</f>
        <v>0.57</v>
      </c>
      <c r="X15" s="46">
        <f t="shared" si="5"/>
        <v>0.509274150316286</v>
      </c>
      <c r="Y15" s="42">
        <f t="shared" si="6"/>
        <v>0.8</v>
      </c>
      <c r="Z15" s="47">
        <v>0</v>
      </c>
      <c r="AA15" s="47">
        <v>0</v>
      </c>
      <c r="AB15" s="48">
        <v>0</v>
      </c>
      <c r="AC15" s="23">
        <f t="shared" si="13"/>
        <v>76984.5499994392</v>
      </c>
      <c r="AD15" s="32">
        <v>17</v>
      </c>
      <c r="AE15" s="32"/>
    </row>
    <row r="16" s="1" customFormat="1" ht="15" spans="2:35">
      <c r="B16" s="66" t="s">
        <v>28</v>
      </c>
      <c r="C16" s="67">
        <f>400+500</f>
        <v>900</v>
      </c>
      <c r="D16" s="66" t="s">
        <v>29</v>
      </c>
      <c r="E16" s="39">
        <f>E13*30%</f>
        <v>0.6</v>
      </c>
      <c r="F16" s="66" t="s">
        <v>30</v>
      </c>
      <c r="G16" s="68">
        <v>0.13</v>
      </c>
      <c r="H16" s="66" t="s">
        <v>30</v>
      </c>
      <c r="I16" s="68">
        <v>1.5</v>
      </c>
      <c r="J16" s="38" t="s">
        <v>31</v>
      </c>
      <c r="K16" s="39">
        <v>0.25</v>
      </c>
      <c r="L16" s="66" t="s">
        <v>32</v>
      </c>
      <c r="M16" s="68">
        <v>0.086</v>
      </c>
      <c r="O16" s="40">
        <v>1</v>
      </c>
      <c r="P16" s="23" t="s">
        <v>103</v>
      </c>
      <c r="Q16" s="41">
        <f t="shared" si="14"/>
        <v>3.4793</v>
      </c>
      <c r="R16" s="42" t="s">
        <v>96</v>
      </c>
      <c r="S16" s="43">
        <f t="shared" si="15"/>
        <v>3993.392</v>
      </c>
      <c r="T16" s="44">
        <f t="shared" si="1"/>
        <v>2.899796875</v>
      </c>
      <c r="U16" s="44">
        <f t="shared" si="10"/>
        <v>1.77</v>
      </c>
      <c r="V16" s="46">
        <f t="shared" si="3"/>
        <v>3.1516</v>
      </c>
      <c r="W16" s="45">
        <f t="shared" si="16"/>
        <v>0.57</v>
      </c>
      <c r="X16" s="46">
        <f t="shared" si="5"/>
        <v>0.509274150316286</v>
      </c>
      <c r="Y16" s="42">
        <f t="shared" si="6"/>
        <v>0.8</v>
      </c>
      <c r="Z16" s="47">
        <v>0</v>
      </c>
      <c r="AA16" s="47">
        <v>0</v>
      </c>
      <c r="AB16" s="48">
        <v>0</v>
      </c>
      <c r="AC16" s="23">
        <f t="shared" si="13"/>
        <v>77586.4630024887</v>
      </c>
      <c r="AD16" s="32">
        <v>18</v>
      </c>
      <c r="AE16" s="32"/>
    </row>
    <row r="17" s="1" customFormat="1" ht="15" spans="1:31">
      <c r="B17" s="34" t="s">
        <v>33</v>
      </c>
      <c r="C17" s="36">
        <f>12%+12%</f>
        <v>0.24</v>
      </c>
      <c r="D17" s="34" t="s">
        <v>34</v>
      </c>
      <c r="E17" s="36"/>
      <c r="F17" s="34" t="s">
        <v>35</v>
      </c>
      <c r="G17" s="37"/>
      <c r="H17" s="34" t="s">
        <v>35</v>
      </c>
      <c r="I17" s="37">
        <v>0.72</v>
      </c>
      <c r="J17" s="49" t="s">
        <v>36</v>
      </c>
      <c r="K17" s="36"/>
      <c r="L17" s="34" t="s">
        <v>104</v>
      </c>
      <c r="M17" s="37">
        <f>1*8.6%</f>
        <v>0.086</v>
      </c>
      <c r="O17" s="40">
        <v>1</v>
      </c>
      <c r="P17" s="23" t="s">
        <v>103</v>
      </c>
      <c r="Q17" s="41">
        <f>99.16%+231.37%</f>
        <v>3.3053</v>
      </c>
      <c r="R17" s="42" t="s">
        <v>96</v>
      </c>
      <c r="S17" s="43">
        <f t="shared" si="15"/>
        <v>3993.392</v>
      </c>
      <c r="T17" s="44">
        <f t="shared" si="1"/>
        <v>2.899796875</v>
      </c>
      <c r="U17" s="44">
        <f t="shared" si="10"/>
        <v>1.77</v>
      </c>
      <c r="V17" s="46">
        <f t="shared" si="3"/>
        <v>3.17605</v>
      </c>
      <c r="W17" s="45">
        <f t="shared" si="16"/>
        <v>0.57</v>
      </c>
      <c r="X17" s="46">
        <f t="shared" si="5"/>
        <v>0.509274150316286</v>
      </c>
      <c r="Y17" s="42">
        <f t="shared" si="6"/>
        <v>0.8</v>
      </c>
      <c r="Z17" s="47">
        <v>0</v>
      </c>
      <c r="AA17" s="47">
        <v>0</v>
      </c>
      <c r="AB17" s="48">
        <v>0</v>
      </c>
      <c r="AC17" s="23">
        <f t="shared" si="13"/>
        <v>74278.1706697052</v>
      </c>
      <c r="AD17" s="32">
        <v>19</v>
      </c>
      <c r="AE17" s="32"/>
    </row>
    <row r="18" s="1" customFormat="1" ht="15" spans="1:31">
      <c r="B18" s="34" t="s">
        <v>39</v>
      </c>
      <c r="C18" s="36">
        <f>18%+18%+M16+(2-E13)*30%</f>
        <v>0.446</v>
      </c>
      <c r="D18" s="34" t="s">
        <v>40</v>
      </c>
      <c r="E18" s="36">
        <v>0.12</v>
      </c>
      <c r="F18" s="34" t="s">
        <v>41</v>
      </c>
      <c r="G18" s="37">
        <v>0.22</v>
      </c>
      <c r="H18" s="34" t="s">
        <v>41</v>
      </c>
      <c r="I18" s="37">
        <v>0</v>
      </c>
      <c r="J18" s="49"/>
      <c r="K18" s="37"/>
      <c r="L18" s="34" t="s">
        <v>25</v>
      </c>
      <c r="M18" s="37">
        <f>8.1*5%</f>
        <v>0.405</v>
      </c>
      <c r="O18" s="40">
        <v>1</v>
      </c>
      <c r="P18" s="23" t="s">
        <v>138</v>
      </c>
      <c r="Q18" s="41">
        <f>99.16%+231.37%</f>
        <v>3.3053</v>
      </c>
      <c r="R18" s="42" t="s">
        <v>96</v>
      </c>
      <c r="S18" s="43">
        <f t="shared" si="15"/>
        <v>3993.392</v>
      </c>
      <c r="T18" s="44">
        <f t="shared" si="1"/>
        <v>2.899796875</v>
      </c>
      <c r="U18" s="44">
        <f t="shared" si="10"/>
        <v>1.77</v>
      </c>
      <c r="V18" s="46">
        <f t="shared" si="3"/>
        <v>3.2005</v>
      </c>
      <c r="W18" s="45">
        <f t="shared" si="16"/>
        <v>0.57</v>
      </c>
      <c r="X18" s="46">
        <f t="shared" si="5"/>
        <v>0.509274150316286</v>
      </c>
      <c r="Y18" s="42">
        <f t="shared" si="6"/>
        <v>0.8</v>
      </c>
      <c r="Z18" s="47">
        <v>0</v>
      </c>
      <c r="AA18" s="47">
        <v>0</v>
      </c>
      <c r="AB18" s="48">
        <v>0</v>
      </c>
      <c r="AC18" s="23">
        <f t="shared" si="13"/>
        <v>74849.9819676616</v>
      </c>
      <c r="AD18" s="32">
        <v>20</v>
      </c>
      <c r="AE18" s="32"/>
    </row>
    <row r="19" s="1" customFormat="1" ht="15" spans="1:31">
      <c r="B19" s="34" t="s">
        <v>43</v>
      </c>
      <c r="C19" s="69"/>
      <c r="D19" s="34" t="s">
        <v>44</v>
      </c>
      <c r="E19" s="36">
        <v>0.4</v>
      </c>
      <c r="F19" s="34" t="s">
        <v>39</v>
      </c>
      <c r="G19" s="37">
        <f>M18</f>
        <v>0.405</v>
      </c>
      <c r="H19" s="34" t="s">
        <v>39</v>
      </c>
      <c r="I19" s="37">
        <f>M19</f>
        <v>0.81</v>
      </c>
      <c r="J19" s="49"/>
      <c r="K19" s="37"/>
      <c r="L19" s="34" t="s">
        <v>45</v>
      </c>
      <c r="M19" s="36">
        <f>16.2%*5</f>
        <v>0.81</v>
      </c>
      <c r="O19" s="40">
        <v>1</v>
      </c>
      <c r="P19" s="23" t="s">
        <v>106</v>
      </c>
      <c r="Q19" s="41">
        <f t="shared" si="14"/>
        <v>3.4793</v>
      </c>
      <c r="R19" s="42" t="s">
        <v>96</v>
      </c>
      <c r="S19" s="43">
        <f t="shared" si="15"/>
        <v>3993.392</v>
      </c>
      <c r="T19" s="44">
        <f t="shared" si="1"/>
        <v>2.899796875</v>
      </c>
      <c r="U19" s="44">
        <f t="shared" si="10"/>
        <v>1.77</v>
      </c>
      <c r="V19" s="46">
        <f t="shared" si="3"/>
        <v>3.22495</v>
      </c>
      <c r="W19" s="45">
        <f t="shared" si="16"/>
        <v>0.57</v>
      </c>
      <c r="X19" s="46">
        <f t="shared" si="5"/>
        <v>0.509274150316286</v>
      </c>
      <c r="Y19" s="42">
        <f t="shared" si="6"/>
        <v>0.8</v>
      </c>
      <c r="Z19" s="47">
        <v>0</v>
      </c>
      <c r="AA19" s="47">
        <v>0</v>
      </c>
      <c r="AB19" s="48">
        <v>0</v>
      </c>
      <c r="AC19" s="23">
        <f t="shared" si="13"/>
        <v>79392.2020116373</v>
      </c>
      <c r="AD19" s="32">
        <v>21</v>
      </c>
      <c r="AE19" s="32"/>
    </row>
    <row r="20" s="1" customFormat="1" ht="15" spans="1:31">
      <c r="B20" s="34" t="s">
        <v>46</v>
      </c>
      <c r="C20" s="69">
        <f>25%+25%</f>
        <v>0.5</v>
      </c>
      <c r="D20" s="34" t="s">
        <v>47</v>
      </c>
      <c r="E20" s="171"/>
      <c r="F20" s="34" t="s">
        <v>48</v>
      </c>
      <c r="G20" s="37">
        <v>0</v>
      </c>
      <c r="H20" s="34" t="s">
        <v>48</v>
      </c>
      <c r="I20" s="37">
        <v>0</v>
      </c>
      <c r="J20" s="49"/>
      <c r="K20" s="37"/>
      <c r="L20" s="34"/>
      <c r="M20" s="35"/>
      <c r="O20" s="40">
        <v>1</v>
      </c>
      <c r="P20" s="23" t="s">
        <v>106</v>
      </c>
      <c r="Q20" s="41">
        <f t="shared" si="14"/>
        <v>3.4793</v>
      </c>
      <c r="R20" s="42" t="s">
        <v>96</v>
      </c>
      <c r="S20" s="43">
        <f t="shared" si="15"/>
        <v>3993.392</v>
      </c>
      <c r="T20" s="44">
        <f t="shared" si="1"/>
        <v>2.899796875</v>
      </c>
      <c r="U20" s="44">
        <f t="shared" si="10"/>
        <v>1.77</v>
      </c>
      <c r="V20" s="46">
        <f t="shared" si="3"/>
        <v>3.2494</v>
      </c>
      <c r="W20" s="45">
        <f t="shared" si="16"/>
        <v>0.57</v>
      </c>
      <c r="X20" s="46">
        <f t="shared" si="5"/>
        <v>0.509274150316286</v>
      </c>
      <c r="Y20" s="42">
        <f t="shared" si="6"/>
        <v>0.8</v>
      </c>
      <c r="Z20" s="47">
        <v>0</v>
      </c>
      <c r="AA20" s="47">
        <v>0</v>
      </c>
      <c r="AB20" s="48">
        <v>0</v>
      </c>
      <c r="AC20" s="23">
        <f t="shared" si="13"/>
        <v>79994.1150146868</v>
      </c>
      <c r="AD20" s="32">
        <v>22</v>
      </c>
      <c r="AE20" s="32"/>
    </row>
    <row r="21" s="1" customFormat="1" ht="15" spans="1:31">
      <c r="B21" s="34" t="s">
        <v>49</v>
      </c>
      <c r="C21" s="35">
        <v>350</v>
      </c>
      <c r="D21" s="34" t="s">
        <v>107</v>
      </c>
      <c r="E21" s="36">
        <f>40%+M17</f>
        <v>0.486</v>
      </c>
      <c r="F21" s="34" t="s">
        <v>51</v>
      </c>
      <c r="G21" s="37"/>
      <c r="H21" s="34" t="s">
        <v>51</v>
      </c>
      <c r="I21" s="37">
        <v>0</v>
      </c>
      <c r="J21" s="49"/>
      <c r="K21" s="37"/>
      <c r="L21" s="34"/>
      <c r="M21" s="35"/>
      <c r="O21" s="40">
        <v>1</v>
      </c>
      <c r="P21" s="23" t="s">
        <v>106</v>
      </c>
      <c r="Q21" s="41">
        <f t="shared" si="14"/>
        <v>3.4793</v>
      </c>
      <c r="R21" s="42" t="s">
        <v>96</v>
      </c>
      <c r="S21" s="43">
        <f t="shared" si="15"/>
        <v>3993.392</v>
      </c>
      <c r="T21" s="44">
        <f t="shared" si="1"/>
        <v>2.899796875</v>
      </c>
      <c r="U21" s="44">
        <f t="shared" si="10"/>
        <v>1.77</v>
      </c>
      <c r="V21" s="46">
        <f t="shared" si="3"/>
        <v>3.27385</v>
      </c>
      <c r="W21" s="45">
        <f t="shared" si="16"/>
        <v>0.57</v>
      </c>
      <c r="X21" s="46">
        <f t="shared" si="5"/>
        <v>0.509274150316286</v>
      </c>
      <c r="Y21" s="42">
        <f t="shared" si="6"/>
        <v>0.8</v>
      </c>
      <c r="Z21" s="47">
        <v>0</v>
      </c>
      <c r="AA21" s="47">
        <v>0</v>
      </c>
      <c r="AB21" s="48">
        <v>0</v>
      </c>
      <c r="AC21" s="23">
        <f t="shared" si="13"/>
        <v>80596.0280177363</v>
      </c>
      <c r="AD21" s="32">
        <v>23</v>
      </c>
      <c r="AE21" s="32"/>
    </row>
    <row r="22" s="1" customFormat="1" ht="15" spans="1:31">
      <c r="B22" s="51" t="s">
        <v>52</v>
      </c>
      <c r="C22" s="52"/>
      <c r="D22" s="51"/>
      <c r="E22" s="53"/>
      <c r="F22" s="54" t="s">
        <v>53</v>
      </c>
      <c r="G22" s="55">
        <f>MIN(100%,SUM(G16:G21))</f>
        <v>0.755</v>
      </c>
      <c r="H22" s="54" t="s">
        <v>54</v>
      </c>
      <c r="I22" s="55">
        <f>SUM(I16:I21)</f>
        <v>3.03</v>
      </c>
      <c r="J22" s="56"/>
      <c r="K22" s="71"/>
      <c r="L22" s="51"/>
      <c r="M22" s="52"/>
      <c r="O22" s="40">
        <v>1</v>
      </c>
      <c r="P22" s="23" t="s">
        <v>106</v>
      </c>
      <c r="Q22" s="41">
        <f t="shared" si="14"/>
        <v>3.4793</v>
      </c>
      <c r="R22" s="42" t="s">
        <v>96</v>
      </c>
      <c r="S22" s="43">
        <f t="shared" si="15"/>
        <v>3993.392</v>
      </c>
      <c r="T22" s="44">
        <f t="shared" si="1"/>
        <v>2.899796875</v>
      </c>
      <c r="U22" s="44">
        <f t="shared" si="10"/>
        <v>1.77</v>
      </c>
      <c r="V22" s="46">
        <f t="shared" si="3"/>
        <v>3.2983</v>
      </c>
      <c r="W22" s="45">
        <f t="shared" si="16"/>
        <v>0.57</v>
      </c>
      <c r="X22" s="46">
        <f t="shared" si="5"/>
        <v>0.509274150316286</v>
      </c>
      <c r="Y22" s="42">
        <f t="shared" si="6"/>
        <v>0.8</v>
      </c>
      <c r="Z22" s="47">
        <v>0</v>
      </c>
      <c r="AA22" s="47">
        <v>0</v>
      </c>
      <c r="AB22" s="48">
        <v>0</v>
      </c>
      <c r="AC22" s="23">
        <f>Q22*$C$4*(1+T22)*(1+U22)*V22*(1+W22)*X22*Y22*(1+Z22)*(1+AA22)*(1+AB22)*O21</f>
        <v>81197.9410207858</v>
      </c>
      <c r="AD22" s="32">
        <v>24</v>
      </c>
      <c r="AE22" s="32"/>
    </row>
    <row r="23" s="1" customFormat="1" ht="15" spans="1:31">
      <c r="B23" s="57"/>
      <c r="C23" s="57"/>
      <c r="E23" s="58"/>
      <c r="F23" s="20" t="s">
        <v>55</v>
      </c>
      <c r="G23" s="59">
        <f>MAX(0,SUM(G16:G21)-1)</f>
        <v>0</v>
      </c>
      <c r="J23" s="2"/>
      <c r="K23" s="2"/>
      <c r="O23" s="34">
        <v>1</v>
      </c>
      <c r="P23" s="23" t="s">
        <v>108</v>
      </c>
      <c r="Q23" s="81">
        <f>(27.84%+13.92%*2)*3</f>
        <v>1.6704</v>
      </c>
      <c r="R23" s="82" t="s">
        <v>96</v>
      </c>
      <c r="S23" s="43">
        <f t="shared" si="15"/>
        <v>3993.392</v>
      </c>
      <c r="T23" s="83">
        <f t="shared" si="1"/>
        <v>2.899796875</v>
      </c>
      <c r="U23" s="44">
        <f t="shared" si="10"/>
        <v>1.77</v>
      </c>
      <c r="V23" s="46">
        <f t="shared" si="3"/>
        <v>3.2005</v>
      </c>
      <c r="W23" s="84">
        <f t="shared" si="16"/>
        <v>0.57</v>
      </c>
      <c r="X23" s="85">
        <f t="shared" si="5"/>
        <v>0.509274150316286</v>
      </c>
      <c r="Y23" s="82">
        <f t="shared" si="6"/>
        <v>0.8</v>
      </c>
      <c r="Z23" s="86">
        <v>0</v>
      </c>
      <c r="AA23" s="86">
        <v>0</v>
      </c>
      <c r="AB23" s="70">
        <v>0</v>
      </c>
      <c r="AC23" s="23">
        <f>Q23*$C$4*(1+T23)*(1+U23)*V23*(1+W23)*X23*Y23*(1+Z23)*(1+AA23)*(1+AB23)*O22</f>
        <v>37826.9475928908</v>
      </c>
      <c r="AD23" s="32">
        <v>20</v>
      </c>
      <c r="AE23" s="32"/>
    </row>
    <row r="24" s="1" customFormat="1" ht="15" spans="1:31">
      <c r="B24" s="57"/>
      <c r="C24" s="57"/>
      <c r="E24" s="58"/>
      <c r="J24" s="2"/>
      <c r="K24" s="2"/>
      <c r="O24" s="65">
        <v>1</v>
      </c>
      <c r="P24" s="89" t="s">
        <v>109</v>
      </c>
      <c r="Q24" s="90">
        <v>1.69</v>
      </c>
      <c r="R24" s="91" t="s">
        <v>110</v>
      </c>
      <c r="S24" s="92">
        <f t="shared" ref="S24:S35" si="17">$C$16*(1+$C$17+$C$18+$C$19+$C$20)+($C$21+$C$22)</f>
        <v>2317.4</v>
      </c>
      <c r="T24" s="93">
        <f t="shared" ref="T24:T35" si="18">($C$17+$C$18+$C$19+$C$20)+($C$21+$C$22)/$C$16</f>
        <v>1.57488888888889</v>
      </c>
      <c r="U24" s="93">
        <f>IF(R24=$C$13,SUM($E$16:$E$21),SUM($E$16:$E$20))-12%</f>
        <v>1</v>
      </c>
      <c r="V24" s="94">
        <f t="shared" ref="V24:V34" si="19">1+$G$22*($I$22-1)</f>
        <v>2.53265</v>
      </c>
      <c r="W24" s="95">
        <f t="shared" ref="W24:W35" si="20">IF(R24=$C$1,$K$16+$K$17,$K$16)</f>
        <v>0.25</v>
      </c>
      <c r="X24" s="94">
        <f t="shared" ref="X24:X35" si="21">$AH$3</f>
        <v>0.488431876606684</v>
      </c>
      <c r="Y24" s="91">
        <f t="shared" si="6"/>
        <v>0.8</v>
      </c>
      <c r="Z24" s="96">
        <v>0</v>
      </c>
      <c r="AA24" s="96">
        <v>0</v>
      </c>
      <c r="AB24" s="39">
        <v>0</v>
      </c>
      <c r="AC24" s="97">
        <f t="shared" ref="AC24:AC35" si="22">Q24*$C$16*(1+T24)*(1+U24)*V24*(1+W24)*X24*Y24*(1+Z24)*(1+AA24)*(1+AB24)*O24</f>
        <v>9689.39986951671</v>
      </c>
    </row>
    <row r="25" s="1" customFormat="1" ht="15" spans="1:31">
      <c r="A25" s="72"/>
      <c r="B25" s="73" t="s">
        <v>139</v>
      </c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O25" s="98">
        <v>1</v>
      </c>
      <c r="P25" s="89" t="s">
        <v>111</v>
      </c>
      <c r="Q25" s="49">
        <v>1.472</v>
      </c>
      <c r="R25" s="57" t="s">
        <v>83</v>
      </c>
      <c r="S25" s="99">
        <f t="shared" si="17"/>
        <v>2317.4</v>
      </c>
      <c r="T25" s="100">
        <f t="shared" si="18"/>
        <v>1.57488888888889</v>
      </c>
      <c r="U25" s="100">
        <f>IF(R25=$C$13,SUM($E$16:$E$21),SUM($E$16:$E$20))-12%</f>
        <v>1</v>
      </c>
      <c r="V25" s="101">
        <f t="shared" si="19"/>
        <v>2.53265</v>
      </c>
      <c r="W25" s="102">
        <f t="shared" si="20"/>
        <v>0.25</v>
      </c>
      <c r="X25" s="101">
        <f t="shared" si="21"/>
        <v>0.488431876606684</v>
      </c>
      <c r="Y25" s="57">
        <f t="shared" si="6"/>
        <v>0.8</v>
      </c>
      <c r="Z25" s="103">
        <v>0</v>
      </c>
      <c r="AA25" s="103">
        <v>0</v>
      </c>
      <c r="AB25" s="36">
        <v>0</v>
      </c>
      <c r="AC25" s="97">
        <f t="shared" si="22"/>
        <v>8439.5246200761</v>
      </c>
    </row>
    <row r="26" s="1" customFormat="1" ht="15" spans="1:31">
      <c r="A26" s="72" t="s">
        <v>140</v>
      </c>
      <c r="B26" s="74" t="s">
        <v>24</v>
      </c>
      <c r="C26" s="75"/>
      <c r="D26" s="74" t="s">
        <v>10</v>
      </c>
      <c r="E26" s="75"/>
      <c r="F26" s="74" t="s">
        <v>25</v>
      </c>
      <c r="G26" s="75"/>
      <c r="H26" s="74" t="s">
        <v>26</v>
      </c>
      <c r="I26" s="75"/>
      <c r="J26" s="74" t="s">
        <v>12</v>
      </c>
      <c r="K26" s="75"/>
      <c r="L26" s="74" t="s">
        <v>141</v>
      </c>
      <c r="M26" s="75"/>
      <c r="O26" s="98">
        <v>1</v>
      </c>
      <c r="P26" s="89" t="s">
        <v>42</v>
      </c>
      <c r="Q26" s="49">
        <v>1.061</v>
      </c>
      <c r="R26" s="57" t="s">
        <v>42</v>
      </c>
      <c r="S26" s="99">
        <f t="shared" si="17"/>
        <v>2317.4</v>
      </c>
      <c r="T26" s="100">
        <f t="shared" si="18"/>
        <v>1.57488888888889</v>
      </c>
      <c r="U26" s="100">
        <f>IF(R26=$C$13,SUM($E$16:$E$21),SUM($E$16:$E$20))-6%</f>
        <v>1.06</v>
      </c>
      <c r="V26" s="101">
        <f t="shared" si="19"/>
        <v>2.53265</v>
      </c>
      <c r="W26" s="102">
        <f t="shared" si="20"/>
        <v>0.25</v>
      </c>
      <c r="X26" s="101">
        <f t="shared" si="21"/>
        <v>0.488431876606684</v>
      </c>
      <c r="Y26" s="57">
        <f t="shared" si="6"/>
        <v>0.8</v>
      </c>
      <c r="Z26" s="103">
        <v>0</v>
      </c>
      <c r="AA26" s="103">
        <v>0</v>
      </c>
      <c r="AB26" s="36">
        <v>0</v>
      </c>
      <c r="AC26" s="97">
        <f t="shared" si="22"/>
        <v>6265.601691955</v>
      </c>
    </row>
    <row r="27" s="1" customFormat="1" ht="15" spans="1:31">
      <c r="A27" s="72">
        <v>1357</v>
      </c>
      <c r="B27" s="76" t="s">
        <v>28</v>
      </c>
      <c r="C27" s="77">
        <f>288+337</f>
        <v>625</v>
      </c>
      <c r="D27" s="76" t="s">
        <v>29</v>
      </c>
      <c r="E27" s="78"/>
      <c r="F27" s="76" t="s">
        <v>142</v>
      </c>
      <c r="G27" s="79">
        <v>0.05</v>
      </c>
      <c r="H27" s="76" t="s">
        <v>142</v>
      </c>
      <c r="I27" s="78">
        <v>1.5</v>
      </c>
      <c r="J27" s="80" t="s">
        <v>31</v>
      </c>
      <c r="K27" s="78">
        <f>25%</f>
        <v>0.25</v>
      </c>
      <c r="L27" s="76" t="s">
        <v>140</v>
      </c>
      <c r="M27" s="79">
        <f>10.9%*3</f>
        <v>0.327</v>
      </c>
      <c r="O27" s="98">
        <v>1</v>
      </c>
      <c r="P27" s="89" t="s">
        <v>117</v>
      </c>
      <c r="Q27" s="49">
        <v>1.9623</v>
      </c>
      <c r="R27" s="57" t="s">
        <v>83</v>
      </c>
      <c r="S27" s="99">
        <f t="shared" si="17"/>
        <v>2317.4</v>
      </c>
      <c r="T27" s="100">
        <f t="shared" si="18"/>
        <v>1.57488888888889</v>
      </c>
      <c r="U27" s="100">
        <f t="shared" ref="U27:U35" si="23">IF(R27=$C$13,SUM($E$16:$E$21),SUM($E$16:$E$20))</f>
        <v>1.12</v>
      </c>
      <c r="V27" s="101">
        <f t="shared" si="19"/>
        <v>2.53265</v>
      </c>
      <c r="W27" s="102">
        <f t="shared" si="20"/>
        <v>0.25</v>
      </c>
      <c r="X27" s="101">
        <f t="shared" si="21"/>
        <v>0.488431876606684</v>
      </c>
      <c r="Y27" s="57">
        <f t="shared" ref="Y27:Y35" si="24">$AH$12</f>
        <v>0.92</v>
      </c>
      <c r="Z27" s="103">
        <v>0</v>
      </c>
      <c r="AA27" s="103">
        <v>0</v>
      </c>
      <c r="AB27" s="36">
        <v>0</v>
      </c>
      <c r="AC27" s="97">
        <f t="shared" si="22"/>
        <v>13714.4780560108</v>
      </c>
    </row>
    <row r="28" s="1" customFormat="1" ht="15" spans="1:31">
      <c r="A28" s="87">
        <f>16%+7.6*2%</f>
        <v>0.312</v>
      </c>
      <c r="B28" s="76" t="s">
        <v>143</v>
      </c>
      <c r="C28" s="78"/>
      <c r="D28" s="76" t="s">
        <v>144</v>
      </c>
      <c r="E28" s="78"/>
      <c r="F28" s="76" t="s">
        <v>35</v>
      </c>
      <c r="G28" s="79"/>
      <c r="H28" s="76" t="s">
        <v>145</v>
      </c>
      <c r="I28" s="79">
        <v>0.2</v>
      </c>
      <c r="J28" s="88" t="s">
        <v>146</v>
      </c>
      <c r="K28" s="79"/>
      <c r="L28" s="76" t="s">
        <v>25</v>
      </c>
      <c r="M28" s="79">
        <f>2*8.1%</f>
        <v>0.162</v>
      </c>
      <c r="O28" s="98">
        <v>1</v>
      </c>
      <c r="P28" s="89" t="s">
        <v>118</v>
      </c>
      <c r="Q28" s="49">
        <v>1.9801</v>
      </c>
      <c r="R28" s="57" t="s">
        <v>1</v>
      </c>
      <c r="S28" s="99">
        <f t="shared" si="17"/>
        <v>2317.4</v>
      </c>
      <c r="T28" s="100">
        <f t="shared" si="18"/>
        <v>1.57488888888889</v>
      </c>
      <c r="U28" s="100">
        <f t="shared" si="23"/>
        <v>1.606</v>
      </c>
      <c r="V28" s="101">
        <f t="shared" si="19"/>
        <v>2.53265</v>
      </c>
      <c r="W28" s="102">
        <f t="shared" si="20"/>
        <v>0.25</v>
      </c>
      <c r="X28" s="101">
        <f t="shared" si="21"/>
        <v>0.488431876606684</v>
      </c>
      <c r="Y28" s="57">
        <f t="shared" si="24"/>
        <v>0.92</v>
      </c>
      <c r="Z28" s="103">
        <v>0</v>
      </c>
      <c r="AA28" s="103">
        <v>0</v>
      </c>
      <c r="AB28" s="36">
        <v>0</v>
      </c>
      <c r="AC28" s="97">
        <f t="shared" si="22"/>
        <v>17011.3803268571</v>
      </c>
    </row>
    <row r="29" s="1" customFormat="1" ht="15" spans="1:31">
      <c r="A29" s="87">
        <f>36%+M27</f>
        <v>0.687</v>
      </c>
      <c r="B29" s="76" t="s">
        <v>147</v>
      </c>
      <c r="C29" s="78"/>
      <c r="D29" s="76" t="s">
        <v>148</v>
      </c>
      <c r="E29" s="78"/>
      <c r="F29" s="76" t="s">
        <v>41</v>
      </c>
      <c r="G29" s="79"/>
      <c r="H29" s="76" t="s">
        <v>149</v>
      </c>
      <c r="I29" s="79"/>
      <c r="J29" s="88" t="s">
        <v>150</v>
      </c>
      <c r="K29" s="79"/>
      <c r="L29" s="76" t="s">
        <v>45</v>
      </c>
      <c r="M29" s="79">
        <f>3*16.2%</f>
        <v>0.486</v>
      </c>
      <c r="O29" s="98">
        <v>1</v>
      </c>
      <c r="P29" s="89" t="s">
        <v>120</v>
      </c>
      <c r="Q29" s="49">
        <v>3.76</v>
      </c>
      <c r="R29" s="57" t="s">
        <v>1</v>
      </c>
      <c r="S29" s="99">
        <f t="shared" si="17"/>
        <v>2317.4</v>
      </c>
      <c r="T29" s="100">
        <f t="shared" si="18"/>
        <v>1.57488888888889</v>
      </c>
      <c r="U29" s="100">
        <f t="shared" si="23"/>
        <v>1.606</v>
      </c>
      <c r="V29" s="101">
        <f t="shared" si="19"/>
        <v>2.53265</v>
      </c>
      <c r="W29" s="102">
        <f t="shared" si="20"/>
        <v>0.25</v>
      </c>
      <c r="X29" s="101">
        <f t="shared" si="21"/>
        <v>0.488431876606684</v>
      </c>
      <c r="Y29" s="57">
        <f t="shared" si="24"/>
        <v>0.92</v>
      </c>
      <c r="Z29" s="103">
        <v>0</v>
      </c>
      <c r="AA29" s="103">
        <v>0</v>
      </c>
      <c r="AB29" s="36">
        <v>0</v>
      </c>
      <c r="AC29" s="97">
        <f t="shared" si="22"/>
        <v>32302.80795363</v>
      </c>
    </row>
    <row r="30" s="1" customFormat="1" ht="15" spans="1:31">
      <c r="A30" s="87">
        <v>0.418</v>
      </c>
      <c r="B30" s="76" t="s">
        <v>145</v>
      </c>
      <c r="C30" s="104">
        <f>25%+15%</f>
        <v>0.4</v>
      </c>
      <c r="D30" s="76" t="s">
        <v>151</v>
      </c>
      <c r="E30" s="78">
        <f>40%</f>
        <v>0.4</v>
      </c>
      <c r="F30" s="76" t="s">
        <v>145</v>
      </c>
      <c r="G30" s="79">
        <f>M29</f>
        <v>0.486</v>
      </c>
      <c r="H30" s="76"/>
      <c r="I30" s="79"/>
      <c r="J30" s="88"/>
      <c r="K30" s="79"/>
      <c r="L30" s="76" t="s">
        <v>152</v>
      </c>
      <c r="M30" s="79">
        <f>8.6%*2</f>
        <v>0.172</v>
      </c>
      <c r="O30" s="98">
        <v>1</v>
      </c>
      <c r="P30" s="89" t="s">
        <v>122</v>
      </c>
      <c r="Q30" s="49">
        <v>4.9033</v>
      </c>
      <c r="R30" s="57" t="s">
        <v>1</v>
      </c>
      <c r="S30" s="99">
        <f t="shared" si="17"/>
        <v>2317.4</v>
      </c>
      <c r="T30" s="100">
        <f t="shared" si="18"/>
        <v>1.57488888888889</v>
      </c>
      <c r="U30" s="100">
        <f t="shared" si="23"/>
        <v>1.606</v>
      </c>
      <c r="V30" s="101">
        <f t="shared" si="19"/>
        <v>2.53265</v>
      </c>
      <c r="W30" s="102">
        <f t="shared" si="20"/>
        <v>0.25</v>
      </c>
      <c r="X30" s="101">
        <f t="shared" si="21"/>
        <v>0.488431876606684</v>
      </c>
      <c r="Y30" s="57">
        <f t="shared" si="24"/>
        <v>0.92</v>
      </c>
      <c r="Z30" s="103">
        <v>0</v>
      </c>
      <c r="AA30" s="103">
        <v>0</v>
      </c>
      <c r="AB30" s="36">
        <v>0</v>
      </c>
      <c r="AC30" s="97">
        <f t="shared" si="22"/>
        <v>42125.0952763388</v>
      </c>
    </row>
    <row r="31" s="1" customFormat="1" ht="15" spans="1:31">
      <c r="A31" s="105">
        <v>0.2</v>
      </c>
      <c r="B31" s="76" t="s">
        <v>153</v>
      </c>
      <c r="C31" s="104"/>
      <c r="D31" s="76" t="s">
        <v>154</v>
      </c>
      <c r="E31" s="172"/>
      <c r="F31" s="76" t="s">
        <v>121</v>
      </c>
      <c r="G31" s="79"/>
      <c r="H31" s="76" t="s">
        <v>121</v>
      </c>
      <c r="I31" s="79"/>
      <c r="J31" s="88"/>
      <c r="K31" s="79"/>
      <c r="L31" s="76"/>
      <c r="M31" s="79"/>
      <c r="O31" s="98">
        <v>1</v>
      </c>
      <c r="P31" s="89" t="s">
        <v>123</v>
      </c>
      <c r="Q31" s="49">
        <v>13.3598</v>
      </c>
      <c r="R31" s="57" t="s">
        <v>1</v>
      </c>
      <c r="S31" s="99">
        <f t="shared" si="17"/>
        <v>2317.4</v>
      </c>
      <c r="T31" s="100">
        <f t="shared" si="18"/>
        <v>1.57488888888889</v>
      </c>
      <c r="U31" s="100">
        <f t="shared" si="23"/>
        <v>1.606</v>
      </c>
      <c r="V31" s="101">
        <f t="shared" si="19"/>
        <v>2.53265</v>
      </c>
      <c r="W31" s="102">
        <f t="shared" si="20"/>
        <v>0.25</v>
      </c>
      <c r="X31" s="101">
        <f t="shared" si="21"/>
        <v>0.488431876606684</v>
      </c>
      <c r="Y31" s="57">
        <f t="shared" si="24"/>
        <v>0.92</v>
      </c>
      <c r="Z31" s="103">
        <v>0</v>
      </c>
      <c r="AA31" s="103">
        <v>0</v>
      </c>
      <c r="AB31" s="36">
        <v>0</v>
      </c>
      <c r="AC31" s="97">
        <f t="shared" si="22"/>
        <v>114776.344068858</v>
      </c>
    </row>
    <row r="32" s="1" customFormat="1" ht="15" spans="1:31">
      <c r="A32" s="72"/>
      <c r="B32" s="76" t="s">
        <v>49</v>
      </c>
      <c r="C32" s="77">
        <v>350</v>
      </c>
      <c r="D32" s="76" t="s">
        <v>93</v>
      </c>
      <c r="E32" s="78"/>
      <c r="F32" s="106" t="s">
        <v>53</v>
      </c>
      <c r="G32" s="107">
        <f>MIN(100%,SUM(G27:G31))</f>
        <v>0.536</v>
      </c>
      <c r="H32" s="106" t="s">
        <v>54</v>
      </c>
      <c r="I32" s="108">
        <f>SUM(I27:I31)</f>
        <v>1.7</v>
      </c>
      <c r="J32" s="88"/>
      <c r="K32" s="79"/>
      <c r="L32" s="76"/>
      <c r="M32" s="77"/>
      <c r="O32" s="98">
        <v>1</v>
      </c>
      <c r="P32" s="89" t="s">
        <v>118</v>
      </c>
      <c r="Q32" s="49">
        <v>1.9801</v>
      </c>
      <c r="R32" s="57" t="s">
        <v>1</v>
      </c>
      <c r="S32" s="99">
        <f t="shared" si="17"/>
        <v>2317.4</v>
      </c>
      <c r="T32" s="100">
        <f t="shared" si="18"/>
        <v>1.57488888888889</v>
      </c>
      <c r="U32" s="100">
        <f t="shared" si="23"/>
        <v>1.606</v>
      </c>
      <c r="V32" s="101">
        <f t="shared" si="19"/>
        <v>2.53265</v>
      </c>
      <c r="W32" s="102">
        <f t="shared" si="20"/>
        <v>0.25</v>
      </c>
      <c r="X32" s="101">
        <f t="shared" si="21"/>
        <v>0.488431876606684</v>
      </c>
      <c r="Y32" s="57">
        <f t="shared" si="24"/>
        <v>0.92</v>
      </c>
      <c r="Z32" s="103">
        <v>0</v>
      </c>
      <c r="AA32" s="103">
        <v>0</v>
      </c>
      <c r="AB32" s="36">
        <v>0</v>
      </c>
      <c r="AC32" s="97">
        <f t="shared" si="22"/>
        <v>17011.3803268571</v>
      </c>
    </row>
    <row r="33" s="1" customFormat="1" ht="15" spans="1:29">
      <c r="A33" s="72"/>
      <c r="B33" s="109" t="s">
        <v>52</v>
      </c>
      <c r="C33" s="110"/>
      <c r="D33" s="109" t="s">
        <v>94</v>
      </c>
      <c r="E33" s="111"/>
      <c r="F33" s="109"/>
      <c r="G33" s="112"/>
      <c r="H33" s="109"/>
      <c r="I33" s="110"/>
      <c r="J33" s="113"/>
      <c r="K33" s="112"/>
      <c r="L33" s="109"/>
      <c r="M33" s="110"/>
      <c r="N33" s="114"/>
      <c r="O33" s="98">
        <v>1</v>
      </c>
      <c r="P33" s="89" t="s">
        <v>124</v>
      </c>
      <c r="Q33" s="49">
        <v>1.0599</v>
      </c>
      <c r="R33" s="57" t="s">
        <v>1</v>
      </c>
      <c r="S33" s="99">
        <f t="shared" si="17"/>
        <v>2317.4</v>
      </c>
      <c r="T33" s="100">
        <f t="shared" si="18"/>
        <v>1.57488888888889</v>
      </c>
      <c r="U33" s="100">
        <f t="shared" si="23"/>
        <v>1.606</v>
      </c>
      <c r="V33" s="101">
        <f t="shared" si="19"/>
        <v>2.53265</v>
      </c>
      <c r="W33" s="102">
        <f t="shared" si="20"/>
        <v>0.25</v>
      </c>
      <c r="X33" s="101">
        <f t="shared" si="21"/>
        <v>0.488431876606684</v>
      </c>
      <c r="Y33" s="57">
        <f t="shared" si="24"/>
        <v>0.92</v>
      </c>
      <c r="Z33" s="103">
        <v>0</v>
      </c>
      <c r="AA33" s="103">
        <v>0</v>
      </c>
      <c r="AB33" s="36">
        <v>0</v>
      </c>
      <c r="AC33" s="97">
        <f t="shared" si="22"/>
        <v>9105.78355054586</v>
      </c>
    </row>
    <row r="34" s="1" customFormat="1" ht="15" spans="1:29">
      <c r="A34" s="72">
        <f>A27*(1+A28+A29+A30+A31)</f>
        <v>3551.269</v>
      </c>
      <c r="B34" s="115"/>
      <c r="C34" s="115">
        <f>C27*(1+C30)+C32</f>
        <v>1225</v>
      </c>
      <c r="D34" s="115"/>
      <c r="E34" s="115"/>
      <c r="F34" s="115" t="s">
        <v>155</v>
      </c>
      <c r="G34" s="116"/>
      <c r="H34" s="115"/>
      <c r="I34" s="115"/>
      <c r="J34" s="115"/>
      <c r="K34" s="115"/>
      <c r="L34" s="115"/>
      <c r="M34" s="115"/>
      <c r="N34" s="57"/>
      <c r="O34" s="98">
        <v>0</v>
      </c>
      <c r="P34" s="89" t="s">
        <v>130</v>
      </c>
      <c r="Q34" s="49">
        <v>3.1056</v>
      </c>
      <c r="R34" s="57" t="s">
        <v>96</v>
      </c>
      <c r="S34" s="99">
        <f t="shared" si="17"/>
        <v>2317.4</v>
      </c>
      <c r="T34" s="100">
        <f t="shared" si="18"/>
        <v>1.57488888888889</v>
      </c>
      <c r="U34" s="100">
        <f t="shared" si="23"/>
        <v>1.12</v>
      </c>
      <c r="V34" s="101">
        <f t="shared" si="19"/>
        <v>2.53265</v>
      </c>
      <c r="W34" s="102">
        <f t="shared" si="20"/>
        <v>0.25</v>
      </c>
      <c r="X34" s="101">
        <f t="shared" si="21"/>
        <v>0.488431876606684</v>
      </c>
      <c r="Y34" s="57">
        <f t="shared" si="24"/>
        <v>0.92</v>
      </c>
      <c r="Z34" s="103">
        <v>0</v>
      </c>
      <c r="AA34" s="103">
        <v>0</v>
      </c>
      <c r="AB34" s="36">
        <v>0</v>
      </c>
      <c r="AC34" s="97">
        <f t="shared" si="22"/>
        <v>0</v>
      </c>
    </row>
    <row r="35" s="1" customFormat="1" ht="15" spans="1:29">
      <c r="A35" s="117"/>
      <c r="B35" s="118"/>
      <c r="C35" s="118"/>
      <c r="D35" s="118"/>
      <c r="E35" s="118"/>
      <c r="F35" s="118"/>
      <c r="G35" s="119"/>
      <c r="N35" s="57"/>
      <c r="O35" s="127">
        <v>1</v>
      </c>
      <c r="P35" s="89" t="s">
        <v>131</v>
      </c>
      <c r="Q35" s="56">
        <v>3.7804</v>
      </c>
      <c r="R35" s="128" t="s">
        <v>1</v>
      </c>
      <c r="S35" s="129">
        <f t="shared" si="17"/>
        <v>2317.4</v>
      </c>
      <c r="T35" s="130">
        <f t="shared" si="18"/>
        <v>1.57488888888889</v>
      </c>
      <c r="U35" s="130">
        <f t="shared" si="23"/>
        <v>1.606</v>
      </c>
      <c r="V35" s="131">
        <f>1+$G$22*($I$22-1+25%)</f>
        <v>2.7214</v>
      </c>
      <c r="W35" s="132">
        <f t="shared" si="20"/>
        <v>0.25</v>
      </c>
      <c r="X35" s="131">
        <f t="shared" si="21"/>
        <v>0.488431876606684</v>
      </c>
      <c r="Y35" s="128">
        <f t="shared" si="24"/>
        <v>0.92</v>
      </c>
      <c r="Z35" s="133">
        <v>0</v>
      </c>
      <c r="AA35" s="133">
        <v>0</v>
      </c>
      <c r="AB35" s="53">
        <v>0</v>
      </c>
      <c r="AC35" s="97">
        <f t="shared" si="22"/>
        <v>34898.5504902105</v>
      </c>
    </row>
    <row r="36" s="1" customFormat="1" ht="15" spans="1:29">
      <c r="B36" s="120" t="s">
        <v>68</v>
      </c>
      <c r="C36" s="1" t="s">
        <v>112</v>
      </c>
      <c r="D36" s="1" t="s">
        <v>113</v>
      </c>
      <c r="E36" s="1" t="s">
        <v>114</v>
      </c>
      <c r="F36" s="1" t="s">
        <v>115</v>
      </c>
      <c r="G36" s="2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</row>
    <row r="37" s="1" customFormat="1" ht="15" spans="1:29">
      <c r="B37" s="121" t="s">
        <v>156</v>
      </c>
      <c r="C37" s="122" t="s">
        <v>70</v>
      </c>
      <c r="D37" s="122" t="s">
        <v>71</v>
      </c>
      <c r="E37" s="122" t="s">
        <v>72</v>
      </c>
      <c r="F37" s="122" t="s">
        <v>73</v>
      </c>
      <c r="G37" s="2"/>
      <c r="N37" s="57"/>
      <c r="O37" s="34">
        <f>$O$38</f>
        <v>1.5</v>
      </c>
      <c r="P37" s="57" t="s">
        <v>67</v>
      </c>
      <c r="Q37" s="100">
        <v>2.9822</v>
      </c>
      <c r="R37" s="57" t="s">
        <v>66</v>
      </c>
      <c r="S37" s="57">
        <v>10027</v>
      </c>
      <c r="T37" s="100">
        <v>0</v>
      </c>
      <c r="U37" s="100">
        <v>0</v>
      </c>
      <c r="V37" s="101">
        <v>1</v>
      </c>
      <c r="W37" s="102">
        <v>0</v>
      </c>
      <c r="X37" s="101">
        <f t="shared" ref="X37:X45" si="25">$AH$3</f>
        <v>0.488431876606684</v>
      </c>
      <c r="Y37" s="137">
        <f>$AH$13</f>
        <v>0.8</v>
      </c>
      <c r="Z37" s="103">
        <v>0</v>
      </c>
      <c r="AA37" s="103">
        <v>0</v>
      </c>
      <c r="AB37" s="36">
        <v>0.5</v>
      </c>
      <c r="AC37" s="138">
        <f>Q37*S37*(1+T37)*(1+U37)*V37*(1+W37)*X37*Y37*(1+Z37)*(1+AA37)*(1+AB37)*O37</f>
        <v>26289.6185984576</v>
      </c>
    </row>
    <row r="38" s="1" customFormat="1" ht="15" spans="1:29">
      <c r="B38" s="4" t="s">
        <v>84</v>
      </c>
      <c r="C38" s="123">
        <f>SUM(AC3:AC23)</f>
        <v>1613168.42500827</v>
      </c>
      <c r="D38" s="123">
        <f t="shared" ref="D38:D41" si="26">C38/$E$38</f>
        <v>64526.7370003309</v>
      </c>
      <c r="E38" s="124">
        <v>25</v>
      </c>
      <c r="F38" s="125">
        <f t="shared" ref="F38:F41" si="27">C38/$C$42</f>
        <v>0.76466879923795</v>
      </c>
      <c r="G38" s="2"/>
      <c r="O38" s="20">
        <v>1.5</v>
      </c>
      <c r="P38" s="137" t="s">
        <v>74</v>
      </c>
      <c r="Q38" s="145">
        <v>16</v>
      </c>
      <c r="R38" s="137" t="s">
        <v>75</v>
      </c>
      <c r="S38" s="137">
        <v>10027</v>
      </c>
      <c r="T38" s="145">
        <v>0</v>
      </c>
      <c r="U38" s="145">
        <v>0</v>
      </c>
      <c r="V38" s="146">
        <v>1</v>
      </c>
      <c r="W38" s="147">
        <v>0</v>
      </c>
      <c r="X38" s="146">
        <f t="shared" si="25"/>
        <v>0.488431876606684</v>
      </c>
      <c r="Y38" s="137">
        <f>$AH$13</f>
        <v>0.8</v>
      </c>
      <c r="Z38" s="148">
        <v>0</v>
      </c>
      <c r="AA38" s="148">
        <v>0</v>
      </c>
      <c r="AB38" s="148">
        <v>0.1</v>
      </c>
      <c r="AC38" s="149">
        <f>Q38*S38*(1+T38)*(1+U38)*V38*(1+W38)*X38*Y38*(1+Z38)*(1+AA38)*(1+AB38)*O38</f>
        <v>103435.335732648</v>
      </c>
    </row>
    <row r="39" s="1" customFormat="1" ht="15" spans="1:29">
      <c r="A39" s="1" t="s">
        <v>157</v>
      </c>
      <c r="B39" s="4" t="s">
        <v>100</v>
      </c>
      <c r="C39" s="123">
        <f>SUM(AC24:AC35)</f>
        <v>305340.346230856</v>
      </c>
      <c r="D39" s="123">
        <f t="shared" si="26"/>
        <v>12213.6138492342</v>
      </c>
      <c r="E39" s="126"/>
      <c r="F39" s="125">
        <f t="shared" si="27"/>
        <v>0.144736428194131</v>
      </c>
      <c r="G39" s="2"/>
      <c r="Q39" s="2"/>
      <c r="U39" s="2"/>
      <c r="V39" s="3"/>
      <c r="AB39" s="4"/>
      <c r="AC39" s="4"/>
    </row>
    <row r="40" s="1" customFormat="1" ht="15" spans="1:29">
      <c r="B40" s="4" t="s">
        <v>139</v>
      </c>
      <c r="C40" s="123">
        <f>SUM(AC40:AC45)+AC37</f>
        <v>87686.1363648362</v>
      </c>
      <c r="D40" s="123">
        <f t="shared" si="26"/>
        <v>3507.44545459345</v>
      </c>
      <c r="E40" s="134"/>
      <c r="F40" s="125">
        <f t="shared" si="27"/>
        <v>0.0415646944016839</v>
      </c>
      <c r="G40" s="2"/>
      <c r="O40" s="66">
        <v>1</v>
      </c>
      <c r="P40" s="155" t="s">
        <v>158</v>
      </c>
      <c r="Q40" s="90">
        <v>2.0279</v>
      </c>
      <c r="R40" s="91" t="s">
        <v>110</v>
      </c>
      <c r="S40" s="92">
        <f t="shared" ref="S40:S43" si="28">C$34</f>
        <v>1225</v>
      </c>
      <c r="T40" s="93">
        <f t="shared" ref="T40:T43" si="29">S40/$C$27-1</f>
        <v>0.96</v>
      </c>
      <c r="U40" s="93">
        <f t="shared" ref="U40:U43" si="30">E$30</f>
        <v>0.4</v>
      </c>
      <c r="V40" s="94">
        <f t="shared" ref="V40:V43" si="31">1+$G$32*($I$32-1)</f>
        <v>1.3752</v>
      </c>
      <c r="W40" s="95">
        <f t="shared" ref="W40:W45" si="32">K$27</f>
        <v>0.25</v>
      </c>
      <c r="X40" s="94">
        <f t="shared" si="25"/>
        <v>0.488431876606684</v>
      </c>
      <c r="Y40" s="91">
        <f t="shared" ref="Y40:Y45" si="33">$AH$14</f>
        <v>0.8</v>
      </c>
      <c r="Z40" s="96">
        <v>0</v>
      </c>
      <c r="AA40" s="96">
        <v>0</v>
      </c>
      <c r="AB40" s="39">
        <v>0</v>
      </c>
      <c r="AC40" s="155">
        <f t="shared" ref="AC40:AC43" si="34">Q40*$C$27*(1+T40)*(1+U40)*V40*(1+W40)*X40*Y40*(1+Z40)*(1+AA40)*(1+AB40)*O40</f>
        <v>2336.0413338509</v>
      </c>
    </row>
    <row r="41" s="1" customFormat="1" ht="15" spans="1:29">
      <c r="B41" s="4" t="s">
        <v>74</v>
      </c>
      <c r="C41" s="123">
        <f>AC38</f>
        <v>103435.335732648</v>
      </c>
      <c r="D41" s="123">
        <f t="shared" si="26"/>
        <v>4137.41342930591</v>
      </c>
      <c r="E41" s="134"/>
      <c r="F41" s="125">
        <f t="shared" si="27"/>
        <v>0.0490300781662353</v>
      </c>
      <c r="G41" s="2"/>
      <c r="O41" s="34">
        <v>1</v>
      </c>
      <c r="P41" s="155" t="s">
        <v>159</v>
      </c>
      <c r="Q41" s="49">
        <f>22.27%+16.71%*2+23.86%+23.86%+17.9%*4+41.36%+10.34%*6</f>
        <v>2.7841</v>
      </c>
      <c r="R41" s="57" t="s">
        <v>1</v>
      </c>
      <c r="S41" s="99">
        <f t="shared" si="28"/>
        <v>1225</v>
      </c>
      <c r="T41" s="100">
        <f t="shared" si="29"/>
        <v>0.96</v>
      </c>
      <c r="U41" s="100">
        <f t="shared" si="30"/>
        <v>0.4</v>
      </c>
      <c r="V41" s="101">
        <f t="shared" si="31"/>
        <v>1.3752</v>
      </c>
      <c r="W41" s="102">
        <f t="shared" si="32"/>
        <v>0.25</v>
      </c>
      <c r="X41" s="101">
        <f t="shared" si="25"/>
        <v>0.488431876606684</v>
      </c>
      <c r="Y41" s="57">
        <f t="shared" si="33"/>
        <v>0.8</v>
      </c>
      <c r="Z41" s="103">
        <v>0</v>
      </c>
      <c r="AA41" s="103">
        <v>0</v>
      </c>
      <c r="AB41" s="36">
        <v>0</v>
      </c>
      <c r="AC41" s="155">
        <f t="shared" si="34"/>
        <v>3207.14664311568</v>
      </c>
    </row>
    <row r="42" s="1" customFormat="1" ht="15" spans="1:29">
      <c r="B42" s="4" t="s">
        <v>82</v>
      </c>
      <c r="C42" s="139">
        <f>SUM(C38:C41)</f>
        <v>2109630.24333661</v>
      </c>
      <c r="D42" s="139">
        <f>C42/E38</f>
        <v>84385.2097334644</v>
      </c>
      <c r="E42" s="140"/>
      <c r="F42" s="141"/>
      <c r="G42" s="2"/>
      <c r="O42" s="34">
        <v>1</v>
      </c>
      <c r="P42" s="155" t="s">
        <v>160</v>
      </c>
      <c r="Q42" s="49">
        <f>39.77%*4</f>
        <v>1.5908</v>
      </c>
      <c r="R42" s="57" t="s">
        <v>83</v>
      </c>
      <c r="S42" s="99">
        <f t="shared" si="28"/>
        <v>1225</v>
      </c>
      <c r="T42" s="100">
        <f t="shared" si="29"/>
        <v>0.96</v>
      </c>
      <c r="U42" s="100">
        <f t="shared" si="30"/>
        <v>0.4</v>
      </c>
      <c r="V42" s="101">
        <f t="shared" si="31"/>
        <v>1.3752</v>
      </c>
      <c r="W42" s="102">
        <f t="shared" si="32"/>
        <v>0.25</v>
      </c>
      <c r="X42" s="101">
        <f t="shared" si="25"/>
        <v>0.488431876606684</v>
      </c>
      <c r="Y42" s="57">
        <f t="shared" si="33"/>
        <v>0.8</v>
      </c>
      <c r="Z42" s="103">
        <v>0</v>
      </c>
      <c r="AA42" s="103">
        <v>0</v>
      </c>
      <c r="AB42" s="36">
        <v>0</v>
      </c>
      <c r="AC42" s="155">
        <f t="shared" si="34"/>
        <v>1832.52357310026</v>
      </c>
    </row>
    <row r="43" s="1" customFormat="1" ht="15" spans="1:29">
      <c r="B43" s="4"/>
      <c r="C43" s="4"/>
      <c r="D43" s="4"/>
      <c r="G43" s="2"/>
      <c r="O43" s="34">
        <v>1</v>
      </c>
      <c r="P43" s="155" t="s">
        <v>95</v>
      </c>
      <c r="Q43" s="49">
        <v>3.51</v>
      </c>
      <c r="R43" s="57" t="s">
        <v>96</v>
      </c>
      <c r="S43" s="99">
        <f t="shared" si="28"/>
        <v>1225</v>
      </c>
      <c r="T43" s="100">
        <f t="shared" si="29"/>
        <v>0.96</v>
      </c>
      <c r="U43" s="100">
        <f t="shared" si="30"/>
        <v>0.4</v>
      </c>
      <c r="V43" s="101">
        <f t="shared" si="31"/>
        <v>1.3752</v>
      </c>
      <c r="W43" s="102">
        <f t="shared" si="32"/>
        <v>0.25</v>
      </c>
      <c r="X43" s="101">
        <f t="shared" si="25"/>
        <v>0.488431876606684</v>
      </c>
      <c r="Y43" s="57">
        <f t="shared" si="33"/>
        <v>0.8</v>
      </c>
      <c r="Z43" s="103">
        <v>0</v>
      </c>
      <c r="AA43" s="103">
        <v>0</v>
      </c>
      <c r="AB43" s="36">
        <v>0</v>
      </c>
      <c r="AC43" s="155">
        <f t="shared" si="34"/>
        <v>4043.34783856041</v>
      </c>
    </row>
    <row r="44" s="1" customFormat="1" ht="15" spans="1:29">
      <c r="B44" s="151" t="s">
        <v>125</v>
      </c>
      <c r="C44" s="152" t="s">
        <v>126</v>
      </c>
      <c r="D44" s="152" t="s">
        <v>128</v>
      </c>
      <c r="E44" s="152"/>
      <c r="F44" s="153"/>
      <c r="G44" s="167"/>
      <c r="O44" s="34">
        <v>1</v>
      </c>
      <c r="P44" s="155" t="s">
        <v>161</v>
      </c>
      <c r="Q44" s="49">
        <v>5.2233</v>
      </c>
      <c r="R44" s="57" t="s">
        <v>120</v>
      </c>
      <c r="S44" s="99">
        <f>A34</f>
        <v>3551.269</v>
      </c>
      <c r="T44" s="100">
        <v>0</v>
      </c>
      <c r="U44" s="100">
        <f>E$30+M30</f>
        <v>0.572</v>
      </c>
      <c r="V44" s="101">
        <f>I32+1.6</f>
        <v>3.3</v>
      </c>
      <c r="W44" s="102">
        <f t="shared" si="32"/>
        <v>0.25</v>
      </c>
      <c r="X44" s="101">
        <f t="shared" si="25"/>
        <v>0.488431876606684</v>
      </c>
      <c r="Y44" s="57">
        <f t="shared" si="33"/>
        <v>0.8</v>
      </c>
      <c r="Z44" s="103">
        <v>0</v>
      </c>
      <c r="AA44" s="103">
        <v>0</v>
      </c>
      <c r="AB44" s="36">
        <v>0</v>
      </c>
      <c r="AC44" s="155">
        <f>Q44*S44*(1+T44)*(1+U44)*V44*(1+W44)*X44*Y44*(1+Z44)*(1+AA44)*(1+AB44)*O44</f>
        <v>47000.1259493915</v>
      </c>
    </row>
    <row r="45" s="1" customFormat="1" ht="15" spans="1:29">
      <c r="B45" s="156"/>
      <c r="C45" s="157" t="s">
        <v>162</v>
      </c>
      <c r="D45" s="157" t="s">
        <v>129</v>
      </c>
      <c r="E45" s="157"/>
      <c r="F45" s="158"/>
      <c r="G45" s="2"/>
      <c r="O45" s="51">
        <v>1</v>
      </c>
      <c r="P45" s="155" t="s">
        <v>163</v>
      </c>
      <c r="Q45" s="56">
        <f>258.46%</f>
        <v>2.5846</v>
      </c>
      <c r="R45" s="128" t="s">
        <v>83</v>
      </c>
      <c r="S45" s="129">
        <f>C$34</f>
        <v>1225</v>
      </c>
      <c r="T45" s="130">
        <f>S45/$C$27-1</f>
        <v>0.96</v>
      </c>
      <c r="U45" s="130">
        <f>E$30</f>
        <v>0.4</v>
      </c>
      <c r="V45" s="131">
        <f>1+$G$32*($I$32-1)</f>
        <v>1.3752</v>
      </c>
      <c r="W45" s="132">
        <f t="shared" si="32"/>
        <v>0.25</v>
      </c>
      <c r="X45" s="131">
        <f t="shared" si="25"/>
        <v>0.488431876606684</v>
      </c>
      <c r="Y45" s="128">
        <f t="shared" si="33"/>
        <v>0.8</v>
      </c>
      <c r="Z45" s="133">
        <v>0</v>
      </c>
      <c r="AA45" s="133">
        <v>0</v>
      </c>
      <c r="AB45" s="53">
        <v>0</v>
      </c>
      <c r="AC45" s="155">
        <f>Q45*$C$27*(1+T45)*(1+U45)*V45*(1+W45)*X45*Y45*(1+Z45)*(1+AA45)*(1+AB45)*O45</f>
        <v>2977.3324283599</v>
      </c>
    </row>
    <row r="46" s="1" customFormat="1" spans="1:29">
      <c r="B46" s="159"/>
      <c r="C46" s="159"/>
      <c r="D46" s="159"/>
      <c r="E46" s="159"/>
      <c r="F46" s="159"/>
      <c r="G46" s="2"/>
      <c r="Q46" s="2"/>
      <c r="U46" s="2"/>
      <c r="V46" s="3"/>
      <c r="AB46" s="4"/>
      <c r="AC46" s="4"/>
    </row>
    <row r="47" s="1" customFormat="1" ht="15" spans="1:29">
      <c r="B47" s="160" t="s">
        <v>132</v>
      </c>
      <c r="C47" s="161" t="s">
        <v>133</v>
      </c>
      <c r="D47" s="161" t="s">
        <v>134</v>
      </c>
      <c r="E47" s="91"/>
      <c r="F47" s="162"/>
      <c r="Q47" s="2"/>
      <c r="U47" s="2"/>
      <c r="V47" s="3"/>
      <c r="AB47" s="4"/>
      <c r="AC47" s="4"/>
    </row>
    <row r="48" s="1" customFormat="1" ht="15" spans="1:29">
      <c r="B48" s="163"/>
      <c r="C48" s="134" t="s">
        <v>164</v>
      </c>
      <c r="D48" s="134" t="s">
        <v>165</v>
      </c>
      <c r="F48" s="164"/>
      <c r="G48" s="2"/>
      <c r="Q48" s="2"/>
      <c r="U48" s="2"/>
      <c r="V48" s="3"/>
      <c r="AB48" s="4"/>
      <c r="AC48" s="4"/>
    </row>
    <row r="49" s="1" customFormat="1" ht="15" spans="2:29">
      <c r="B49" s="165"/>
      <c r="C49" s="166" t="s">
        <v>166</v>
      </c>
      <c r="D49" s="166" t="s">
        <v>167</v>
      </c>
      <c r="E49" s="128"/>
      <c r="F49" s="52"/>
      <c r="G49" s="2"/>
      <c r="Q49" s="2"/>
      <c r="U49" s="2"/>
      <c r="V49" s="3"/>
      <c r="AB49" s="4"/>
      <c r="AC49" s="4"/>
    </row>
    <row r="50" s="1" customFormat="1" spans="2:29">
      <c r="B50" s="4"/>
      <c r="C50" s="4"/>
      <c r="D50" s="4"/>
      <c r="F50" s="4"/>
      <c r="G50" s="2"/>
      <c r="Q50" s="2"/>
      <c r="U50" s="2"/>
      <c r="V50" s="3"/>
      <c r="AB50" s="4"/>
      <c r="AC50" s="4"/>
    </row>
    <row r="51" s="1" customFormat="1" spans="2:29">
      <c r="B51" s="4"/>
      <c r="C51" s="4"/>
      <c r="D51" s="4"/>
      <c r="F51" s="4"/>
      <c r="G51" s="2"/>
      <c r="Q51" s="2"/>
      <c r="U51" s="2"/>
      <c r="V51" s="3"/>
      <c r="AB51" s="4"/>
      <c r="AC51" s="4"/>
    </row>
    <row r="52" s="1" customFormat="1" spans="2:29">
      <c r="G52" s="2"/>
      <c r="Q52" s="2"/>
      <c r="U52" s="2"/>
      <c r="V52" s="3"/>
      <c r="AB52" s="4"/>
      <c r="AC52" s="4"/>
    </row>
    <row r="53" s="1" customFormat="1" spans="2:29">
      <c r="B53" s="4"/>
      <c r="C53" s="4"/>
      <c r="D53" s="4"/>
      <c r="F53" s="4"/>
      <c r="G53" s="2"/>
      <c r="Q53" s="2"/>
      <c r="U53" s="2"/>
      <c r="V53" s="3"/>
      <c r="AB53" s="4"/>
      <c r="AC53" s="4"/>
    </row>
    <row r="54" s="1" customFormat="1" spans="2:29">
      <c r="B54" s="4"/>
      <c r="C54" s="4"/>
      <c r="D54" s="4"/>
      <c r="F54" s="4"/>
      <c r="G54" s="2"/>
      <c r="Q54" s="2"/>
      <c r="U54" s="2"/>
      <c r="V54" s="3"/>
      <c r="AB54" s="4"/>
      <c r="AC54" s="4"/>
    </row>
    <row r="55" s="1" customFormat="1" spans="2:29">
      <c r="G55" s="2"/>
      <c r="Q55" s="2"/>
      <c r="U55" s="2"/>
      <c r="V55" s="3"/>
      <c r="AB55" s="4"/>
      <c r="AC55" s="4"/>
    </row>
    <row r="56" s="1" customFormat="1" spans="2:29">
      <c r="B56" s="4"/>
      <c r="C56" s="4"/>
      <c r="D56" s="4"/>
      <c r="F56" s="4"/>
      <c r="G56" s="2"/>
      <c r="Q56" s="2"/>
      <c r="U56" s="2"/>
      <c r="V56" s="3"/>
      <c r="AB56" s="4"/>
      <c r="AC56" s="4"/>
    </row>
    <row r="57" s="1" customFormat="1" spans="2:29">
      <c r="B57" s="4"/>
      <c r="C57" s="4"/>
      <c r="D57" s="4"/>
      <c r="G57" s="2"/>
      <c r="Q57" s="2"/>
      <c r="U57" s="2"/>
      <c r="V57" s="3"/>
      <c r="AB57" s="4"/>
      <c r="AC57" s="4"/>
    </row>
    <row r="59" s="1" customFormat="1" spans="2:29">
      <c r="B59" s="4"/>
      <c r="C59" s="4"/>
      <c r="D59" s="4"/>
      <c r="G59" s="2"/>
      <c r="Q59" s="2"/>
      <c r="U59" s="2"/>
      <c r="V59" s="3"/>
      <c r="AB59" s="4"/>
      <c r="AC59" s="4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5:M25"/>
    <mergeCell ref="B26:C26"/>
    <mergeCell ref="D26:E26"/>
    <mergeCell ref="F26:G26"/>
    <mergeCell ref="H26:I26"/>
    <mergeCell ref="J26:K26"/>
    <mergeCell ref="L26:M2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9"/>
  <sheetViews>
    <sheetView topLeftCell="A7" workbookViewId="0">
      <selection activeCell="J20" sqref="J20"/>
    </sheetView>
  </sheetViews>
  <sheetFormatPr defaultColWidth="9.69090909090909" defaultRowHeight="14"/>
  <cols>
    <col min="1" max="1" width="7.54545454545455" style="1" customWidth="1"/>
    <col min="2" max="2" width="15" style="1" customWidth="1"/>
    <col min="3" max="3" width="15.3636363636364" style="1" customWidth="1"/>
    <col min="4" max="4" width="13.9090909090909" style="1" customWidth="1"/>
    <col min="5" max="5" width="9.54545454545454" style="1" customWidth="1"/>
    <col min="6" max="6" width="13.9090909090909" style="1" customWidth="1"/>
    <col min="7" max="7" width="8.45454545454546" style="2" customWidth="1"/>
    <col min="8" max="8" width="13.9090909090909" style="1" customWidth="1"/>
    <col min="9" max="9" width="8.45454545454546" style="1" customWidth="1"/>
    <col min="10" max="10" width="11.6363636363636" style="1" customWidth="1"/>
    <col min="11" max="11" width="4.72727272727273" style="1" customWidth="1"/>
    <col min="12" max="12" width="9.54545454545454" style="1" customWidth="1"/>
    <col min="13" max="13" width="7.36363636363636" style="1" customWidth="1"/>
    <col min="14" max="14" width="5.54545454545455" style="1" customWidth="1"/>
    <col min="15" max="15" width="6.09090909090909" style="1" customWidth="1"/>
    <col min="16" max="16" width="17.2727272727273" style="1" customWidth="1"/>
    <col min="17" max="17" width="9.54545454545454" style="2" customWidth="1"/>
    <col min="18" max="18" width="6.09090909090909" style="1" customWidth="1"/>
    <col min="19" max="19" width="10.4545454545455" style="1" customWidth="1"/>
    <col min="20" max="20" width="8.45454545454546" style="1" customWidth="1"/>
    <col min="21" max="21" width="8.45454545454546" style="2" customWidth="1"/>
    <col min="22" max="22" width="8.27272727272727" style="3" customWidth="1"/>
    <col min="23" max="25" width="8.27272727272727" style="1" customWidth="1"/>
    <col min="26" max="26" width="10.4545454545455" style="1" customWidth="1"/>
    <col min="27" max="27" width="8.27272727272727" style="1" customWidth="1"/>
    <col min="28" max="28" width="10.4545454545455" style="4" customWidth="1"/>
    <col min="29" max="29" width="9.45454545454546" style="4" customWidth="1"/>
    <col min="30" max="31" width="5.90909090909091" style="1" customWidth="1"/>
    <col min="32" max="32" width="9.54545454545454" style="1" customWidth="1"/>
    <col min="33" max="33" width="5.90909090909091" style="1" customWidth="1"/>
    <col min="34" max="34" width="8" style="1" customWidth="1"/>
    <col min="35" max="35" width="9.54545454545454" style="1" customWidth="1"/>
    <col min="36" max="16384" width="9.69090909090909" style="1"/>
  </cols>
  <sheetData>
    <row r="1" s="1" customFormat="1" ht="14.75" spans="2:35">
      <c r="B1" s="5" t="s">
        <v>0</v>
      </c>
      <c r="C1" s="5" t="s">
        <v>83</v>
      </c>
      <c r="D1" s="6" t="s">
        <v>2</v>
      </c>
      <c r="E1" s="6">
        <v>2</v>
      </c>
      <c r="Q1" s="2"/>
      <c r="U1" s="2"/>
      <c r="V1" s="3"/>
      <c r="AB1" s="4"/>
      <c r="AC1" s="4"/>
    </row>
    <row r="2" s="1" customFormat="1" ht="15" spans="2:35">
      <c r="B2" s="7" t="s">
        <v>84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4</v>
      </c>
      <c r="P2" s="11" t="s">
        <v>5</v>
      </c>
      <c r="Q2" s="12" t="s">
        <v>6</v>
      </c>
      <c r="R2" s="11" t="s">
        <v>7</v>
      </c>
      <c r="S2" s="11" t="s">
        <v>8</v>
      </c>
      <c r="T2" s="13" t="s">
        <v>9</v>
      </c>
      <c r="U2" s="12" t="s">
        <v>10</v>
      </c>
      <c r="V2" s="14" t="s">
        <v>11</v>
      </c>
      <c r="W2" s="11" t="s">
        <v>12</v>
      </c>
      <c r="X2" s="11" t="s">
        <v>13</v>
      </c>
      <c r="Y2" s="11" t="s">
        <v>14</v>
      </c>
      <c r="Z2" s="11" t="s">
        <v>15</v>
      </c>
      <c r="AA2" s="11" t="s">
        <v>16</v>
      </c>
      <c r="AB2" s="15" t="s">
        <v>17</v>
      </c>
      <c r="AC2" s="16" t="s">
        <v>18</v>
      </c>
      <c r="AD2" s="17" t="s">
        <v>85</v>
      </c>
      <c r="AE2" s="17" t="s">
        <v>86</v>
      </c>
      <c r="AF2" s="18" t="s">
        <v>21</v>
      </c>
      <c r="AG2" s="18" t="s">
        <v>22</v>
      </c>
      <c r="AH2" s="19" t="s">
        <v>13</v>
      </c>
      <c r="AI2" s="19" t="s">
        <v>23</v>
      </c>
    </row>
    <row r="3" s="1" customFormat="1" ht="15" spans="2:35">
      <c r="B3" s="20" t="s">
        <v>24</v>
      </c>
      <c r="C3" s="21"/>
      <c r="D3" s="20" t="s">
        <v>10</v>
      </c>
      <c r="E3" s="21"/>
      <c r="F3" s="20" t="s">
        <v>25</v>
      </c>
      <c r="G3" s="21"/>
      <c r="H3" s="20" t="s">
        <v>26</v>
      </c>
      <c r="I3" s="21"/>
      <c r="J3" s="20" t="s">
        <v>12</v>
      </c>
      <c r="K3" s="21"/>
      <c r="L3" s="20" t="s">
        <v>27</v>
      </c>
      <c r="M3" s="21"/>
      <c r="O3" s="22">
        <v>1</v>
      </c>
      <c r="P3" s="23" t="s">
        <v>87</v>
      </c>
      <c r="Q3" s="24">
        <v>5.9643</v>
      </c>
      <c r="R3" s="25" t="s">
        <v>83</v>
      </c>
      <c r="S3" s="26">
        <f t="shared" ref="S3:S14" si="0">$C$4*(1+C$5+C$6+C$7+C$8)+C$9</f>
        <v>2764.592</v>
      </c>
      <c r="T3" s="27">
        <f t="shared" ref="T3:T23" si="1">S3/$C$4-1</f>
        <v>1.699796875</v>
      </c>
      <c r="U3" s="27">
        <f t="shared" ref="U3:U10" si="2">IF(R3=$C$1,SUM($E$4:$E$9),SUM($E$4:$E$8))</f>
        <v>1.712</v>
      </c>
      <c r="V3" s="28">
        <f t="shared" ref="V3:V23" si="3">1+$G$10*($I$10-1+AD3*2.5%+AE3*1%)</f>
        <v>3.36676</v>
      </c>
      <c r="W3" s="29">
        <f t="shared" ref="W3:W10" si="4">IF(R3=$C$1,$K$4+$K$5,$K$4)</f>
        <v>0.7</v>
      </c>
      <c r="X3" s="28">
        <f t="shared" ref="X3:X23" si="5">$AH$4</f>
        <v>0.509274150316286</v>
      </c>
      <c r="Y3" s="25">
        <f t="shared" ref="Y3:Y26" si="6">$AH$11</f>
        <v>0.8</v>
      </c>
      <c r="Z3" s="30">
        <v>0</v>
      </c>
      <c r="AA3" s="30">
        <v>0</v>
      </c>
      <c r="AB3" s="31">
        <v>0</v>
      </c>
      <c r="AC3" s="23">
        <f t="shared" ref="AC3:AC10" si="7">Q3*$C$4*(1+T3)*(1+U3)*V3*(1+W3)*X3*Y3*(1+Z3)*(1+AA3)*(1+AB3)*O3</f>
        <v>104275.651551483</v>
      </c>
      <c r="AD3" s="32">
        <v>24</v>
      </c>
      <c r="AE3" s="32">
        <v>7</v>
      </c>
      <c r="AF3" s="18">
        <v>0</v>
      </c>
      <c r="AG3" s="18">
        <v>0</v>
      </c>
      <c r="AH3" s="19">
        <f t="shared" ref="AH3:AH8" si="8">1520/(1520+(792+8*AI3)*(1-AG3/100))</f>
        <v>0.488431876606684</v>
      </c>
      <c r="AI3" s="33">
        <v>100</v>
      </c>
    </row>
    <row r="4" s="1" customFormat="1" ht="15" spans="2:35">
      <c r="B4" s="34" t="s">
        <v>28</v>
      </c>
      <c r="C4" s="35">
        <f>437+587</f>
        <v>1024</v>
      </c>
      <c r="D4" s="34" t="s">
        <v>29</v>
      </c>
      <c r="E4" s="36">
        <f>E1*30%</f>
        <v>0.6</v>
      </c>
      <c r="F4" s="34" t="s">
        <v>30</v>
      </c>
      <c r="G4" s="37">
        <v>0.13</v>
      </c>
      <c r="H4" s="34" t="s">
        <v>30</v>
      </c>
      <c r="I4" s="37">
        <v>1.5</v>
      </c>
      <c r="J4" s="38" t="s">
        <v>31</v>
      </c>
      <c r="K4" s="39">
        <f>25%+20%</f>
        <v>0.45</v>
      </c>
      <c r="L4" s="34" t="s">
        <v>32</v>
      </c>
      <c r="M4" s="37">
        <f>8.6%*3</f>
        <v>0.258</v>
      </c>
      <c r="O4" s="40">
        <v>1</v>
      </c>
      <c r="P4" s="23" t="s">
        <v>88</v>
      </c>
      <c r="Q4" s="41">
        <f>39.23%+26.15%*2</f>
        <v>0.9153</v>
      </c>
      <c r="R4" s="42" t="s">
        <v>1</v>
      </c>
      <c r="S4" s="43">
        <f t="shared" si="0"/>
        <v>2764.592</v>
      </c>
      <c r="T4" s="44">
        <f t="shared" si="1"/>
        <v>1.699796875</v>
      </c>
      <c r="U4" s="44">
        <f t="shared" si="2"/>
        <v>1.22</v>
      </c>
      <c r="V4" s="46">
        <f t="shared" si="3"/>
        <v>3.36676</v>
      </c>
      <c r="W4" s="45">
        <f t="shared" si="4"/>
        <v>0.45</v>
      </c>
      <c r="X4" s="46">
        <f t="shared" si="5"/>
        <v>0.509274150316286</v>
      </c>
      <c r="Y4" s="42">
        <f t="shared" si="6"/>
        <v>0.8</v>
      </c>
      <c r="Z4" s="47">
        <v>0</v>
      </c>
      <c r="AA4" s="47">
        <v>0</v>
      </c>
      <c r="AB4" s="48">
        <v>0</v>
      </c>
      <c r="AC4" s="23">
        <f t="shared" si="7"/>
        <v>11172.9862575635</v>
      </c>
      <c r="AD4" s="32">
        <v>24</v>
      </c>
      <c r="AE4" s="32">
        <v>7</v>
      </c>
      <c r="AF4" s="18">
        <v>8</v>
      </c>
      <c r="AG4" s="18">
        <v>0</v>
      </c>
      <c r="AH4" s="19">
        <f>1520/(1520+(792+8*AI4)*(1-AG4/100)*(1-AF4/100))</f>
        <v>0.509274150316286</v>
      </c>
      <c r="AI4" s="33">
        <v>100</v>
      </c>
    </row>
    <row r="5" s="1" customFormat="1" ht="15" spans="2:35">
      <c r="B5" s="34" t="s">
        <v>33</v>
      </c>
      <c r="C5" s="37">
        <f>12%+12%</f>
        <v>0.24</v>
      </c>
      <c r="D5" s="34" t="s">
        <v>34</v>
      </c>
      <c r="E5" s="36">
        <f>12%+10%</f>
        <v>0.22</v>
      </c>
      <c r="F5" s="34" t="s">
        <v>35</v>
      </c>
      <c r="G5" s="37">
        <v>0.243</v>
      </c>
      <c r="H5" s="34" t="s">
        <v>35</v>
      </c>
      <c r="I5" s="37">
        <v>0</v>
      </c>
      <c r="J5" s="49" t="s">
        <v>89</v>
      </c>
      <c r="K5" s="36">
        <v>0.25</v>
      </c>
      <c r="L5" s="34" t="s">
        <v>37</v>
      </c>
      <c r="M5" s="37">
        <f>8.6%*2</f>
        <v>0.172</v>
      </c>
      <c r="O5" s="40">
        <v>1</v>
      </c>
      <c r="P5" s="23" t="s">
        <v>90</v>
      </c>
      <c r="Q5" s="41">
        <f t="shared" ref="Q5:Q9" si="9">37.88%*4+117.88%*3</f>
        <v>5.0516</v>
      </c>
      <c r="R5" s="42" t="s">
        <v>83</v>
      </c>
      <c r="S5" s="43">
        <f t="shared" si="0"/>
        <v>2764.592</v>
      </c>
      <c r="T5" s="44">
        <f t="shared" si="1"/>
        <v>1.699796875</v>
      </c>
      <c r="U5" s="44">
        <f t="shared" si="2"/>
        <v>1.712</v>
      </c>
      <c r="V5" s="46">
        <f t="shared" si="3"/>
        <v>3.36676</v>
      </c>
      <c r="W5" s="45">
        <f t="shared" si="4"/>
        <v>0.7</v>
      </c>
      <c r="X5" s="46">
        <f t="shared" si="5"/>
        <v>0.509274150316286</v>
      </c>
      <c r="Y5" s="42">
        <f t="shared" si="6"/>
        <v>0.8</v>
      </c>
      <c r="Z5" s="47">
        <v>0.8</v>
      </c>
      <c r="AA5" s="47">
        <v>0</v>
      </c>
      <c r="AB5" s="48">
        <v>0</v>
      </c>
      <c r="AC5" s="23">
        <f t="shared" si="7"/>
        <v>158973.557077855</v>
      </c>
      <c r="AD5" s="32">
        <v>24</v>
      </c>
      <c r="AE5" s="32">
        <v>7</v>
      </c>
      <c r="AF5" s="18">
        <v>0</v>
      </c>
      <c r="AG5" s="18">
        <v>30</v>
      </c>
      <c r="AH5" s="19">
        <f t="shared" si="8"/>
        <v>0.57698147585788</v>
      </c>
      <c r="AI5" s="33">
        <v>100</v>
      </c>
    </row>
    <row r="6" s="1" customFormat="1" ht="15" spans="2:35">
      <c r="B6" s="34" t="s">
        <v>39</v>
      </c>
      <c r="C6" s="37">
        <f>18%+18%+M4+(2-E1)*30%</f>
        <v>0.618</v>
      </c>
      <c r="D6" s="34" t="s">
        <v>40</v>
      </c>
      <c r="E6" s="36"/>
      <c r="F6" s="34" t="s">
        <v>41</v>
      </c>
      <c r="G6" s="37">
        <v>0.2</v>
      </c>
      <c r="H6" s="34" t="s">
        <v>41</v>
      </c>
      <c r="I6" s="37">
        <v>0</v>
      </c>
      <c r="J6" s="49" t="s">
        <v>91</v>
      </c>
      <c r="K6" s="36">
        <f>32%</f>
        <v>0.32</v>
      </c>
      <c r="L6" s="34" t="s">
        <v>25</v>
      </c>
      <c r="M6" s="37">
        <f>8.1*5%</f>
        <v>0.405</v>
      </c>
      <c r="O6" s="40">
        <v>1</v>
      </c>
      <c r="P6" s="23" t="s">
        <v>83</v>
      </c>
      <c r="Q6" s="41">
        <f>105.97%*2</f>
        <v>2.1194</v>
      </c>
      <c r="R6" s="42" t="s">
        <v>83</v>
      </c>
      <c r="S6" s="43">
        <f t="shared" si="0"/>
        <v>2764.592</v>
      </c>
      <c r="T6" s="44">
        <f t="shared" si="1"/>
        <v>1.699796875</v>
      </c>
      <c r="U6" s="44">
        <f t="shared" si="2"/>
        <v>1.712</v>
      </c>
      <c r="V6" s="46">
        <f t="shared" si="3"/>
        <v>3.36676</v>
      </c>
      <c r="W6" s="45">
        <f t="shared" si="4"/>
        <v>0.7</v>
      </c>
      <c r="X6" s="46">
        <f t="shared" si="5"/>
        <v>0.509274150316286</v>
      </c>
      <c r="Y6" s="42">
        <f t="shared" si="6"/>
        <v>0.8</v>
      </c>
      <c r="Z6" s="47">
        <v>0</v>
      </c>
      <c r="AA6" s="47">
        <v>0</v>
      </c>
      <c r="AB6" s="48">
        <v>0</v>
      </c>
      <c r="AC6" s="23">
        <f t="shared" si="7"/>
        <v>37054.1079251906</v>
      </c>
      <c r="AD6" s="32">
        <v>24</v>
      </c>
      <c r="AE6" s="32">
        <v>7</v>
      </c>
      <c r="AF6" s="18">
        <v>0</v>
      </c>
      <c r="AG6" s="18">
        <v>21.6</v>
      </c>
      <c r="AH6" s="19">
        <f t="shared" si="8"/>
        <v>0.549107555719967</v>
      </c>
      <c r="AI6" s="33">
        <v>100</v>
      </c>
    </row>
    <row r="7" s="1" customFormat="1" ht="15" spans="2:35">
      <c r="B7" s="34" t="s">
        <v>43</v>
      </c>
      <c r="C7" s="37"/>
      <c r="D7" s="34" t="s">
        <v>44</v>
      </c>
      <c r="E7" s="36">
        <f>40%</f>
        <v>0.4</v>
      </c>
      <c r="F7" s="34" t="s">
        <v>39</v>
      </c>
      <c r="G7" s="37">
        <f>M6</f>
        <v>0.405</v>
      </c>
      <c r="H7" s="34" t="s">
        <v>39</v>
      </c>
      <c r="I7" s="37">
        <f>M7+44%</f>
        <v>1.25</v>
      </c>
      <c r="J7" s="49"/>
      <c r="K7" s="36"/>
      <c r="L7" s="34" t="s">
        <v>45</v>
      </c>
      <c r="M7" s="36">
        <f>16.2%*5</f>
        <v>0.81</v>
      </c>
      <c r="O7" s="40">
        <v>1</v>
      </c>
      <c r="P7" s="23" t="s">
        <v>90</v>
      </c>
      <c r="Q7" s="41">
        <f t="shared" si="9"/>
        <v>5.0516</v>
      </c>
      <c r="R7" s="42" t="s">
        <v>83</v>
      </c>
      <c r="S7" s="43">
        <f t="shared" si="0"/>
        <v>2764.592</v>
      </c>
      <c r="T7" s="44">
        <f t="shared" si="1"/>
        <v>1.699796875</v>
      </c>
      <c r="U7" s="44">
        <f t="shared" si="2"/>
        <v>1.712</v>
      </c>
      <c r="V7" s="46">
        <f t="shared" si="3"/>
        <v>3.36676</v>
      </c>
      <c r="W7" s="45">
        <f t="shared" si="4"/>
        <v>0.7</v>
      </c>
      <c r="X7" s="46">
        <f t="shared" si="5"/>
        <v>0.509274150316286</v>
      </c>
      <c r="Y7" s="42">
        <f t="shared" si="6"/>
        <v>0.8</v>
      </c>
      <c r="Z7" s="47">
        <v>0.8</v>
      </c>
      <c r="AA7" s="47">
        <v>0</v>
      </c>
      <c r="AB7" s="48">
        <v>0</v>
      </c>
      <c r="AC7" s="23">
        <f t="shared" si="7"/>
        <v>158973.557077855</v>
      </c>
      <c r="AD7" s="32">
        <v>24</v>
      </c>
      <c r="AE7" s="32">
        <v>7</v>
      </c>
      <c r="AF7" s="18">
        <v>0</v>
      </c>
      <c r="AG7" s="18">
        <v>28.8</v>
      </c>
      <c r="AH7" s="19">
        <f t="shared" si="8"/>
        <v>0.572827476423627</v>
      </c>
      <c r="AI7" s="33">
        <v>100</v>
      </c>
    </row>
    <row r="8" s="1" customFormat="1" ht="15" spans="2:35">
      <c r="B8" s="34" t="s">
        <v>46</v>
      </c>
      <c r="C8" s="37">
        <f>25%+25%</f>
        <v>0.5</v>
      </c>
      <c r="D8" s="34" t="s">
        <v>47</v>
      </c>
      <c r="E8" s="171"/>
      <c r="F8" s="34" t="s">
        <v>48</v>
      </c>
      <c r="G8" s="37">
        <v>0</v>
      </c>
      <c r="H8" s="34" t="s">
        <v>48</v>
      </c>
      <c r="I8" s="37">
        <v>0</v>
      </c>
      <c r="J8" s="49"/>
      <c r="K8" s="36"/>
      <c r="L8" s="34"/>
      <c r="M8" s="35"/>
      <c r="O8" s="40">
        <v>1</v>
      </c>
      <c r="P8" s="23" t="s">
        <v>92</v>
      </c>
      <c r="Q8" s="41">
        <f>53.45%*2+95.43%+39.23%+26.15%*2</f>
        <v>2.9386</v>
      </c>
      <c r="R8" s="42" t="s">
        <v>1</v>
      </c>
      <c r="S8" s="43">
        <f t="shared" si="0"/>
        <v>2764.592</v>
      </c>
      <c r="T8" s="44">
        <f t="shared" si="1"/>
        <v>1.699796875</v>
      </c>
      <c r="U8" s="44">
        <f t="shared" si="2"/>
        <v>1.22</v>
      </c>
      <c r="V8" s="46">
        <f t="shared" si="3"/>
        <v>3.36676</v>
      </c>
      <c r="W8" s="45">
        <f t="shared" si="4"/>
        <v>0.45</v>
      </c>
      <c r="X8" s="46">
        <f t="shared" si="5"/>
        <v>0.509274150316286</v>
      </c>
      <c r="Y8" s="42">
        <f t="shared" si="6"/>
        <v>0.8</v>
      </c>
      <c r="Z8" s="47">
        <v>0</v>
      </c>
      <c r="AA8" s="47">
        <v>0</v>
      </c>
      <c r="AB8" s="48">
        <v>0</v>
      </c>
      <c r="AC8" s="23">
        <f t="shared" si="7"/>
        <v>35871.2306527653</v>
      </c>
      <c r="AD8" s="32">
        <v>24</v>
      </c>
      <c r="AE8" s="32">
        <v>7</v>
      </c>
      <c r="AF8" s="18">
        <v>0</v>
      </c>
      <c r="AG8" s="18">
        <v>36</v>
      </c>
      <c r="AH8" s="19">
        <f t="shared" si="8"/>
        <v>0.598689185782707</v>
      </c>
      <c r="AI8" s="33">
        <v>100</v>
      </c>
    </row>
    <row r="9" s="1" customFormat="1" ht="15" spans="2:35">
      <c r="B9" s="34" t="s">
        <v>49</v>
      </c>
      <c r="C9" s="35">
        <v>350</v>
      </c>
      <c r="D9" s="34" t="s">
        <v>93</v>
      </c>
      <c r="E9" s="36">
        <f>32%+M5</f>
        <v>0.492</v>
      </c>
      <c r="F9" s="34" t="s">
        <v>51</v>
      </c>
      <c r="G9" s="37"/>
      <c r="H9" s="34" t="s">
        <v>51</v>
      </c>
      <c r="I9" s="37"/>
      <c r="J9" s="49"/>
      <c r="K9" s="36"/>
      <c r="L9" s="34"/>
      <c r="M9" s="35"/>
      <c r="O9" s="40">
        <v>1</v>
      </c>
      <c r="P9" s="23" t="s">
        <v>90</v>
      </c>
      <c r="Q9" s="41">
        <f t="shared" si="9"/>
        <v>5.0516</v>
      </c>
      <c r="R9" s="42" t="s">
        <v>83</v>
      </c>
      <c r="S9" s="43">
        <f t="shared" si="0"/>
        <v>2764.592</v>
      </c>
      <c r="T9" s="44">
        <f t="shared" si="1"/>
        <v>1.699796875</v>
      </c>
      <c r="U9" s="44">
        <f t="shared" si="2"/>
        <v>1.712</v>
      </c>
      <c r="V9" s="46">
        <f t="shared" si="3"/>
        <v>3.36676</v>
      </c>
      <c r="W9" s="45">
        <f t="shared" si="4"/>
        <v>0.7</v>
      </c>
      <c r="X9" s="46">
        <f t="shared" si="5"/>
        <v>0.509274150316286</v>
      </c>
      <c r="Y9" s="42">
        <f t="shared" si="6"/>
        <v>0.8</v>
      </c>
      <c r="Z9" s="47">
        <v>0.8</v>
      </c>
      <c r="AA9" s="47">
        <v>0</v>
      </c>
      <c r="AB9" s="48">
        <v>0</v>
      </c>
      <c r="AC9" s="23">
        <f t="shared" si="7"/>
        <v>158973.557077855</v>
      </c>
      <c r="AD9" s="32">
        <v>24</v>
      </c>
      <c r="AE9" s="32">
        <v>7</v>
      </c>
    </row>
    <row r="10" s="1" customFormat="1" ht="15" spans="2:35">
      <c r="B10" s="51" t="s">
        <v>52</v>
      </c>
      <c r="C10" s="52"/>
      <c r="D10" s="51" t="s">
        <v>94</v>
      </c>
      <c r="E10" s="53">
        <f>20%+35%</f>
        <v>0.55</v>
      </c>
      <c r="F10" s="54" t="s">
        <v>53</v>
      </c>
      <c r="G10" s="55">
        <f>MIN(100%,SUM(G4:G9))</f>
        <v>0.978</v>
      </c>
      <c r="H10" s="54" t="s">
        <v>54</v>
      </c>
      <c r="I10" s="55">
        <f>SUM(I4:I9)</f>
        <v>2.75</v>
      </c>
      <c r="J10" s="56"/>
      <c r="K10" s="53"/>
      <c r="L10" s="51"/>
      <c r="M10" s="52"/>
      <c r="O10" s="40">
        <v>1</v>
      </c>
      <c r="P10" s="23" t="s">
        <v>92</v>
      </c>
      <c r="Q10" s="41">
        <f>53.45%*2+95.43%+39.23%+26.15%*2</f>
        <v>2.9386</v>
      </c>
      <c r="R10" s="42" t="s">
        <v>1</v>
      </c>
      <c r="S10" s="43">
        <f t="shared" si="0"/>
        <v>2764.592</v>
      </c>
      <c r="T10" s="44">
        <f t="shared" si="1"/>
        <v>1.699796875</v>
      </c>
      <c r="U10" s="44">
        <f t="shared" si="2"/>
        <v>1.22</v>
      </c>
      <c r="V10" s="46">
        <f t="shared" si="3"/>
        <v>3.36676</v>
      </c>
      <c r="W10" s="45">
        <f t="shared" si="4"/>
        <v>0.45</v>
      </c>
      <c r="X10" s="46">
        <f t="shared" si="5"/>
        <v>0.509274150316286</v>
      </c>
      <c r="Y10" s="42">
        <f t="shared" si="6"/>
        <v>0.8</v>
      </c>
      <c r="Z10" s="47">
        <v>0</v>
      </c>
      <c r="AA10" s="47">
        <v>0</v>
      </c>
      <c r="AB10" s="48">
        <v>0</v>
      </c>
      <c r="AC10" s="23">
        <f t="shared" si="7"/>
        <v>35871.2306527653</v>
      </c>
      <c r="AD10" s="32">
        <v>24</v>
      </c>
      <c r="AE10" s="32">
        <v>7</v>
      </c>
    </row>
    <row r="11" s="1" customFormat="1" ht="15" spans="2:35">
      <c r="B11" s="57"/>
      <c r="C11" s="57"/>
      <c r="E11" s="58"/>
      <c r="F11" s="20" t="s">
        <v>55</v>
      </c>
      <c r="G11" s="59">
        <f>MAX(0,SUM(G4:G9)-1)</f>
        <v>0</v>
      </c>
      <c r="J11" s="2"/>
      <c r="K11" s="2"/>
      <c r="O11" s="40">
        <v>1</v>
      </c>
      <c r="P11" s="23" t="s">
        <v>95</v>
      </c>
      <c r="Q11" s="41">
        <f>152.39%*3</f>
        <v>4.5717</v>
      </c>
      <c r="R11" s="42" t="s">
        <v>96</v>
      </c>
      <c r="S11" s="43">
        <f t="shared" si="0"/>
        <v>2764.592</v>
      </c>
      <c r="T11" s="44">
        <f t="shared" si="1"/>
        <v>1.699796875</v>
      </c>
      <c r="U11" s="44">
        <f t="shared" ref="U11:U23" si="10">IF(R11=$C$1,SUM($E$4:$E$9),SUM($E$4:$E$8))+$E$10</f>
        <v>1.77</v>
      </c>
      <c r="V11" s="46">
        <f t="shared" si="3"/>
        <v>3.36676</v>
      </c>
      <c r="W11" s="45">
        <f>IF(R11=$C$1,$K$4+$K$5,$K$4)+$K$6</f>
        <v>0.77</v>
      </c>
      <c r="X11" s="46">
        <f t="shared" si="5"/>
        <v>0.509274150316286</v>
      </c>
      <c r="Y11" s="42">
        <f t="shared" si="6"/>
        <v>0.8</v>
      </c>
      <c r="Z11" s="47">
        <v>0</v>
      </c>
      <c r="AA11" s="47">
        <v>0</v>
      </c>
      <c r="AB11" s="48">
        <v>0</v>
      </c>
      <c r="AC11" s="23">
        <f>Q11*$C$4*(1+T11)*(1+U11)*V11*(1+W11)*X11*Y11*(1+Z11)*(1+AA11)*(1+AB11)*O12</f>
        <v>84999.3461100331</v>
      </c>
      <c r="AD11" s="32">
        <v>24</v>
      </c>
      <c r="AE11" s="32">
        <v>7</v>
      </c>
      <c r="AG11" s="60" t="s">
        <v>97</v>
      </c>
      <c r="AH11" s="60">
        <v>0.8</v>
      </c>
    </row>
    <row r="12" s="1" customFormat="1" ht="15" spans="2:35">
      <c r="B12" s="57"/>
      <c r="C12" s="57"/>
      <c r="E12" s="58"/>
      <c r="G12" s="61"/>
      <c r="J12" s="2"/>
      <c r="K12" s="2"/>
      <c r="O12" s="40">
        <v>1</v>
      </c>
      <c r="P12" s="23" t="s">
        <v>90</v>
      </c>
      <c r="Q12" s="41">
        <f>37.88%*4+117.88%*3</f>
        <v>5.0516</v>
      </c>
      <c r="R12" s="42" t="s">
        <v>83</v>
      </c>
      <c r="S12" s="43">
        <f t="shared" si="0"/>
        <v>2764.592</v>
      </c>
      <c r="T12" s="44">
        <f t="shared" si="1"/>
        <v>1.699796875</v>
      </c>
      <c r="U12" s="44">
        <f t="shared" ref="U12:U14" si="11">IF(R12=$C$1,SUM($E$4:$E$9),SUM($E$4:$E$8))</f>
        <v>1.712</v>
      </c>
      <c r="V12" s="46">
        <f t="shared" si="3"/>
        <v>3.36676</v>
      </c>
      <c r="W12" s="45">
        <f t="shared" ref="W12:W14" si="12">IF(R12=$C$1,$K$4+$K$5,$K$4)</f>
        <v>0.7</v>
      </c>
      <c r="X12" s="46">
        <f t="shared" si="5"/>
        <v>0.509274150316286</v>
      </c>
      <c r="Y12" s="42">
        <f t="shared" si="6"/>
        <v>0.8</v>
      </c>
      <c r="Z12" s="47">
        <v>0.8</v>
      </c>
      <c r="AA12" s="47">
        <v>0</v>
      </c>
      <c r="AB12" s="48">
        <v>0</v>
      </c>
      <c r="AC12" s="23">
        <f t="shared" ref="AC12:AC21" si="13">Q12*$C$4*(1+T12)*(1+U12)*V12*(1+W12)*X12*Y12*(1+Z12)*(1+AA12)*(1+AB12)*O12</f>
        <v>158973.557077855</v>
      </c>
      <c r="AD12" s="32">
        <v>24</v>
      </c>
      <c r="AE12" s="32">
        <v>7</v>
      </c>
      <c r="AG12" s="62" t="s">
        <v>98</v>
      </c>
      <c r="AH12" s="62">
        <v>0.92</v>
      </c>
    </row>
    <row r="13" s="1" customFormat="1" ht="15" spans="2:35">
      <c r="B13" s="5" t="s">
        <v>0</v>
      </c>
      <c r="C13" s="5" t="s">
        <v>1</v>
      </c>
      <c r="D13" s="6" t="s">
        <v>2</v>
      </c>
      <c r="E13" s="6">
        <v>2</v>
      </c>
      <c r="O13" s="40">
        <v>1</v>
      </c>
      <c r="P13" s="23" t="s">
        <v>99</v>
      </c>
      <c r="Q13" s="41">
        <f>33.01%*2+12.38%*8+495.1%</f>
        <v>6.6016</v>
      </c>
      <c r="R13" s="42" t="s">
        <v>83</v>
      </c>
      <c r="S13" s="43">
        <f t="shared" si="0"/>
        <v>2764.592</v>
      </c>
      <c r="T13" s="44">
        <f t="shared" si="1"/>
        <v>1.699796875</v>
      </c>
      <c r="U13" s="44">
        <f t="shared" si="11"/>
        <v>1.712</v>
      </c>
      <c r="V13" s="46">
        <f t="shared" si="3"/>
        <v>3.46456</v>
      </c>
      <c r="W13" s="45">
        <f t="shared" si="12"/>
        <v>0.7</v>
      </c>
      <c r="X13" s="46">
        <f t="shared" si="5"/>
        <v>0.509274150316286</v>
      </c>
      <c r="Y13" s="42">
        <f t="shared" si="6"/>
        <v>0.8</v>
      </c>
      <c r="Z13" s="47">
        <v>0.75</v>
      </c>
      <c r="AA13" s="47">
        <v>0</v>
      </c>
      <c r="AB13" s="48">
        <v>0</v>
      </c>
      <c r="AC13" s="23">
        <f t="shared" si="13"/>
        <v>207848.366311096</v>
      </c>
      <c r="AD13" s="32">
        <v>24</v>
      </c>
      <c r="AE13" s="32">
        <v>17</v>
      </c>
      <c r="AG13" s="1" t="s">
        <v>63</v>
      </c>
      <c r="AH13" s="1">
        <v>0.8</v>
      </c>
    </row>
    <row r="14" s="1" customFormat="1" ht="15" spans="2:35">
      <c r="B14" s="63" t="s">
        <v>100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O14" s="40">
        <v>1</v>
      </c>
      <c r="P14" s="23" t="s">
        <v>101</v>
      </c>
      <c r="Q14" s="41">
        <f>82.55%*AD14</f>
        <v>19.812</v>
      </c>
      <c r="R14" s="42" t="s">
        <v>83</v>
      </c>
      <c r="S14" s="43">
        <f t="shared" si="0"/>
        <v>2764.592</v>
      </c>
      <c r="T14" s="44">
        <f t="shared" si="1"/>
        <v>1.699796875</v>
      </c>
      <c r="U14" s="44">
        <f t="shared" si="11"/>
        <v>1.712</v>
      </c>
      <c r="V14" s="46">
        <f t="shared" si="3"/>
        <v>3.46456</v>
      </c>
      <c r="W14" s="45">
        <f t="shared" si="12"/>
        <v>0.7</v>
      </c>
      <c r="X14" s="46">
        <f t="shared" si="5"/>
        <v>0.509274150316286</v>
      </c>
      <c r="Y14" s="42">
        <f t="shared" si="6"/>
        <v>0.8</v>
      </c>
      <c r="Z14" s="47">
        <v>0.75</v>
      </c>
      <c r="AA14" s="47">
        <v>0</v>
      </c>
      <c r="AB14" s="48">
        <v>0</v>
      </c>
      <c r="AC14" s="23">
        <f t="shared" si="13"/>
        <v>623771.787650788</v>
      </c>
      <c r="AD14" s="32">
        <v>24</v>
      </c>
      <c r="AE14" s="32">
        <v>17</v>
      </c>
      <c r="AG14" s="64" t="s">
        <v>137</v>
      </c>
      <c r="AH14" s="64">
        <v>0.8</v>
      </c>
    </row>
    <row r="15" s="1" customFormat="1" ht="15" spans="2:35">
      <c r="B15" s="65" t="s">
        <v>24</v>
      </c>
      <c r="C15" s="65"/>
      <c r="D15" s="65" t="s">
        <v>10</v>
      </c>
      <c r="E15" s="65"/>
      <c r="F15" s="65" t="s">
        <v>25</v>
      </c>
      <c r="G15" s="65"/>
      <c r="H15" s="65" t="s">
        <v>26</v>
      </c>
      <c r="I15" s="65"/>
      <c r="J15" s="65" t="s">
        <v>12</v>
      </c>
      <c r="K15" s="65"/>
      <c r="L15" s="65" t="s">
        <v>27</v>
      </c>
      <c r="M15" s="65"/>
      <c r="O15" s="40">
        <v>1</v>
      </c>
      <c r="P15" s="23" t="s">
        <v>102</v>
      </c>
      <c r="Q15" s="41">
        <f t="shared" ref="Q15:Q22" si="14">104.38%+243.55%</f>
        <v>3.4793</v>
      </c>
      <c r="R15" s="42" t="s">
        <v>96</v>
      </c>
      <c r="S15" s="43">
        <f t="shared" ref="S15:S23" si="15">$C$4*(1+C$5+C$6+C$7+C$8+120%)+C$9</f>
        <v>3993.392</v>
      </c>
      <c r="T15" s="44">
        <f t="shared" si="1"/>
        <v>2.899796875</v>
      </c>
      <c r="U15" s="44">
        <f t="shared" si="10"/>
        <v>1.77</v>
      </c>
      <c r="V15" s="46">
        <f t="shared" si="3"/>
        <v>3.46456</v>
      </c>
      <c r="W15" s="45">
        <f t="shared" ref="W15:W23" si="16">IF(R15=$C$1,$K$4+$K$5,$K$4)+$K$6-20%</f>
        <v>0.57</v>
      </c>
      <c r="X15" s="46">
        <f t="shared" si="5"/>
        <v>0.509274150316286</v>
      </c>
      <c r="Y15" s="42">
        <f t="shared" si="6"/>
        <v>0.8</v>
      </c>
      <c r="Z15" s="47">
        <v>0</v>
      </c>
      <c r="AA15" s="47">
        <v>0</v>
      </c>
      <c r="AB15" s="48">
        <v>0</v>
      </c>
      <c r="AC15" s="23">
        <f t="shared" si="13"/>
        <v>85290.9494415225</v>
      </c>
      <c r="AD15" s="32">
        <v>24</v>
      </c>
      <c r="AE15" s="32">
        <v>17</v>
      </c>
    </row>
    <row r="16" s="1" customFormat="1" ht="15" spans="2:35">
      <c r="B16" s="66" t="s">
        <v>28</v>
      </c>
      <c r="C16" s="67">
        <f>400+500</f>
        <v>900</v>
      </c>
      <c r="D16" s="66" t="s">
        <v>29</v>
      </c>
      <c r="E16" s="39">
        <f>E13*30%</f>
        <v>0.6</v>
      </c>
      <c r="F16" s="66" t="s">
        <v>30</v>
      </c>
      <c r="G16" s="68">
        <v>0.13</v>
      </c>
      <c r="H16" s="66" t="s">
        <v>30</v>
      </c>
      <c r="I16" s="68">
        <v>1.5</v>
      </c>
      <c r="J16" s="38" t="s">
        <v>31</v>
      </c>
      <c r="K16" s="39">
        <v>0.25</v>
      </c>
      <c r="L16" s="66" t="s">
        <v>32</v>
      </c>
      <c r="M16" s="68">
        <v>0.086</v>
      </c>
      <c r="O16" s="40">
        <v>1</v>
      </c>
      <c r="P16" s="23" t="s">
        <v>103</v>
      </c>
      <c r="Q16" s="41">
        <f t="shared" si="14"/>
        <v>3.4793</v>
      </c>
      <c r="R16" s="42" t="s">
        <v>96</v>
      </c>
      <c r="S16" s="43">
        <f t="shared" si="15"/>
        <v>3993.392</v>
      </c>
      <c r="T16" s="44">
        <f t="shared" si="1"/>
        <v>2.899796875</v>
      </c>
      <c r="U16" s="44">
        <f t="shared" si="10"/>
        <v>1.77</v>
      </c>
      <c r="V16" s="46">
        <f t="shared" si="3"/>
        <v>3.47434</v>
      </c>
      <c r="W16" s="45">
        <f t="shared" si="16"/>
        <v>0.57</v>
      </c>
      <c r="X16" s="46">
        <f t="shared" si="5"/>
        <v>0.509274150316286</v>
      </c>
      <c r="Y16" s="42">
        <f t="shared" si="6"/>
        <v>0.8</v>
      </c>
      <c r="Z16" s="47">
        <v>0</v>
      </c>
      <c r="AA16" s="47">
        <v>0</v>
      </c>
      <c r="AB16" s="48">
        <v>0</v>
      </c>
      <c r="AC16" s="23">
        <f t="shared" si="13"/>
        <v>85531.7146427423</v>
      </c>
      <c r="AD16" s="32">
        <v>24</v>
      </c>
      <c r="AE16" s="32">
        <v>18</v>
      </c>
    </row>
    <row r="17" s="1" customFormat="1" ht="15" spans="1:31">
      <c r="B17" s="34" t="s">
        <v>33</v>
      </c>
      <c r="C17" s="36">
        <f>12%+12%</f>
        <v>0.24</v>
      </c>
      <c r="D17" s="34" t="s">
        <v>34</v>
      </c>
      <c r="E17" s="36"/>
      <c r="F17" s="34" t="s">
        <v>35</v>
      </c>
      <c r="G17" s="37"/>
      <c r="H17" s="34" t="s">
        <v>35</v>
      </c>
      <c r="I17" s="37">
        <v>0.72</v>
      </c>
      <c r="J17" s="49" t="s">
        <v>36</v>
      </c>
      <c r="K17" s="36"/>
      <c r="L17" s="34" t="s">
        <v>104</v>
      </c>
      <c r="M17" s="37">
        <f>1*8.6%</f>
        <v>0.086</v>
      </c>
      <c r="O17" s="40">
        <v>1</v>
      </c>
      <c r="P17" s="23" t="s">
        <v>103</v>
      </c>
      <c r="Q17" s="41">
        <f>99.16%+231.37%</f>
        <v>3.3053</v>
      </c>
      <c r="R17" s="42" t="s">
        <v>96</v>
      </c>
      <c r="S17" s="43">
        <f t="shared" si="15"/>
        <v>3993.392</v>
      </c>
      <c r="T17" s="44">
        <f t="shared" si="1"/>
        <v>2.899796875</v>
      </c>
      <c r="U17" s="44">
        <f t="shared" si="10"/>
        <v>1.77</v>
      </c>
      <c r="V17" s="46">
        <f t="shared" si="3"/>
        <v>3.48412</v>
      </c>
      <c r="W17" s="45">
        <f t="shared" si="16"/>
        <v>0.57</v>
      </c>
      <c r="X17" s="46">
        <f t="shared" si="5"/>
        <v>0.509274150316286</v>
      </c>
      <c r="Y17" s="42">
        <f t="shared" si="6"/>
        <v>0.8</v>
      </c>
      <c r="Z17" s="47">
        <v>0</v>
      </c>
      <c r="AA17" s="47">
        <v>0</v>
      </c>
      <c r="AB17" s="48">
        <v>0</v>
      </c>
      <c r="AC17" s="23">
        <f t="shared" si="13"/>
        <v>81482.9930239554</v>
      </c>
      <c r="AD17" s="32">
        <v>24</v>
      </c>
      <c r="AE17" s="32">
        <v>19</v>
      </c>
    </row>
    <row r="18" s="1" customFormat="1" ht="15" spans="1:31">
      <c r="B18" s="34" t="s">
        <v>39</v>
      </c>
      <c r="C18" s="36">
        <f>18%+18%+M16+(2-E13)*30%</f>
        <v>0.446</v>
      </c>
      <c r="D18" s="34" t="s">
        <v>40</v>
      </c>
      <c r="E18" s="36">
        <v>0.12</v>
      </c>
      <c r="F18" s="34" t="s">
        <v>41</v>
      </c>
      <c r="G18" s="37">
        <v>0.22</v>
      </c>
      <c r="H18" s="34" t="s">
        <v>41</v>
      </c>
      <c r="I18" s="37">
        <v>0</v>
      </c>
      <c r="J18" s="49"/>
      <c r="K18" s="37"/>
      <c r="L18" s="34" t="s">
        <v>25</v>
      </c>
      <c r="M18" s="37">
        <f>8.1*5%</f>
        <v>0.405</v>
      </c>
      <c r="O18" s="40">
        <v>1</v>
      </c>
      <c r="P18" s="23" t="s">
        <v>138</v>
      </c>
      <c r="Q18" s="41">
        <f>99.16%+231.37%</f>
        <v>3.3053</v>
      </c>
      <c r="R18" s="42" t="s">
        <v>96</v>
      </c>
      <c r="S18" s="43">
        <f t="shared" si="15"/>
        <v>3993.392</v>
      </c>
      <c r="T18" s="44">
        <f t="shared" si="1"/>
        <v>2.899796875</v>
      </c>
      <c r="U18" s="44">
        <f t="shared" si="10"/>
        <v>1.77</v>
      </c>
      <c r="V18" s="46">
        <f t="shared" si="3"/>
        <v>3.4939</v>
      </c>
      <c r="W18" s="45">
        <f t="shared" si="16"/>
        <v>0.57</v>
      </c>
      <c r="X18" s="46">
        <f t="shared" si="5"/>
        <v>0.509274150316286</v>
      </c>
      <c r="Y18" s="42">
        <f t="shared" si="6"/>
        <v>0.8</v>
      </c>
      <c r="Z18" s="47">
        <v>0</v>
      </c>
      <c r="AA18" s="47">
        <v>0</v>
      </c>
      <c r="AB18" s="48">
        <v>0</v>
      </c>
      <c r="AC18" s="23">
        <f t="shared" si="13"/>
        <v>81711.7175431379</v>
      </c>
      <c r="AD18" s="32">
        <v>24</v>
      </c>
      <c r="AE18" s="32">
        <v>20</v>
      </c>
    </row>
    <row r="19" s="1" customFormat="1" ht="15" spans="1:31">
      <c r="B19" s="34" t="s">
        <v>43</v>
      </c>
      <c r="C19" s="69"/>
      <c r="D19" s="34" t="s">
        <v>44</v>
      </c>
      <c r="E19" s="36">
        <v>0.4</v>
      </c>
      <c r="F19" s="34" t="s">
        <v>39</v>
      </c>
      <c r="G19" s="37">
        <f>M18</f>
        <v>0.405</v>
      </c>
      <c r="H19" s="34" t="s">
        <v>39</v>
      </c>
      <c r="I19" s="37">
        <f>M19</f>
        <v>0.81</v>
      </c>
      <c r="J19" s="49"/>
      <c r="K19" s="37"/>
      <c r="L19" s="34" t="s">
        <v>45</v>
      </c>
      <c r="M19" s="36">
        <f>16.2%*5</f>
        <v>0.81</v>
      </c>
      <c r="O19" s="40">
        <v>1</v>
      </c>
      <c r="P19" s="23" t="s">
        <v>106</v>
      </c>
      <c r="Q19" s="41">
        <f t="shared" si="14"/>
        <v>3.4793</v>
      </c>
      <c r="R19" s="42" t="s">
        <v>96</v>
      </c>
      <c r="S19" s="43">
        <f t="shared" si="15"/>
        <v>3993.392</v>
      </c>
      <c r="T19" s="44">
        <f t="shared" si="1"/>
        <v>2.899796875</v>
      </c>
      <c r="U19" s="44">
        <f t="shared" si="10"/>
        <v>1.77</v>
      </c>
      <c r="V19" s="46">
        <f t="shared" si="3"/>
        <v>3.50368</v>
      </c>
      <c r="W19" s="45">
        <f t="shared" si="16"/>
        <v>0.57</v>
      </c>
      <c r="X19" s="46">
        <f t="shared" si="5"/>
        <v>0.509274150316286</v>
      </c>
      <c r="Y19" s="42">
        <f t="shared" si="6"/>
        <v>0.8</v>
      </c>
      <c r="Z19" s="47">
        <v>0</v>
      </c>
      <c r="AA19" s="47">
        <v>0</v>
      </c>
      <c r="AB19" s="48">
        <v>0</v>
      </c>
      <c r="AC19" s="23">
        <f t="shared" si="13"/>
        <v>86254.0102464018</v>
      </c>
      <c r="AD19" s="32">
        <v>24</v>
      </c>
      <c r="AE19" s="32">
        <v>21</v>
      </c>
    </row>
    <row r="20" s="1" customFormat="1" ht="15" spans="1:31">
      <c r="B20" s="34" t="s">
        <v>46</v>
      </c>
      <c r="C20" s="69">
        <f>25%+25%</f>
        <v>0.5</v>
      </c>
      <c r="D20" s="34" t="s">
        <v>47</v>
      </c>
      <c r="E20" s="171"/>
      <c r="F20" s="34" t="s">
        <v>48</v>
      </c>
      <c r="G20" s="37">
        <v>0</v>
      </c>
      <c r="H20" s="34" t="s">
        <v>48</v>
      </c>
      <c r="I20" s="37">
        <v>0</v>
      </c>
      <c r="J20" s="49"/>
      <c r="K20" s="37"/>
      <c r="L20" s="34"/>
      <c r="M20" s="35"/>
      <c r="O20" s="40">
        <v>1</v>
      </c>
      <c r="P20" s="23" t="s">
        <v>106</v>
      </c>
      <c r="Q20" s="41">
        <f t="shared" si="14"/>
        <v>3.4793</v>
      </c>
      <c r="R20" s="42" t="s">
        <v>96</v>
      </c>
      <c r="S20" s="43">
        <f t="shared" si="15"/>
        <v>3993.392</v>
      </c>
      <c r="T20" s="44">
        <f t="shared" si="1"/>
        <v>2.899796875</v>
      </c>
      <c r="U20" s="44">
        <f t="shared" si="10"/>
        <v>1.77</v>
      </c>
      <c r="V20" s="46">
        <f t="shared" si="3"/>
        <v>3.51346</v>
      </c>
      <c r="W20" s="45">
        <f t="shared" si="16"/>
        <v>0.57</v>
      </c>
      <c r="X20" s="46">
        <f t="shared" si="5"/>
        <v>0.509274150316286</v>
      </c>
      <c r="Y20" s="42">
        <f t="shared" si="6"/>
        <v>0.8</v>
      </c>
      <c r="Z20" s="47">
        <v>0</v>
      </c>
      <c r="AA20" s="47">
        <v>0</v>
      </c>
      <c r="AB20" s="48">
        <v>0</v>
      </c>
      <c r="AC20" s="23">
        <f t="shared" si="13"/>
        <v>86494.7754476215</v>
      </c>
      <c r="AD20" s="32">
        <v>24</v>
      </c>
      <c r="AE20" s="32">
        <v>22</v>
      </c>
    </row>
    <row r="21" s="1" customFormat="1" ht="15" spans="1:31">
      <c r="B21" s="34" t="s">
        <v>49</v>
      </c>
      <c r="C21" s="35">
        <v>350</v>
      </c>
      <c r="D21" s="34" t="s">
        <v>107</v>
      </c>
      <c r="E21" s="36">
        <f>40%+M17</f>
        <v>0.486</v>
      </c>
      <c r="F21" s="34" t="s">
        <v>51</v>
      </c>
      <c r="G21" s="37"/>
      <c r="H21" s="34" t="s">
        <v>51</v>
      </c>
      <c r="I21" s="37">
        <v>0</v>
      </c>
      <c r="J21" s="49"/>
      <c r="K21" s="37"/>
      <c r="L21" s="34"/>
      <c r="M21" s="35"/>
      <c r="O21" s="40">
        <v>1</v>
      </c>
      <c r="P21" s="23" t="s">
        <v>106</v>
      </c>
      <c r="Q21" s="41">
        <f t="shared" si="14"/>
        <v>3.4793</v>
      </c>
      <c r="R21" s="42" t="s">
        <v>96</v>
      </c>
      <c r="S21" s="43">
        <f t="shared" si="15"/>
        <v>3993.392</v>
      </c>
      <c r="T21" s="44">
        <f t="shared" si="1"/>
        <v>2.899796875</v>
      </c>
      <c r="U21" s="44">
        <f t="shared" si="10"/>
        <v>1.77</v>
      </c>
      <c r="V21" s="46">
        <f t="shared" si="3"/>
        <v>3.52324</v>
      </c>
      <c r="W21" s="45">
        <f t="shared" si="16"/>
        <v>0.57</v>
      </c>
      <c r="X21" s="46">
        <f t="shared" si="5"/>
        <v>0.509274150316286</v>
      </c>
      <c r="Y21" s="42">
        <f t="shared" si="6"/>
        <v>0.8</v>
      </c>
      <c r="Z21" s="47">
        <v>0</v>
      </c>
      <c r="AA21" s="47">
        <v>0</v>
      </c>
      <c r="AB21" s="48">
        <v>0</v>
      </c>
      <c r="AC21" s="23">
        <f t="shared" si="13"/>
        <v>86735.5406488414</v>
      </c>
      <c r="AD21" s="32">
        <v>24</v>
      </c>
      <c r="AE21" s="32">
        <v>23</v>
      </c>
    </row>
    <row r="22" s="1" customFormat="1" ht="15" spans="1:31">
      <c r="B22" s="51" t="s">
        <v>52</v>
      </c>
      <c r="C22" s="52"/>
      <c r="D22" s="51"/>
      <c r="E22" s="53"/>
      <c r="F22" s="54" t="s">
        <v>53</v>
      </c>
      <c r="G22" s="55">
        <f>MIN(100%,SUM(G16:G21))</f>
        <v>0.755</v>
      </c>
      <c r="H22" s="54" t="s">
        <v>54</v>
      </c>
      <c r="I22" s="55">
        <f>SUM(I16:I21)</f>
        <v>3.03</v>
      </c>
      <c r="J22" s="56"/>
      <c r="K22" s="71"/>
      <c r="L22" s="51"/>
      <c r="M22" s="52"/>
      <c r="O22" s="40">
        <v>1</v>
      </c>
      <c r="P22" s="23" t="s">
        <v>106</v>
      </c>
      <c r="Q22" s="41">
        <f t="shared" si="14"/>
        <v>3.4793</v>
      </c>
      <c r="R22" s="42" t="s">
        <v>96</v>
      </c>
      <c r="S22" s="43">
        <f t="shared" si="15"/>
        <v>3993.392</v>
      </c>
      <c r="T22" s="44">
        <f t="shared" si="1"/>
        <v>2.899796875</v>
      </c>
      <c r="U22" s="44">
        <f t="shared" si="10"/>
        <v>1.77</v>
      </c>
      <c r="V22" s="46">
        <f t="shared" si="3"/>
        <v>3.53302</v>
      </c>
      <c r="W22" s="45">
        <f t="shared" si="16"/>
        <v>0.57</v>
      </c>
      <c r="X22" s="46">
        <f t="shared" si="5"/>
        <v>0.509274150316286</v>
      </c>
      <c r="Y22" s="42">
        <f t="shared" si="6"/>
        <v>0.8</v>
      </c>
      <c r="Z22" s="47">
        <v>0</v>
      </c>
      <c r="AA22" s="47">
        <v>0</v>
      </c>
      <c r="AB22" s="48">
        <v>0</v>
      </c>
      <c r="AC22" s="23">
        <f>Q22*$C$4*(1+T22)*(1+U22)*V22*(1+W22)*X22*Y22*(1+Z22)*(1+AA22)*(1+AB22)*O21</f>
        <v>86976.3058500612</v>
      </c>
      <c r="AD22" s="32">
        <v>24</v>
      </c>
      <c r="AE22" s="32">
        <v>24</v>
      </c>
    </row>
    <row r="23" s="1" customFormat="1" ht="15" spans="1:31">
      <c r="B23" s="57"/>
      <c r="C23" s="57"/>
      <c r="E23" s="58"/>
      <c r="F23" s="20" t="s">
        <v>55</v>
      </c>
      <c r="G23" s="59">
        <f>MAX(0,SUM(G16:G21)-1)</f>
        <v>0</v>
      </c>
      <c r="J23" s="2"/>
      <c r="K23" s="2"/>
      <c r="O23" s="34">
        <v>1</v>
      </c>
      <c r="P23" s="23" t="s">
        <v>108</v>
      </c>
      <c r="Q23" s="81">
        <f>(27.84%+13.92%*2)*3</f>
        <v>1.6704</v>
      </c>
      <c r="R23" s="82" t="s">
        <v>96</v>
      </c>
      <c r="S23" s="43">
        <f t="shared" si="15"/>
        <v>3993.392</v>
      </c>
      <c r="T23" s="83">
        <f t="shared" si="1"/>
        <v>2.899796875</v>
      </c>
      <c r="U23" s="44">
        <f t="shared" si="10"/>
        <v>1.77</v>
      </c>
      <c r="V23" s="46">
        <f t="shared" si="3"/>
        <v>3.4939</v>
      </c>
      <c r="W23" s="84">
        <f t="shared" si="16"/>
        <v>0.57</v>
      </c>
      <c r="X23" s="85">
        <f t="shared" si="5"/>
        <v>0.509274150316286</v>
      </c>
      <c r="Y23" s="82">
        <f t="shared" si="6"/>
        <v>0.8</v>
      </c>
      <c r="Z23" s="86">
        <v>0</v>
      </c>
      <c r="AA23" s="86">
        <v>0</v>
      </c>
      <c r="AB23" s="70">
        <v>0</v>
      </c>
      <c r="AC23" s="23">
        <f>Q23*$C$4*(1+T23)*(1+U23)*V23*(1+W23)*X23*Y23*(1+Z23)*(1+AA23)*(1+AB23)*O22</f>
        <v>41294.6640196223</v>
      </c>
      <c r="AD23" s="32">
        <v>24</v>
      </c>
      <c r="AE23" s="32">
        <v>20</v>
      </c>
    </row>
    <row r="24" s="1" customFormat="1" ht="15" spans="1:31">
      <c r="B24" s="57"/>
      <c r="C24" s="57"/>
      <c r="E24" s="58"/>
      <c r="J24" s="2"/>
      <c r="K24" s="2"/>
      <c r="O24" s="65">
        <v>1</v>
      </c>
      <c r="P24" s="89" t="s">
        <v>109</v>
      </c>
      <c r="Q24" s="90">
        <v>1.69</v>
      </c>
      <c r="R24" s="91" t="s">
        <v>110</v>
      </c>
      <c r="S24" s="92">
        <f t="shared" ref="S24:S35" si="17">$C$16*(1+$C$17+$C$18+$C$19+$C$20)+($C$21+$C$22)</f>
        <v>2317.4</v>
      </c>
      <c r="T24" s="93">
        <f t="shared" ref="T24:T35" si="18">($C$17+$C$18+$C$19+$C$20)+($C$21+$C$22)/$C$16</f>
        <v>1.57488888888889</v>
      </c>
      <c r="U24" s="93">
        <f>IF(R24=$C$13,SUM($E$16:$E$21),SUM($E$16:$E$20))-12%</f>
        <v>1</v>
      </c>
      <c r="V24" s="94">
        <f t="shared" ref="V24:V34" si="19">1+$G$22*($I$22-1)</f>
        <v>2.53265</v>
      </c>
      <c r="W24" s="95">
        <f t="shared" ref="W24:W35" si="20">IF(R24=$C$1,$K$16+$K$17,$K$16)</f>
        <v>0.25</v>
      </c>
      <c r="X24" s="94">
        <f t="shared" ref="X24:X35" si="21">$AH$3</f>
        <v>0.488431876606684</v>
      </c>
      <c r="Y24" s="91">
        <f t="shared" si="6"/>
        <v>0.8</v>
      </c>
      <c r="Z24" s="96">
        <v>0</v>
      </c>
      <c r="AA24" s="96">
        <v>0</v>
      </c>
      <c r="AB24" s="39">
        <v>0</v>
      </c>
      <c r="AC24" s="97">
        <f t="shared" ref="AC24:AC35" si="22">Q24*$C$16*(1+T24)*(1+U24)*V24*(1+W24)*X24*Y24*(1+Z24)*(1+AA24)*(1+AB24)*O24</f>
        <v>9689.39986951671</v>
      </c>
    </row>
    <row r="25" s="1" customFormat="1" ht="15" spans="1:31">
      <c r="A25" s="72"/>
      <c r="B25" s="73" t="s">
        <v>139</v>
      </c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O25" s="98">
        <v>1</v>
      </c>
      <c r="P25" s="89" t="s">
        <v>111</v>
      </c>
      <c r="Q25" s="49">
        <v>1.472</v>
      </c>
      <c r="R25" s="57" t="s">
        <v>83</v>
      </c>
      <c r="S25" s="99">
        <f t="shared" si="17"/>
        <v>2317.4</v>
      </c>
      <c r="T25" s="100">
        <f t="shared" si="18"/>
        <v>1.57488888888889</v>
      </c>
      <c r="U25" s="100">
        <f>IF(R25=$C$13,SUM($E$16:$E$21),SUM($E$16:$E$20))-12%</f>
        <v>1</v>
      </c>
      <c r="V25" s="101">
        <f t="shared" si="19"/>
        <v>2.53265</v>
      </c>
      <c r="W25" s="102">
        <f t="shared" si="20"/>
        <v>0.25</v>
      </c>
      <c r="X25" s="101">
        <f t="shared" si="21"/>
        <v>0.488431876606684</v>
      </c>
      <c r="Y25" s="57">
        <f t="shared" si="6"/>
        <v>0.8</v>
      </c>
      <c r="Z25" s="103">
        <v>0</v>
      </c>
      <c r="AA25" s="103">
        <v>0</v>
      </c>
      <c r="AB25" s="36">
        <v>0</v>
      </c>
      <c r="AC25" s="97">
        <f t="shared" si="22"/>
        <v>8439.52462007609</v>
      </c>
    </row>
    <row r="26" s="1" customFormat="1" ht="15" spans="1:31">
      <c r="A26" s="72" t="s">
        <v>140</v>
      </c>
      <c r="B26" s="74" t="s">
        <v>24</v>
      </c>
      <c r="C26" s="75"/>
      <c r="D26" s="74" t="s">
        <v>10</v>
      </c>
      <c r="E26" s="75"/>
      <c r="F26" s="74" t="s">
        <v>25</v>
      </c>
      <c r="G26" s="75"/>
      <c r="H26" s="74" t="s">
        <v>26</v>
      </c>
      <c r="I26" s="75"/>
      <c r="J26" s="74" t="s">
        <v>12</v>
      </c>
      <c r="K26" s="75"/>
      <c r="L26" s="74" t="s">
        <v>141</v>
      </c>
      <c r="M26" s="75"/>
      <c r="O26" s="98">
        <v>1</v>
      </c>
      <c r="P26" s="89" t="s">
        <v>42</v>
      </c>
      <c r="Q26" s="49">
        <v>1.061</v>
      </c>
      <c r="R26" s="57" t="s">
        <v>42</v>
      </c>
      <c r="S26" s="99">
        <f t="shared" si="17"/>
        <v>2317.4</v>
      </c>
      <c r="T26" s="100">
        <f t="shared" si="18"/>
        <v>1.57488888888889</v>
      </c>
      <c r="U26" s="100">
        <f>IF(R26=$C$13,SUM($E$16:$E$21),SUM($E$16:$E$20))-6%</f>
        <v>1.06</v>
      </c>
      <c r="V26" s="101">
        <f t="shared" si="19"/>
        <v>2.53265</v>
      </c>
      <c r="W26" s="102">
        <f t="shared" si="20"/>
        <v>0.25</v>
      </c>
      <c r="X26" s="101">
        <f t="shared" si="21"/>
        <v>0.488431876606684</v>
      </c>
      <c r="Y26" s="57">
        <f t="shared" si="6"/>
        <v>0.8</v>
      </c>
      <c r="Z26" s="103">
        <v>0</v>
      </c>
      <c r="AA26" s="103">
        <v>0</v>
      </c>
      <c r="AB26" s="36">
        <v>0</v>
      </c>
      <c r="AC26" s="97">
        <f t="shared" si="22"/>
        <v>6265.601691955</v>
      </c>
    </row>
    <row r="27" s="1" customFormat="1" ht="15" spans="1:31">
      <c r="A27" s="72">
        <v>1357</v>
      </c>
      <c r="B27" s="76" t="s">
        <v>28</v>
      </c>
      <c r="C27" s="77">
        <f>288+337</f>
        <v>625</v>
      </c>
      <c r="D27" s="76" t="s">
        <v>29</v>
      </c>
      <c r="E27" s="78"/>
      <c r="F27" s="76" t="s">
        <v>142</v>
      </c>
      <c r="G27" s="79">
        <v>0.05</v>
      </c>
      <c r="H27" s="76" t="s">
        <v>142</v>
      </c>
      <c r="I27" s="78">
        <v>1.5</v>
      </c>
      <c r="J27" s="80" t="s">
        <v>31</v>
      </c>
      <c r="K27" s="78">
        <f>25%</f>
        <v>0.25</v>
      </c>
      <c r="L27" s="76" t="s">
        <v>140</v>
      </c>
      <c r="M27" s="79">
        <f>10.9%*3</f>
        <v>0.327</v>
      </c>
      <c r="O27" s="98">
        <v>1</v>
      </c>
      <c r="P27" s="89" t="s">
        <v>117</v>
      </c>
      <c r="Q27" s="49">
        <v>1.9623</v>
      </c>
      <c r="R27" s="57" t="s">
        <v>83</v>
      </c>
      <c r="S27" s="99">
        <f t="shared" si="17"/>
        <v>2317.4</v>
      </c>
      <c r="T27" s="100">
        <f t="shared" si="18"/>
        <v>1.57488888888889</v>
      </c>
      <c r="U27" s="100">
        <f t="shared" ref="U27:U35" si="23">IF(R27=$C$13,SUM($E$16:$E$21),SUM($E$16:$E$20))</f>
        <v>1.12</v>
      </c>
      <c r="V27" s="101">
        <f t="shared" si="19"/>
        <v>2.53265</v>
      </c>
      <c r="W27" s="102">
        <f t="shared" si="20"/>
        <v>0.25</v>
      </c>
      <c r="X27" s="101">
        <f t="shared" si="21"/>
        <v>0.488431876606684</v>
      </c>
      <c r="Y27" s="57">
        <f t="shared" ref="Y27:Y35" si="24">$AH$12</f>
        <v>0.92</v>
      </c>
      <c r="Z27" s="103">
        <v>0</v>
      </c>
      <c r="AA27" s="103">
        <v>0</v>
      </c>
      <c r="AB27" s="36">
        <v>0</v>
      </c>
      <c r="AC27" s="97">
        <f t="shared" si="22"/>
        <v>13714.4780560108</v>
      </c>
    </row>
    <row r="28" s="1" customFormat="1" ht="15" spans="1:31">
      <c r="A28" s="87">
        <f>16%+7.6*2%</f>
        <v>0.312</v>
      </c>
      <c r="B28" s="76" t="s">
        <v>143</v>
      </c>
      <c r="C28" s="78"/>
      <c r="D28" s="76" t="s">
        <v>144</v>
      </c>
      <c r="E28" s="78"/>
      <c r="F28" s="76" t="s">
        <v>35</v>
      </c>
      <c r="G28" s="79"/>
      <c r="H28" s="76" t="s">
        <v>145</v>
      </c>
      <c r="I28" s="79">
        <v>0.2</v>
      </c>
      <c r="J28" s="88" t="s">
        <v>146</v>
      </c>
      <c r="K28" s="79"/>
      <c r="L28" s="76" t="s">
        <v>25</v>
      </c>
      <c r="M28" s="79">
        <f>2*8.1%</f>
        <v>0.162</v>
      </c>
      <c r="O28" s="98">
        <v>1</v>
      </c>
      <c r="P28" s="89" t="s">
        <v>118</v>
      </c>
      <c r="Q28" s="49">
        <v>1.9801</v>
      </c>
      <c r="R28" s="57" t="s">
        <v>1</v>
      </c>
      <c r="S28" s="99">
        <f t="shared" si="17"/>
        <v>2317.4</v>
      </c>
      <c r="T28" s="100">
        <f t="shared" si="18"/>
        <v>1.57488888888889</v>
      </c>
      <c r="U28" s="100">
        <f t="shared" si="23"/>
        <v>1.606</v>
      </c>
      <c r="V28" s="101">
        <f t="shared" si="19"/>
        <v>2.53265</v>
      </c>
      <c r="W28" s="102">
        <f t="shared" si="20"/>
        <v>0.25</v>
      </c>
      <c r="X28" s="101">
        <f t="shared" si="21"/>
        <v>0.488431876606684</v>
      </c>
      <c r="Y28" s="57">
        <f t="shared" si="24"/>
        <v>0.92</v>
      </c>
      <c r="Z28" s="103">
        <v>0</v>
      </c>
      <c r="AA28" s="103">
        <v>0</v>
      </c>
      <c r="AB28" s="36">
        <v>0</v>
      </c>
      <c r="AC28" s="97">
        <f t="shared" si="22"/>
        <v>17011.3803268571</v>
      </c>
    </row>
    <row r="29" s="1" customFormat="1" ht="15" spans="1:31">
      <c r="A29" s="87">
        <f>36%+M27</f>
        <v>0.687</v>
      </c>
      <c r="B29" s="76" t="s">
        <v>147</v>
      </c>
      <c r="C29" s="78"/>
      <c r="D29" s="76" t="s">
        <v>148</v>
      </c>
      <c r="E29" s="78"/>
      <c r="F29" s="76" t="s">
        <v>41</v>
      </c>
      <c r="G29" s="79"/>
      <c r="H29" s="76" t="s">
        <v>149</v>
      </c>
      <c r="I29" s="79"/>
      <c r="J29" s="88" t="s">
        <v>150</v>
      </c>
      <c r="K29" s="79"/>
      <c r="L29" s="76" t="s">
        <v>45</v>
      </c>
      <c r="M29" s="79">
        <f>3*16.2%</f>
        <v>0.486</v>
      </c>
      <c r="O29" s="98">
        <v>1</v>
      </c>
      <c r="P29" s="89" t="s">
        <v>120</v>
      </c>
      <c r="Q29" s="49">
        <v>3.76</v>
      </c>
      <c r="R29" s="57" t="s">
        <v>1</v>
      </c>
      <c r="S29" s="99">
        <f t="shared" si="17"/>
        <v>2317.4</v>
      </c>
      <c r="T29" s="100">
        <f t="shared" si="18"/>
        <v>1.57488888888889</v>
      </c>
      <c r="U29" s="100">
        <f t="shared" si="23"/>
        <v>1.606</v>
      </c>
      <c r="V29" s="101">
        <f t="shared" si="19"/>
        <v>2.53265</v>
      </c>
      <c r="W29" s="102">
        <f t="shared" si="20"/>
        <v>0.25</v>
      </c>
      <c r="X29" s="101">
        <f t="shared" si="21"/>
        <v>0.488431876606684</v>
      </c>
      <c r="Y29" s="57">
        <f t="shared" si="24"/>
        <v>0.92</v>
      </c>
      <c r="Z29" s="103">
        <v>0</v>
      </c>
      <c r="AA29" s="103">
        <v>0</v>
      </c>
      <c r="AB29" s="36">
        <v>0</v>
      </c>
      <c r="AC29" s="97">
        <f t="shared" si="22"/>
        <v>32302.80795363</v>
      </c>
    </row>
    <row r="30" s="1" customFormat="1" ht="15" spans="1:31">
      <c r="A30" s="87">
        <v>0.418</v>
      </c>
      <c r="B30" s="76" t="s">
        <v>145</v>
      </c>
      <c r="C30" s="104">
        <f>25%+15%</f>
        <v>0.4</v>
      </c>
      <c r="D30" s="76" t="s">
        <v>151</v>
      </c>
      <c r="E30" s="78">
        <f>40%</f>
        <v>0.4</v>
      </c>
      <c r="F30" s="76" t="s">
        <v>145</v>
      </c>
      <c r="G30" s="79">
        <f>M29</f>
        <v>0.486</v>
      </c>
      <c r="H30" s="76"/>
      <c r="I30" s="79"/>
      <c r="J30" s="88"/>
      <c r="K30" s="79"/>
      <c r="L30" s="76" t="s">
        <v>152</v>
      </c>
      <c r="M30" s="79">
        <f>8.6%*2</f>
        <v>0.172</v>
      </c>
      <c r="O30" s="98">
        <v>1</v>
      </c>
      <c r="P30" s="89" t="s">
        <v>122</v>
      </c>
      <c r="Q30" s="49">
        <v>4.9033</v>
      </c>
      <c r="R30" s="57" t="s">
        <v>1</v>
      </c>
      <c r="S30" s="99">
        <f t="shared" si="17"/>
        <v>2317.4</v>
      </c>
      <c r="T30" s="100">
        <f t="shared" si="18"/>
        <v>1.57488888888889</v>
      </c>
      <c r="U30" s="100">
        <f t="shared" si="23"/>
        <v>1.606</v>
      </c>
      <c r="V30" s="101">
        <f t="shared" si="19"/>
        <v>2.53265</v>
      </c>
      <c r="W30" s="102">
        <f t="shared" si="20"/>
        <v>0.25</v>
      </c>
      <c r="X30" s="101">
        <f t="shared" si="21"/>
        <v>0.488431876606684</v>
      </c>
      <c r="Y30" s="57">
        <f t="shared" si="24"/>
        <v>0.92</v>
      </c>
      <c r="Z30" s="103">
        <v>0</v>
      </c>
      <c r="AA30" s="103">
        <v>0</v>
      </c>
      <c r="AB30" s="36">
        <v>0</v>
      </c>
      <c r="AC30" s="97">
        <f t="shared" si="22"/>
        <v>42125.0952763388</v>
      </c>
    </row>
    <row r="31" s="1" customFormat="1" ht="15" spans="1:31">
      <c r="A31" s="105">
        <v>0.2</v>
      </c>
      <c r="B31" s="76" t="s">
        <v>153</v>
      </c>
      <c r="C31" s="104"/>
      <c r="D31" s="76" t="s">
        <v>154</v>
      </c>
      <c r="E31" s="172"/>
      <c r="F31" s="76" t="s">
        <v>121</v>
      </c>
      <c r="G31" s="79"/>
      <c r="H31" s="76" t="s">
        <v>121</v>
      </c>
      <c r="I31" s="79"/>
      <c r="J31" s="88"/>
      <c r="K31" s="79"/>
      <c r="L31" s="76"/>
      <c r="M31" s="79"/>
      <c r="O31" s="98">
        <v>1</v>
      </c>
      <c r="P31" s="89" t="s">
        <v>123</v>
      </c>
      <c r="Q31" s="49">
        <v>13.3598</v>
      </c>
      <c r="R31" s="57" t="s">
        <v>1</v>
      </c>
      <c r="S31" s="99">
        <f t="shared" si="17"/>
        <v>2317.4</v>
      </c>
      <c r="T31" s="100">
        <f t="shared" si="18"/>
        <v>1.57488888888889</v>
      </c>
      <c r="U31" s="100">
        <f t="shared" si="23"/>
        <v>1.606</v>
      </c>
      <c r="V31" s="101">
        <f t="shared" si="19"/>
        <v>2.53265</v>
      </c>
      <c r="W31" s="102">
        <f t="shared" si="20"/>
        <v>0.25</v>
      </c>
      <c r="X31" s="101">
        <f t="shared" si="21"/>
        <v>0.488431876606684</v>
      </c>
      <c r="Y31" s="57">
        <f t="shared" si="24"/>
        <v>0.92</v>
      </c>
      <c r="Z31" s="103">
        <v>0</v>
      </c>
      <c r="AA31" s="103">
        <v>0</v>
      </c>
      <c r="AB31" s="36">
        <v>0</v>
      </c>
      <c r="AC31" s="97">
        <f t="shared" si="22"/>
        <v>114776.344068858</v>
      </c>
    </row>
    <row r="32" s="1" customFormat="1" ht="15" spans="1:31">
      <c r="A32" s="72"/>
      <c r="B32" s="76" t="s">
        <v>49</v>
      </c>
      <c r="C32" s="77">
        <v>350</v>
      </c>
      <c r="D32" s="76" t="s">
        <v>93</v>
      </c>
      <c r="E32" s="78"/>
      <c r="F32" s="106" t="s">
        <v>53</v>
      </c>
      <c r="G32" s="107">
        <f>MIN(100%,SUM(G27:G31))</f>
        <v>0.536</v>
      </c>
      <c r="H32" s="106" t="s">
        <v>54</v>
      </c>
      <c r="I32" s="108">
        <f>SUM(I27:I31)</f>
        <v>1.7</v>
      </c>
      <c r="J32" s="88"/>
      <c r="K32" s="79"/>
      <c r="L32" s="76"/>
      <c r="M32" s="77"/>
      <c r="O32" s="98">
        <v>1</v>
      </c>
      <c r="P32" s="89" t="s">
        <v>118</v>
      </c>
      <c r="Q32" s="49">
        <v>1.9801</v>
      </c>
      <c r="R32" s="57" t="s">
        <v>1</v>
      </c>
      <c r="S32" s="99">
        <f t="shared" si="17"/>
        <v>2317.4</v>
      </c>
      <c r="T32" s="100">
        <f t="shared" si="18"/>
        <v>1.57488888888889</v>
      </c>
      <c r="U32" s="100">
        <f t="shared" si="23"/>
        <v>1.606</v>
      </c>
      <c r="V32" s="101">
        <f t="shared" si="19"/>
        <v>2.53265</v>
      </c>
      <c r="W32" s="102">
        <f t="shared" si="20"/>
        <v>0.25</v>
      </c>
      <c r="X32" s="101">
        <f t="shared" si="21"/>
        <v>0.488431876606684</v>
      </c>
      <c r="Y32" s="57">
        <f t="shared" si="24"/>
        <v>0.92</v>
      </c>
      <c r="Z32" s="103">
        <v>0</v>
      </c>
      <c r="AA32" s="103">
        <v>0</v>
      </c>
      <c r="AB32" s="36">
        <v>0</v>
      </c>
      <c r="AC32" s="97">
        <f t="shared" si="22"/>
        <v>17011.3803268571</v>
      </c>
    </row>
    <row r="33" s="1" customFormat="1" ht="15" spans="1:29">
      <c r="A33" s="72"/>
      <c r="B33" s="109" t="s">
        <v>52</v>
      </c>
      <c r="C33" s="110"/>
      <c r="D33" s="109" t="s">
        <v>94</v>
      </c>
      <c r="E33" s="111"/>
      <c r="F33" s="109"/>
      <c r="G33" s="112"/>
      <c r="H33" s="109"/>
      <c r="I33" s="110"/>
      <c r="J33" s="113"/>
      <c r="K33" s="112"/>
      <c r="L33" s="109"/>
      <c r="M33" s="110"/>
      <c r="N33" s="114"/>
      <c r="O33" s="98">
        <v>1</v>
      </c>
      <c r="P33" s="89" t="s">
        <v>124</v>
      </c>
      <c r="Q33" s="49">
        <v>1.0599</v>
      </c>
      <c r="R33" s="57" t="s">
        <v>1</v>
      </c>
      <c r="S33" s="99">
        <f t="shared" si="17"/>
        <v>2317.4</v>
      </c>
      <c r="T33" s="100">
        <f t="shared" si="18"/>
        <v>1.57488888888889</v>
      </c>
      <c r="U33" s="100">
        <f t="shared" si="23"/>
        <v>1.606</v>
      </c>
      <c r="V33" s="101">
        <f t="shared" si="19"/>
        <v>2.53265</v>
      </c>
      <c r="W33" s="102">
        <f t="shared" si="20"/>
        <v>0.25</v>
      </c>
      <c r="X33" s="101">
        <f t="shared" si="21"/>
        <v>0.488431876606684</v>
      </c>
      <c r="Y33" s="57">
        <f t="shared" si="24"/>
        <v>0.92</v>
      </c>
      <c r="Z33" s="103">
        <v>0</v>
      </c>
      <c r="AA33" s="103">
        <v>0</v>
      </c>
      <c r="AB33" s="36">
        <v>0</v>
      </c>
      <c r="AC33" s="97">
        <f t="shared" si="22"/>
        <v>9105.78355054586</v>
      </c>
    </row>
    <row r="34" s="1" customFormat="1" ht="15" spans="1:29">
      <c r="A34" s="72">
        <f>A27*(1+A28+A29+A30+A31)</f>
        <v>3551.269</v>
      </c>
      <c r="B34" s="115"/>
      <c r="C34" s="115">
        <f>C27*(1+C30)+C32</f>
        <v>1225</v>
      </c>
      <c r="D34" s="115"/>
      <c r="E34" s="115"/>
      <c r="F34" s="115" t="s">
        <v>155</v>
      </c>
      <c r="G34" s="116"/>
      <c r="H34" s="115"/>
      <c r="I34" s="115"/>
      <c r="J34" s="115"/>
      <c r="K34" s="115"/>
      <c r="L34" s="115"/>
      <c r="M34" s="115"/>
      <c r="N34" s="57"/>
      <c r="O34" s="98">
        <v>0</v>
      </c>
      <c r="P34" s="89" t="s">
        <v>130</v>
      </c>
      <c r="Q34" s="49">
        <v>3.1056</v>
      </c>
      <c r="R34" s="57" t="s">
        <v>96</v>
      </c>
      <c r="S34" s="99">
        <f t="shared" si="17"/>
        <v>2317.4</v>
      </c>
      <c r="T34" s="100">
        <f t="shared" si="18"/>
        <v>1.57488888888889</v>
      </c>
      <c r="U34" s="100">
        <f t="shared" si="23"/>
        <v>1.12</v>
      </c>
      <c r="V34" s="101">
        <f t="shared" si="19"/>
        <v>2.53265</v>
      </c>
      <c r="W34" s="102">
        <f t="shared" si="20"/>
        <v>0.25</v>
      </c>
      <c r="X34" s="101">
        <f t="shared" si="21"/>
        <v>0.488431876606684</v>
      </c>
      <c r="Y34" s="57">
        <f t="shared" si="24"/>
        <v>0.92</v>
      </c>
      <c r="Z34" s="103">
        <v>0</v>
      </c>
      <c r="AA34" s="103">
        <v>0</v>
      </c>
      <c r="AB34" s="36">
        <v>0</v>
      </c>
      <c r="AC34" s="97">
        <f t="shared" si="22"/>
        <v>0</v>
      </c>
    </row>
    <row r="35" s="1" customFormat="1" ht="15" spans="1:29">
      <c r="A35" s="117"/>
      <c r="B35" s="118"/>
      <c r="C35" s="118"/>
      <c r="D35" s="118"/>
      <c r="E35" s="118"/>
      <c r="F35" s="118"/>
      <c r="G35" s="119"/>
      <c r="N35" s="57"/>
      <c r="O35" s="127">
        <v>1</v>
      </c>
      <c r="P35" s="89" t="s">
        <v>131</v>
      </c>
      <c r="Q35" s="56">
        <v>3.7804</v>
      </c>
      <c r="R35" s="128" t="s">
        <v>1</v>
      </c>
      <c r="S35" s="129">
        <f t="shared" si="17"/>
        <v>2317.4</v>
      </c>
      <c r="T35" s="130">
        <f t="shared" si="18"/>
        <v>1.57488888888889</v>
      </c>
      <c r="U35" s="130">
        <f t="shared" si="23"/>
        <v>1.606</v>
      </c>
      <c r="V35" s="131">
        <f>1+$G$22*($I$22-1+25%)</f>
        <v>2.7214</v>
      </c>
      <c r="W35" s="132">
        <f t="shared" si="20"/>
        <v>0.25</v>
      </c>
      <c r="X35" s="131">
        <f t="shared" si="21"/>
        <v>0.488431876606684</v>
      </c>
      <c r="Y35" s="128">
        <f t="shared" si="24"/>
        <v>0.92</v>
      </c>
      <c r="Z35" s="133">
        <v>0</v>
      </c>
      <c r="AA35" s="133">
        <v>0</v>
      </c>
      <c r="AB35" s="53">
        <v>0</v>
      </c>
      <c r="AC35" s="97">
        <f t="shared" si="22"/>
        <v>34898.5504902105</v>
      </c>
    </row>
    <row r="36" s="1" customFormat="1" ht="15" spans="1:29">
      <c r="B36" s="120" t="s">
        <v>68</v>
      </c>
      <c r="C36" s="1" t="s">
        <v>112</v>
      </c>
      <c r="D36" s="1" t="s">
        <v>113</v>
      </c>
      <c r="E36" s="1" t="s">
        <v>114</v>
      </c>
      <c r="F36" s="1" t="s">
        <v>115</v>
      </c>
      <c r="G36" s="2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</row>
    <row r="37" s="1" customFormat="1" ht="15" spans="1:29">
      <c r="B37" s="121" t="s">
        <v>156</v>
      </c>
      <c r="C37" s="122" t="s">
        <v>70</v>
      </c>
      <c r="D37" s="122" t="s">
        <v>71</v>
      </c>
      <c r="E37" s="122" t="s">
        <v>72</v>
      </c>
      <c r="F37" s="122" t="s">
        <v>73</v>
      </c>
      <c r="G37" s="2"/>
      <c r="N37" s="57"/>
      <c r="O37" s="34">
        <f>$O$38</f>
        <v>1.5</v>
      </c>
      <c r="P37" s="57" t="s">
        <v>67</v>
      </c>
      <c r="Q37" s="100">
        <v>2.9822</v>
      </c>
      <c r="R37" s="57" t="s">
        <v>66</v>
      </c>
      <c r="S37" s="57">
        <v>10027</v>
      </c>
      <c r="T37" s="100">
        <v>0</v>
      </c>
      <c r="U37" s="100">
        <v>0</v>
      </c>
      <c r="V37" s="101">
        <v>1</v>
      </c>
      <c r="W37" s="102">
        <v>0</v>
      </c>
      <c r="X37" s="101">
        <f t="shared" ref="X37:X45" si="25">$AH$3</f>
        <v>0.488431876606684</v>
      </c>
      <c r="Y37" s="137">
        <f>$AH$13</f>
        <v>0.8</v>
      </c>
      <c r="Z37" s="103">
        <v>0</v>
      </c>
      <c r="AA37" s="103">
        <v>0</v>
      </c>
      <c r="AB37" s="36">
        <v>0.5</v>
      </c>
      <c r="AC37" s="138">
        <f>Q37*S37*(1+T37)*(1+U37)*V37*(1+W37)*X37*Y37*(1+Z37)*(1+AA37)*(1+AB37)*O37</f>
        <v>26289.6185984576</v>
      </c>
    </row>
    <row r="38" s="1" customFormat="1" ht="15" spans="1:29">
      <c r="B38" s="4" t="s">
        <v>84</v>
      </c>
      <c r="C38" s="123">
        <f>SUM(AC3:AC23)</f>
        <v>2498531.60628701</v>
      </c>
      <c r="D38" s="123">
        <f t="shared" ref="D38:D41" si="26">C38/$E$38</f>
        <v>99941.2642514805</v>
      </c>
      <c r="E38" s="124">
        <v>25</v>
      </c>
      <c r="F38" s="125">
        <f t="shared" ref="F38:F41" si="27">C38/$C$42</f>
        <v>0.834236090721267</v>
      </c>
      <c r="G38" s="2"/>
      <c r="O38" s="20">
        <v>1.5</v>
      </c>
      <c r="P38" s="137" t="s">
        <v>74</v>
      </c>
      <c r="Q38" s="145">
        <v>16</v>
      </c>
      <c r="R38" s="137" t="s">
        <v>75</v>
      </c>
      <c r="S38" s="137">
        <v>10027</v>
      </c>
      <c r="T38" s="145">
        <v>0</v>
      </c>
      <c r="U38" s="145">
        <v>0</v>
      </c>
      <c r="V38" s="146">
        <v>1</v>
      </c>
      <c r="W38" s="147">
        <v>0</v>
      </c>
      <c r="X38" s="146">
        <f t="shared" si="25"/>
        <v>0.488431876606684</v>
      </c>
      <c r="Y38" s="137">
        <f>$AH$13</f>
        <v>0.8</v>
      </c>
      <c r="Z38" s="148">
        <v>0</v>
      </c>
      <c r="AA38" s="148">
        <v>0</v>
      </c>
      <c r="AB38" s="148">
        <v>0.1</v>
      </c>
      <c r="AC38" s="149">
        <f>Q38*S38*(1+T38)*(1+U38)*V38*(1+W38)*X38*Y38*(1+Z38)*(1+AA38)*(1+AB38)*O38</f>
        <v>103435.335732648</v>
      </c>
    </row>
    <row r="39" s="1" customFormat="1" ht="15" spans="1:29">
      <c r="A39" s="1" t="s">
        <v>157</v>
      </c>
      <c r="B39" s="4" t="s">
        <v>100</v>
      </c>
      <c r="C39" s="123">
        <f>SUM(AC24:AC35)</f>
        <v>305340.346230856</v>
      </c>
      <c r="D39" s="123">
        <f t="shared" si="26"/>
        <v>12213.6138492342</v>
      </c>
      <c r="E39" s="126"/>
      <c r="F39" s="125">
        <f t="shared" si="27"/>
        <v>0.101950255957597</v>
      </c>
      <c r="G39" s="2"/>
      <c r="Q39" s="2"/>
      <c r="U39" s="2"/>
      <c r="V39" s="3"/>
      <c r="AB39" s="4"/>
      <c r="AC39" s="4"/>
    </row>
    <row r="40" s="1" customFormat="1" ht="15" spans="1:29">
      <c r="B40" s="4" t="s">
        <v>139</v>
      </c>
      <c r="C40" s="123">
        <f>SUM(AC40:AC45)+AC37</f>
        <v>87686.1363648362</v>
      </c>
      <c r="D40" s="123">
        <f t="shared" si="26"/>
        <v>3507.44545459345</v>
      </c>
      <c r="E40" s="134"/>
      <c r="F40" s="125">
        <f t="shared" si="27"/>
        <v>0.0292775722457881</v>
      </c>
      <c r="G40" s="2"/>
      <c r="O40" s="66">
        <v>1</v>
      </c>
      <c r="P40" s="155" t="s">
        <v>158</v>
      </c>
      <c r="Q40" s="90">
        <v>2.0279</v>
      </c>
      <c r="R40" s="91" t="s">
        <v>110</v>
      </c>
      <c r="S40" s="92">
        <f t="shared" ref="S40:S43" si="28">C$34</f>
        <v>1225</v>
      </c>
      <c r="T40" s="93">
        <f t="shared" ref="T40:T43" si="29">S40/$C$27-1</f>
        <v>0.96</v>
      </c>
      <c r="U40" s="93">
        <f t="shared" ref="U40:U43" si="30">E$30</f>
        <v>0.4</v>
      </c>
      <c r="V40" s="94">
        <f t="shared" ref="V40:V43" si="31">1+$G$32*($I$32-1)</f>
        <v>1.3752</v>
      </c>
      <c r="W40" s="95">
        <f t="shared" ref="W40:W45" si="32">K$27</f>
        <v>0.25</v>
      </c>
      <c r="X40" s="94">
        <f t="shared" si="25"/>
        <v>0.488431876606684</v>
      </c>
      <c r="Y40" s="91">
        <f t="shared" ref="Y40:Y45" si="33">$AH$14</f>
        <v>0.8</v>
      </c>
      <c r="Z40" s="96">
        <v>0</v>
      </c>
      <c r="AA40" s="96">
        <v>0</v>
      </c>
      <c r="AB40" s="39">
        <v>0</v>
      </c>
      <c r="AC40" s="155">
        <f t="shared" ref="AC40:AC43" si="34">Q40*$C$27*(1+T40)*(1+U40)*V40*(1+W40)*X40*Y40*(1+Z40)*(1+AA40)*(1+AB40)*O40</f>
        <v>2336.0413338509</v>
      </c>
    </row>
    <row r="41" s="1" customFormat="1" ht="15" spans="1:29">
      <c r="B41" s="4" t="s">
        <v>74</v>
      </c>
      <c r="C41" s="123">
        <f>AC38</f>
        <v>103435.335732648</v>
      </c>
      <c r="D41" s="123">
        <f t="shared" si="26"/>
        <v>4137.41342930591</v>
      </c>
      <c r="E41" s="134"/>
      <c r="F41" s="125">
        <f t="shared" si="27"/>
        <v>0.0345360810753473</v>
      </c>
      <c r="G41" s="2"/>
      <c r="O41" s="34">
        <v>1</v>
      </c>
      <c r="P41" s="155" t="s">
        <v>159</v>
      </c>
      <c r="Q41" s="49">
        <f>22.27%+16.71%*2+23.86%+23.86%+17.9%*4+41.36%+10.34%*6</f>
        <v>2.7841</v>
      </c>
      <c r="R41" s="57" t="s">
        <v>1</v>
      </c>
      <c r="S41" s="99">
        <f t="shared" si="28"/>
        <v>1225</v>
      </c>
      <c r="T41" s="100">
        <f t="shared" si="29"/>
        <v>0.96</v>
      </c>
      <c r="U41" s="100">
        <f t="shared" si="30"/>
        <v>0.4</v>
      </c>
      <c r="V41" s="101">
        <f t="shared" si="31"/>
        <v>1.3752</v>
      </c>
      <c r="W41" s="102">
        <f t="shared" si="32"/>
        <v>0.25</v>
      </c>
      <c r="X41" s="101">
        <f t="shared" si="25"/>
        <v>0.488431876606684</v>
      </c>
      <c r="Y41" s="57">
        <f t="shared" si="33"/>
        <v>0.8</v>
      </c>
      <c r="Z41" s="103">
        <v>0</v>
      </c>
      <c r="AA41" s="103">
        <v>0</v>
      </c>
      <c r="AB41" s="36">
        <v>0</v>
      </c>
      <c r="AC41" s="155">
        <f t="shared" si="34"/>
        <v>3207.14664311568</v>
      </c>
    </row>
    <row r="42" s="1" customFormat="1" ht="15" spans="1:29">
      <c r="B42" s="4" t="s">
        <v>82</v>
      </c>
      <c r="C42" s="139">
        <f>SUM(C38:C41)</f>
        <v>2994993.42461535</v>
      </c>
      <c r="D42" s="139">
        <f>C42/E38</f>
        <v>119799.736984614</v>
      </c>
      <c r="E42" s="140"/>
      <c r="F42" s="141"/>
      <c r="G42" s="2"/>
      <c r="O42" s="34">
        <v>1</v>
      </c>
      <c r="P42" s="155" t="s">
        <v>160</v>
      </c>
      <c r="Q42" s="49">
        <f>39.77%*4</f>
        <v>1.5908</v>
      </c>
      <c r="R42" s="57" t="s">
        <v>83</v>
      </c>
      <c r="S42" s="99">
        <f t="shared" si="28"/>
        <v>1225</v>
      </c>
      <c r="T42" s="100">
        <f t="shared" si="29"/>
        <v>0.96</v>
      </c>
      <c r="U42" s="100">
        <f t="shared" si="30"/>
        <v>0.4</v>
      </c>
      <c r="V42" s="101">
        <f t="shared" si="31"/>
        <v>1.3752</v>
      </c>
      <c r="W42" s="102">
        <f t="shared" si="32"/>
        <v>0.25</v>
      </c>
      <c r="X42" s="101">
        <f t="shared" si="25"/>
        <v>0.488431876606684</v>
      </c>
      <c r="Y42" s="57">
        <f t="shared" si="33"/>
        <v>0.8</v>
      </c>
      <c r="Z42" s="103">
        <v>0</v>
      </c>
      <c r="AA42" s="103">
        <v>0</v>
      </c>
      <c r="AB42" s="36">
        <v>0</v>
      </c>
      <c r="AC42" s="155">
        <f t="shared" si="34"/>
        <v>1832.52357310026</v>
      </c>
    </row>
    <row r="43" s="1" customFormat="1" ht="15" spans="1:29">
      <c r="B43" s="4"/>
      <c r="C43" s="4"/>
      <c r="D43" s="4"/>
      <c r="G43" s="2"/>
      <c r="O43" s="34">
        <v>1</v>
      </c>
      <c r="P43" s="155" t="s">
        <v>95</v>
      </c>
      <c r="Q43" s="49">
        <v>3.51</v>
      </c>
      <c r="R43" s="57" t="s">
        <v>96</v>
      </c>
      <c r="S43" s="99">
        <f t="shared" si="28"/>
        <v>1225</v>
      </c>
      <c r="T43" s="100">
        <f t="shared" si="29"/>
        <v>0.96</v>
      </c>
      <c r="U43" s="100">
        <f t="shared" si="30"/>
        <v>0.4</v>
      </c>
      <c r="V43" s="101">
        <f t="shared" si="31"/>
        <v>1.3752</v>
      </c>
      <c r="W43" s="102">
        <f t="shared" si="32"/>
        <v>0.25</v>
      </c>
      <c r="X43" s="101">
        <f t="shared" si="25"/>
        <v>0.488431876606684</v>
      </c>
      <c r="Y43" s="57">
        <f t="shared" si="33"/>
        <v>0.8</v>
      </c>
      <c r="Z43" s="103">
        <v>0</v>
      </c>
      <c r="AA43" s="103">
        <v>0</v>
      </c>
      <c r="AB43" s="36">
        <v>0</v>
      </c>
      <c r="AC43" s="155">
        <f t="shared" si="34"/>
        <v>4043.34783856041</v>
      </c>
    </row>
    <row r="44" s="1" customFormat="1" ht="15" spans="1:29">
      <c r="B44" s="151" t="s">
        <v>125</v>
      </c>
      <c r="C44" s="152" t="s">
        <v>126</v>
      </c>
      <c r="D44" s="152" t="s">
        <v>128</v>
      </c>
      <c r="E44" s="152"/>
      <c r="F44" s="153"/>
      <c r="G44" s="167"/>
      <c r="H44" s="1">
        <v>84385</v>
      </c>
      <c r="O44" s="34">
        <v>1</v>
      </c>
      <c r="P44" s="155" t="s">
        <v>161</v>
      </c>
      <c r="Q44" s="49">
        <v>5.2233</v>
      </c>
      <c r="R44" s="57" t="s">
        <v>120</v>
      </c>
      <c r="S44" s="99">
        <f>A34</f>
        <v>3551.269</v>
      </c>
      <c r="T44" s="100">
        <v>0</v>
      </c>
      <c r="U44" s="100">
        <f>E$30+M30</f>
        <v>0.572</v>
      </c>
      <c r="V44" s="101">
        <f>I32+1.6</f>
        <v>3.3</v>
      </c>
      <c r="W44" s="102">
        <f t="shared" si="32"/>
        <v>0.25</v>
      </c>
      <c r="X44" s="101">
        <f t="shared" si="25"/>
        <v>0.488431876606684</v>
      </c>
      <c r="Y44" s="57">
        <f t="shared" si="33"/>
        <v>0.8</v>
      </c>
      <c r="Z44" s="103">
        <v>0</v>
      </c>
      <c r="AA44" s="103">
        <v>0</v>
      </c>
      <c r="AB44" s="36">
        <v>0</v>
      </c>
      <c r="AC44" s="155">
        <f>Q44*S44*(1+T44)*(1+U44)*V44*(1+W44)*X44*Y44*(1+Z44)*(1+AA44)*(1+AB44)*O44</f>
        <v>47000.1259493915</v>
      </c>
    </row>
    <row r="45" s="1" customFormat="1" ht="15" spans="1:29">
      <c r="B45" s="156"/>
      <c r="C45" s="157" t="s">
        <v>162</v>
      </c>
      <c r="D45" s="157" t="s">
        <v>129</v>
      </c>
      <c r="E45" s="157"/>
      <c r="F45" s="158"/>
      <c r="G45" s="2"/>
      <c r="H45" s="1">
        <v>94885</v>
      </c>
      <c r="O45" s="51">
        <v>1</v>
      </c>
      <c r="P45" s="155" t="s">
        <v>163</v>
      </c>
      <c r="Q45" s="56">
        <f>258.46%</f>
        <v>2.5846</v>
      </c>
      <c r="R45" s="128" t="s">
        <v>83</v>
      </c>
      <c r="S45" s="129">
        <f>C$34</f>
        <v>1225</v>
      </c>
      <c r="T45" s="130">
        <f>S45/$C$27-1</f>
        <v>0.96</v>
      </c>
      <c r="U45" s="130">
        <f>E$30</f>
        <v>0.4</v>
      </c>
      <c r="V45" s="131">
        <f>1+$G$32*($I$32-1)</f>
        <v>1.3752</v>
      </c>
      <c r="W45" s="132">
        <f t="shared" si="32"/>
        <v>0.25</v>
      </c>
      <c r="X45" s="131">
        <f t="shared" si="25"/>
        <v>0.488431876606684</v>
      </c>
      <c r="Y45" s="128">
        <f t="shared" si="33"/>
        <v>0.8</v>
      </c>
      <c r="Z45" s="133">
        <v>0</v>
      </c>
      <c r="AA45" s="133">
        <v>0</v>
      </c>
      <c r="AB45" s="53">
        <v>0</v>
      </c>
      <c r="AC45" s="155">
        <f>Q45*$C$27*(1+T45)*(1+U45)*V45*(1+W45)*X45*Y45*(1+Z45)*(1+AA45)*(1+AB45)*O45</f>
        <v>2977.3324283599</v>
      </c>
    </row>
    <row r="46" s="1" customFormat="1" spans="1:29">
      <c r="B46" s="159"/>
      <c r="C46" s="159"/>
      <c r="D46" s="159"/>
      <c r="E46" s="159"/>
      <c r="F46" s="159"/>
      <c r="G46" s="2"/>
      <c r="H46" s="1">
        <v>119800</v>
      </c>
      <c r="Q46" s="2"/>
      <c r="U46" s="2"/>
      <c r="V46" s="3"/>
      <c r="AB46" s="4"/>
      <c r="AC46" s="4"/>
    </row>
    <row r="47" s="1" customFormat="1" ht="15" spans="1:29">
      <c r="B47" s="160" t="s">
        <v>132</v>
      </c>
      <c r="C47" s="161" t="s">
        <v>133</v>
      </c>
      <c r="D47" s="161" t="s">
        <v>134</v>
      </c>
      <c r="E47" s="91"/>
      <c r="F47" s="162"/>
      <c r="Q47" s="2"/>
      <c r="U47" s="2"/>
      <c r="V47" s="3"/>
      <c r="AB47" s="4"/>
      <c r="AC47" s="4"/>
    </row>
    <row r="48" s="1" customFormat="1" ht="15" spans="1:29">
      <c r="B48" s="163"/>
      <c r="C48" s="134" t="s">
        <v>164</v>
      </c>
      <c r="D48" s="134" t="s">
        <v>165</v>
      </c>
      <c r="F48" s="164"/>
      <c r="G48" s="2"/>
      <c r="Q48" s="2"/>
      <c r="U48" s="2"/>
      <c r="V48" s="3"/>
      <c r="AB48" s="4"/>
      <c r="AC48" s="4"/>
    </row>
    <row r="49" s="1" customFormat="1" ht="15" spans="2:29">
      <c r="B49" s="165"/>
      <c r="C49" s="166" t="s">
        <v>166</v>
      </c>
      <c r="D49" s="166" t="s">
        <v>167</v>
      </c>
      <c r="E49" s="128"/>
      <c r="F49" s="52"/>
      <c r="G49" s="2"/>
      <c r="Q49" s="2"/>
      <c r="U49" s="2"/>
      <c r="V49" s="3"/>
      <c r="AB49" s="4"/>
      <c r="AC49" s="4"/>
    </row>
    <row r="50" s="1" customFormat="1" spans="2:29">
      <c r="B50" s="4"/>
      <c r="C50" s="4"/>
      <c r="D50" s="4"/>
      <c r="F50" s="4"/>
      <c r="G50" s="2"/>
      <c r="Q50" s="2"/>
      <c r="U50" s="2"/>
      <c r="V50" s="3"/>
      <c r="AB50" s="4"/>
      <c r="AC50" s="4"/>
    </row>
    <row r="51" s="1" customFormat="1" spans="2:29">
      <c r="B51" s="4"/>
      <c r="C51" s="4"/>
      <c r="D51" s="4"/>
      <c r="F51" s="4"/>
      <c r="G51" s="2"/>
      <c r="Q51" s="2"/>
      <c r="U51" s="2"/>
      <c r="V51" s="3"/>
      <c r="AB51" s="4"/>
      <c r="AC51" s="4"/>
    </row>
    <row r="52" s="1" customFormat="1" spans="2:29">
      <c r="G52" s="2"/>
      <c r="Q52" s="2"/>
      <c r="U52" s="2"/>
      <c r="V52" s="3"/>
      <c r="AB52" s="4"/>
      <c r="AC52" s="4"/>
    </row>
    <row r="53" s="1" customFormat="1" spans="2:29">
      <c r="B53" s="4"/>
      <c r="C53" s="4"/>
      <c r="D53" s="4"/>
      <c r="F53" s="4"/>
      <c r="G53" s="2"/>
      <c r="Q53" s="2"/>
      <c r="U53" s="2"/>
      <c r="V53" s="3"/>
      <c r="AB53" s="4"/>
      <c r="AC53" s="4"/>
    </row>
    <row r="54" s="1" customFormat="1" spans="2:29">
      <c r="B54" s="4"/>
      <c r="C54" s="4"/>
      <c r="D54" s="4"/>
      <c r="F54" s="4"/>
      <c r="G54" s="2"/>
      <c r="Q54" s="2"/>
      <c r="U54" s="2"/>
      <c r="V54" s="3"/>
      <c r="AB54" s="4"/>
      <c r="AC54" s="4"/>
    </row>
    <row r="55" s="1" customFormat="1" spans="2:29">
      <c r="G55" s="2"/>
      <c r="Q55" s="2"/>
      <c r="U55" s="2"/>
      <c r="V55" s="3"/>
      <c r="AB55" s="4"/>
      <c r="AC55" s="4"/>
    </row>
    <row r="56" s="1" customFormat="1" spans="2:29">
      <c r="B56" s="4"/>
      <c r="C56" s="4"/>
      <c r="D56" s="4"/>
      <c r="F56" s="4"/>
      <c r="G56" s="2"/>
      <c r="Q56" s="2"/>
      <c r="U56" s="2"/>
      <c r="V56" s="3"/>
      <c r="AB56" s="4"/>
      <c r="AC56" s="4"/>
    </row>
    <row r="57" s="1" customFormat="1" spans="2:29">
      <c r="B57" s="4"/>
      <c r="C57" s="4"/>
      <c r="D57" s="4"/>
      <c r="G57" s="2"/>
      <c r="Q57" s="2"/>
      <c r="U57" s="2"/>
      <c r="V57" s="3"/>
      <c r="AB57" s="4"/>
      <c r="AC57" s="4"/>
    </row>
    <row r="59" s="1" customFormat="1" spans="2:29">
      <c r="B59" s="4"/>
      <c r="C59" s="4"/>
      <c r="D59" s="4"/>
      <c r="G59" s="2"/>
      <c r="Q59" s="2"/>
      <c r="U59" s="2"/>
      <c r="V59" s="3"/>
      <c r="AB59" s="4"/>
      <c r="AC59" s="4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5:M25"/>
    <mergeCell ref="B26:C26"/>
    <mergeCell ref="D26:E26"/>
    <mergeCell ref="F26:G26"/>
    <mergeCell ref="H26:I26"/>
    <mergeCell ref="J26:K26"/>
    <mergeCell ref="L26:M2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9"/>
  <sheetViews>
    <sheetView tabSelected="1" topLeftCell="A9" workbookViewId="0">
      <selection activeCell="I31" sqref="I31"/>
    </sheetView>
  </sheetViews>
  <sheetFormatPr defaultColWidth="9.69090909090909" defaultRowHeight="14"/>
  <cols>
    <col min="1" max="1" width="7.54545454545455" style="1" customWidth="1"/>
    <col min="2" max="2" width="15" style="1" customWidth="1"/>
    <col min="3" max="3" width="15.3636363636364" style="1" customWidth="1"/>
    <col min="4" max="4" width="13.9090909090909" style="1" customWidth="1"/>
    <col min="5" max="5" width="9.54545454545454" style="1" customWidth="1"/>
    <col min="6" max="6" width="13.9090909090909" style="1" customWidth="1"/>
    <col min="7" max="7" width="8.45454545454546" style="2" customWidth="1"/>
    <col min="8" max="8" width="13.9090909090909" style="1" customWidth="1"/>
    <col min="9" max="9" width="8.45454545454546" style="1" customWidth="1"/>
    <col min="10" max="10" width="11.6363636363636" style="1" customWidth="1"/>
    <col min="11" max="11" width="4.72727272727273" style="1" customWidth="1"/>
    <col min="12" max="12" width="9.54545454545454" style="1" customWidth="1"/>
    <col min="13" max="13" width="7.36363636363636" style="1" customWidth="1"/>
    <col min="14" max="14" width="5.54545454545455" style="1" customWidth="1"/>
    <col min="15" max="15" width="6.09090909090909" style="1" customWidth="1"/>
    <col min="16" max="16" width="17.2727272727273" style="1" customWidth="1"/>
    <col min="17" max="17" width="9.54545454545454" style="2" customWidth="1"/>
    <col min="18" max="18" width="6.09090909090909" style="1" customWidth="1"/>
    <col min="19" max="19" width="10.4545454545455" style="1" customWidth="1"/>
    <col min="20" max="20" width="8.45454545454546" style="1" customWidth="1"/>
    <col min="21" max="21" width="8.45454545454546" style="2" customWidth="1"/>
    <col min="22" max="22" width="8.27272727272727" style="3" customWidth="1"/>
    <col min="23" max="25" width="8.27272727272727" style="1" customWidth="1"/>
    <col min="26" max="26" width="10.4545454545455" style="1" customWidth="1"/>
    <col min="27" max="27" width="8.27272727272727" style="1" customWidth="1"/>
    <col min="28" max="28" width="10.4545454545455" style="4" customWidth="1"/>
    <col min="29" max="29" width="9.45454545454546" style="4" customWidth="1"/>
    <col min="30" max="31" width="5.90909090909091" style="1" customWidth="1"/>
    <col min="32" max="32" width="9.54545454545454" style="1" customWidth="1"/>
    <col min="33" max="33" width="5.90909090909091" style="1" customWidth="1"/>
    <col min="34" max="34" width="8" style="1" customWidth="1"/>
    <col min="35" max="35" width="9.54545454545454" style="1" customWidth="1"/>
    <col min="36" max="16384" width="9.69090909090909" style="1"/>
  </cols>
  <sheetData>
    <row r="1" s="1" customFormat="1" ht="14.75" spans="2:35">
      <c r="B1" s="5" t="s">
        <v>0</v>
      </c>
      <c r="C1" s="5" t="s">
        <v>83</v>
      </c>
      <c r="D1" s="6" t="s">
        <v>2</v>
      </c>
      <c r="E1" s="6">
        <v>2</v>
      </c>
      <c r="Q1" s="2"/>
      <c r="U1" s="2"/>
      <c r="V1" s="3"/>
      <c r="AB1" s="4"/>
      <c r="AC1" s="4"/>
    </row>
    <row r="2" s="1" customFormat="1" ht="15" spans="2:35">
      <c r="B2" s="7" t="s">
        <v>84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4</v>
      </c>
      <c r="P2" s="11" t="s">
        <v>5</v>
      </c>
      <c r="Q2" s="12" t="s">
        <v>6</v>
      </c>
      <c r="R2" s="11" t="s">
        <v>7</v>
      </c>
      <c r="S2" s="11" t="s">
        <v>8</v>
      </c>
      <c r="T2" s="13" t="s">
        <v>9</v>
      </c>
      <c r="U2" s="12" t="s">
        <v>10</v>
      </c>
      <c r="V2" s="14" t="s">
        <v>11</v>
      </c>
      <c r="W2" s="11" t="s">
        <v>12</v>
      </c>
      <c r="X2" s="11" t="s">
        <v>13</v>
      </c>
      <c r="Y2" s="11" t="s">
        <v>14</v>
      </c>
      <c r="Z2" s="11" t="s">
        <v>15</v>
      </c>
      <c r="AA2" s="11" t="s">
        <v>16</v>
      </c>
      <c r="AB2" s="15" t="s">
        <v>17</v>
      </c>
      <c r="AC2" s="16" t="s">
        <v>18</v>
      </c>
      <c r="AD2" s="17" t="s">
        <v>85</v>
      </c>
      <c r="AE2" s="17" t="s">
        <v>86</v>
      </c>
      <c r="AF2" s="18" t="s">
        <v>21</v>
      </c>
      <c r="AG2" s="18" t="s">
        <v>22</v>
      </c>
      <c r="AH2" s="19" t="s">
        <v>13</v>
      </c>
      <c r="AI2" s="19" t="s">
        <v>23</v>
      </c>
    </row>
    <row r="3" s="1" customFormat="1" ht="15" spans="2:35">
      <c r="B3" s="20" t="s">
        <v>24</v>
      </c>
      <c r="C3" s="21"/>
      <c r="D3" s="20" t="s">
        <v>10</v>
      </c>
      <c r="E3" s="21"/>
      <c r="F3" s="20" t="s">
        <v>25</v>
      </c>
      <c r="G3" s="21"/>
      <c r="H3" s="20" t="s">
        <v>26</v>
      </c>
      <c r="I3" s="21"/>
      <c r="J3" s="20" t="s">
        <v>12</v>
      </c>
      <c r="K3" s="21"/>
      <c r="L3" s="20" t="s">
        <v>27</v>
      </c>
      <c r="M3" s="21"/>
      <c r="O3" s="22">
        <v>1</v>
      </c>
      <c r="P3" s="23" t="s">
        <v>87</v>
      </c>
      <c r="Q3" s="24">
        <v>5.9643</v>
      </c>
      <c r="R3" s="25" t="s">
        <v>83</v>
      </c>
      <c r="S3" s="26">
        <f>$C$4*(1+C$5+C$6+C$7+C$8)+C$9</f>
        <v>2764.592</v>
      </c>
      <c r="T3" s="27">
        <f>S3/$C$4-1</f>
        <v>1.699796875</v>
      </c>
      <c r="U3" s="27">
        <f>IF(R3=$C$1,SUM($E$4:$E$9),SUM($E$4:$E$8))</f>
        <v>1.912</v>
      </c>
      <c r="V3" s="28">
        <f>1+$G$10*($I$10-1+AD3*2.5%+AE3*1%)</f>
        <v>3.52324</v>
      </c>
      <c r="W3" s="29">
        <f>IF(R3=$C$1,$K$4+$K$5,$K$4)</f>
        <v>0.7</v>
      </c>
      <c r="X3" s="28">
        <f>$AH$4</f>
        <v>0.509274150316286</v>
      </c>
      <c r="Y3" s="25">
        <f>$AH$11</f>
        <v>0.8</v>
      </c>
      <c r="Z3" s="30">
        <v>0</v>
      </c>
      <c r="AA3" s="30">
        <v>0</v>
      </c>
      <c r="AB3" s="31">
        <v>0</v>
      </c>
      <c r="AC3" s="23">
        <f>Q3*$C$4*(1+T3)*(1+U3)*V3*(1+W3)*X3*Y3*(1+Z3)*(1+AA3)*(1+AB3)*O3</f>
        <v>117169.524321869</v>
      </c>
      <c r="AD3" s="32">
        <v>24</v>
      </c>
      <c r="AE3" s="32">
        <v>23</v>
      </c>
      <c r="AF3" s="18">
        <v>0</v>
      </c>
      <c r="AG3" s="18">
        <v>0</v>
      </c>
      <c r="AH3" s="19">
        <f t="shared" ref="AH3:AH8" si="0">1520/(1520+(792+8*AI3)*(1-AG3/100))</f>
        <v>0.488431876606684</v>
      </c>
      <c r="AI3" s="33">
        <v>100</v>
      </c>
    </row>
    <row r="4" s="1" customFormat="1" ht="15" spans="2:35">
      <c r="B4" s="34" t="s">
        <v>28</v>
      </c>
      <c r="C4" s="35">
        <f>437+587</f>
        <v>1024</v>
      </c>
      <c r="D4" s="34" t="s">
        <v>29</v>
      </c>
      <c r="E4" s="36">
        <f>E1*30%</f>
        <v>0.6</v>
      </c>
      <c r="F4" s="34" t="s">
        <v>30</v>
      </c>
      <c r="G4" s="37">
        <v>0.13</v>
      </c>
      <c r="H4" s="34" t="s">
        <v>30</v>
      </c>
      <c r="I4" s="37">
        <v>1.5</v>
      </c>
      <c r="J4" s="38" t="s">
        <v>31</v>
      </c>
      <c r="K4" s="39">
        <f>25%+20%</f>
        <v>0.45</v>
      </c>
      <c r="L4" s="34" t="s">
        <v>32</v>
      </c>
      <c r="M4" s="37">
        <f>8.6%*3</f>
        <v>0.258</v>
      </c>
      <c r="O4" s="40">
        <v>1</v>
      </c>
      <c r="P4" s="23" t="s">
        <v>88</v>
      </c>
      <c r="Q4" s="41">
        <f>39.23%+26.15%*2</f>
        <v>0.9153</v>
      </c>
      <c r="R4" s="42" t="s">
        <v>1</v>
      </c>
      <c r="S4" s="43">
        <f>$C$4*(1+C$5+C$6+C$7+C$8)+C$9</f>
        <v>2764.592</v>
      </c>
      <c r="T4" s="44">
        <f>S4/$C$4-1</f>
        <v>1.699796875</v>
      </c>
      <c r="U4" s="44">
        <f>IF(R4=$C$1,SUM($E$4:$E$9),SUM($E$4:$E$8))</f>
        <v>1.42</v>
      </c>
      <c r="V4" s="28">
        <f t="shared" ref="V4:V27" si="1">1+$G$10*($I$10-1+AD4*2.5%+AE4*1%)</f>
        <v>3.52324</v>
      </c>
      <c r="W4" s="45">
        <f>IF(R4=$C$1,$K$4+$K$5,$K$4)</f>
        <v>0.45</v>
      </c>
      <c r="X4" s="46">
        <f>$AH$4</f>
        <v>0.509274150316286</v>
      </c>
      <c r="Y4" s="42">
        <f>$AH$11</f>
        <v>0.8</v>
      </c>
      <c r="Z4" s="47">
        <v>0</v>
      </c>
      <c r="AA4" s="47">
        <v>0</v>
      </c>
      <c r="AB4" s="48">
        <v>0</v>
      </c>
      <c r="AC4" s="23">
        <f t="shared" ref="AC4:AC16" si="2">Q4*$C$4*(1+T4)*(1+U4)*V4*(1+W4)*X4*Y4*(1+Z4)*(1+AA4)*(1+AB4)*O4</f>
        <v>12745.6422785653</v>
      </c>
      <c r="AD4" s="32">
        <v>24</v>
      </c>
      <c r="AE4" s="32">
        <v>23</v>
      </c>
      <c r="AF4" s="18">
        <v>8</v>
      </c>
      <c r="AG4" s="18">
        <v>0</v>
      </c>
      <c r="AH4" s="19">
        <f>1520/(1520+(792+8*AI4)*(1-AG4/100)*(1-AF4/100))</f>
        <v>0.509274150316286</v>
      </c>
      <c r="AI4" s="33">
        <v>100</v>
      </c>
    </row>
    <row r="5" s="1" customFormat="1" ht="15" spans="2:35">
      <c r="B5" s="34" t="s">
        <v>33</v>
      </c>
      <c r="C5" s="37">
        <f>12%+12%</f>
        <v>0.24</v>
      </c>
      <c r="D5" s="34" t="s">
        <v>34</v>
      </c>
      <c r="E5" s="36">
        <f>12%+10%</f>
        <v>0.22</v>
      </c>
      <c r="F5" s="34" t="s">
        <v>35</v>
      </c>
      <c r="G5" s="37">
        <v>0.243</v>
      </c>
      <c r="H5" s="34" t="s">
        <v>35</v>
      </c>
      <c r="I5" s="37">
        <v>0</v>
      </c>
      <c r="J5" s="49" t="s">
        <v>89</v>
      </c>
      <c r="K5" s="36">
        <v>0.25</v>
      </c>
      <c r="L5" s="34" t="s">
        <v>37</v>
      </c>
      <c r="M5" s="37">
        <f>8.6%*2</f>
        <v>0.172</v>
      </c>
      <c r="O5" s="40">
        <v>1</v>
      </c>
      <c r="P5" s="23" t="s">
        <v>168</v>
      </c>
      <c r="Q5" s="41">
        <v>2.1642</v>
      </c>
      <c r="R5" s="42" t="s">
        <v>96</v>
      </c>
      <c r="S5" s="43">
        <f>$C$4*(1+C$5+C$6+C$7+C$8)+C$9</f>
        <v>2764.592</v>
      </c>
      <c r="T5" s="44">
        <f>S5/$C$4-1</f>
        <v>1.699796875</v>
      </c>
      <c r="U5" s="44">
        <f>IF(R5=$C$1,SUM($E$4:$E$9),SUM($E$4:$E$8))+$E$10</f>
        <v>1.97</v>
      </c>
      <c r="V5" s="28">
        <f t="shared" si="1"/>
        <v>3.60148</v>
      </c>
      <c r="W5" s="45">
        <f>IF(R5=$C$1,$K$4+$K$5,$K$4)+$K$6</f>
        <v>1.57</v>
      </c>
      <c r="X5" s="46">
        <f>$AH$4</f>
        <v>0.509274150316286</v>
      </c>
      <c r="Y5" s="42">
        <f>$AH$11</f>
        <v>0.8</v>
      </c>
      <c r="Z5" s="47">
        <v>0</v>
      </c>
      <c r="AA5" s="47">
        <v>0</v>
      </c>
      <c r="AB5" s="48">
        <v>0</v>
      </c>
      <c r="AC5" s="23">
        <f t="shared" si="2"/>
        <v>67010.1576268653</v>
      </c>
      <c r="AD5" s="32">
        <v>24</v>
      </c>
      <c r="AE5" s="32">
        <v>31</v>
      </c>
      <c r="AF5" s="18">
        <v>0</v>
      </c>
      <c r="AG5" s="18">
        <v>30</v>
      </c>
      <c r="AH5" s="19">
        <f t="shared" si="0"/>
        <v>0.57698147585788</v>
      </c>
      <c r="AI5" s="33">
        <v>100</v>
      </c>
    </row>
    <row r="6" s="1" customFormat="1" ht="15" spans="2:35">
      <c r="B6" s="34" t="s">
        <v>39</v>
      </c>
      <c r="C6" s="37">
        <f>18%+18%+M4+(2-E1)*30%</f>
        <v>0.618</v>
      </c>
      <c r="D6" s="34" t="s">
        <v>40</v>
      </c>
      <c r="E6" s="36"/>
      <c r="F6" s="34" t="s">
        <v>41</v>
      </c>
      <c r="G6" s="37">
        <v>0.2</v>
      </c>
      <c r="H6" s="34" t="s">
        <v>41</v>
      </c>
      <c r="I6" s="37">
        <v>0</v>
      </c>
      <c r="J6" s="49" t="s">
        <v>91</v>
      </c>
      <c r="K6" s="36">
        <f>32%+80%</f>
        <v>1.12</v>
      </c>
      <c r="L6" s="34" t="s">
        <v>25</v>
      </c>
      <c r="M6" s="37">
        <f>8.1*5%</f>
        <v>0.405</v>
      </c>
      <c r="O6" s="40">
        <v>1</v>
      </c>
      <c r="P6" s="23" t="s">
        <v>90</v>
      </c>
      <c r="Q6" s="41">
        <f>37.88%*4+117.88%*3</f>
        <v>5.0516</v>
      </c>
      <c r="R6" s="42" t="s">
        <v>83</v>
      </c>
      <c r="S6" s="43">
        <f>$C$4*(1+C$5+C$6+C$7+C$8)+C$9</f>
        <v>2764.592</v>
      </c>
      <c r="T6" s="44">
        <f>S6/$C$4-1</f>
        <v>1.699796875</v>
      </c>
      <c r="U6" s="44">
        <f>IF(R6=$C$1,SUM($E$4:$E$9),SUM($E$4:$E$8))</f>
        <v>1.912</v>
      </c>
      <c r="V6" s="28">
        <f t="shared" si="1"/>
        <v>3.60148</v>
      </c>
      <c r="W6" s="45">
        <f>IF(R6=$C$1,$K$4+$K$5,$K$4)</f>
        <v>0.7</v>
      </c>
      <c r="X6" s="46">
        <f>$AH$4</f>
        <v>0.509274150316286</v>
      </c>
      <c r="Y6" s="42">
        <f>$AH$11</f>
        <v>0.8</v>
      </c>
      <c r="Z6" s="47">
        <v>0.8</v>
      </c>
      <c r="AA6" s="47">
        <v>0</v>
      </c>
      <c r="AB6" s="48">
        <v>0</v>
      </c>
      <c r="AC6" s="23">
        <f t="shared" si="2"/>
        <v>182597.751718765</v>
      </c>
      <c r="AD6" s="32">
        <v>24</v>
      </c>
      <c r="AE6" s="32">
        <v>31</v>
      </c>
      <c r="AF6" s="18">
        <v>0</v>
      </c>
      <c r="AG6" s="18">
        <v>21.6</v>
      </c>
      <c r="AH6" s="19">
        <f t="shared" si="0"/>
        <v>0.549107555719967</v>
      </c>
      <c r="AI6" s="33">
        <v>100</v>
      </c>
    </row>
    <row r="7" s="1" customFormat="1" ht="15" spans="2:35">
      <c r="B7" s="34" t="s">
        <v>43</v>
      </c>
      <c r="C7" s="37"/>
      <c r="D7" s="34" t="s">
        <v>44</v>
      </c>
      <c r="E7" s="36">
        <f>40%</f>
        <v>0.4</v>
      </c>
      <c r="F7" s="34" t="s">
        <v>39</v>
      </c>
      <c r="G7" s="37">
        <f>M6</f>
        <v>0.405</v>
      </c>
      <c r="H7" s="34" t="s">
        <v>39</v>
      </c>
      <c r="I7" s="37">
        <f>M7+44%</f>
        <v>1.25</v>
      </c>
      <c r="J7" s="49"/>
      <c r="K7" s="36"/>
      <c r="L7" s="34" t="s">
        <v>45</v>
      </c>
      <c r="M7" s="36">
        <f>16.2%*5</f>
        <v>0.81</v>
      </c>
      <c r="O7" s="40">
        <v>1</v>
      </c>
      <c r="P7" s="23" t="s">
        <v>83</v>
      </c>
      <c r="Q7" s="41">
        <f>105.97%*2</f>
        <v>2.1194</v>
      </c>
      <c r="R7" s="42" t="s">
        <v>83</v>
      </c>
      <c r="S7" s="43">
        <f t="shared" ref="S7:S11" si="3">$C$4*(1+C$5+C$6+C$7+C$8)+C$9</f>
        <v>2764.592</v>
      </c>
      <c r="T7" s="44">
        <f t="shared" ref="T7:T11" si="4">S7/$C$4-1</f>
        <v>1.699796875</v>
      </c>
      <c r="U7" s="44">
        <f>IF(R7=$C$1,SUM($E$4:$E$9),SUM($E$4:$E$8))</f>
        <v>1.912</v>
      </c>
      <c r="V7" s="28">
        <f t="shared" si="1"/>
        <v>3.60148</v>
      </c>
      <c r="W7" s="45">
        <f>IF(R7=$C$1,$K$4+$K$5,$K$4)</f>
        <v>0.7</v>
      </c>
      <c r="X7" s="46">
        <f t="shared" ref="X7:X11" si="5">$AH$4</f>
        <v>0.509274150316286</v>
      </c>
      <c r="Y7" s="42">
        <f t="shared" ref="Y7:Y11" si="6">$AH$11</f>
        <v>0.8</v>
      </c>
      <c r="Z7" s="47">
        <v>0</v>
      </c>
      <c r="AA7" s="47">
        <v>0</v>
      </c>
      <c r="AB7" s="48">
        <v>0</v>
      </c>
      <c r="AC7" s="23">
        <f t="shared" si="2"/>
        <v>42560.5171290889</v>
      </c>
      <c r="AD7" s="32">
        <v>24</v>
      </c>
      <c r="AE7" s="32">
        <v>31</v>
      </c>
      <c r="AF7" s="18">
        <v>0</v>
      </c>
      <c r="AG7" s="18">
        <v>28.8</v>
      </c>
      <c r="AH7" s="19">
        <f t="shared" si="0"/>
        <v>0.572827476423627</v>
      </c>
      <c r="AI7" s="33">
        <v>100</v>
      </c>
    </row>
    <row r="8" s="1" customFormat="1" ht="15" spans="2:35">
      <c r="B8" s="34" t="s">
        <v>46</v>
      </c>
      <c r="C8" s="37">
        <f>25%+25%</f>
        <v>0.5</v>
      </c>
      <c r="D8" s="34" t="s">
        <v>47</v>
      </c>
      <c r="E8" s="50">
        <v>0.2</v>
      </c>
      <c r="F8" s="34" t="s">
        <v>48</v>
      </c>
      <c r="G8" s="37">
        <v>0</v>
      </c>
      <c r="H8" s="34" t="s">
        <v>48</v>
      </c>
      <c r="I8" s="37">
        <v>0</v>
      </c>
      <c r="J8" s="49"/>
      <c r="K8" s="36"/>
      <c r="L8" s="34"/>
      <c r="M8" s="35"/>
      <c r="O8" s="40">
        <v>1</v>
      </c>
      <c r="P8" s="23" t="s">
        <v>168</v>
      </c>
      <c r="Q8" s="41">
        <v>2.1642</v>
      </c>
      <c r="R8" s="42" t="s">
        <v>96</v>
      </c>
      <c r="S8" s="43">
        <f t="shared" si="3"/>
        <v>2764.592</v>
      </c>
      <c r="T8" s="44">
        <f t="shared" si="4"/>
        <v>1.699796875</v>
      </c>
      <c r="U8" s="44">
        <f>IF(R8=$C$1,SUM($E$4:$E$9),SUM($E$4:$E$8))+$E$10</f>
        <v>1.97</v>
      </c>
      <c r="V8" s="28">
        <f t="shared" si="1"/>
        <v>3.67972</v>
      </c>
      <c r="W8" s="45">
        <f>IF(R8=$C$1,$K$4+$K$5,$K$4)+$K$6</f>
        <v>1.57</v>
      </c>
      <c r="X8" s="46">
        <f t="shared" si="5"/>
        <v>0.509274150316286</v>
      </c>
      <c r="Y8" s="42">
        <f t="shared" si="6"/>
        <v>0.8</v>
      </c>
      <c r="Z8" s="47">
        <v>0</v>
      </c>
      <c r="AA8" s="47">
        <v>0</v>
      </c>
      <c r="AB8" s="48">
        <v>0</v>
      </c>
      <c r="AC8" s="23">
        <f t="shared" si="2"/>
        <v>68465.9132419808</v>
      </c>
      <c r="AD8" s="32">
        <v>24</v>
      </c>
      <c r="AE8" s="32">
        <v>39</v>
      </c>
      <c r="AF8" s="18">
        <v>0</v>
      </c>
      <c r="AG8" s="18">
        <v>36</v>
      </c>
      <c r="AH8" s="19">
        <f t="shared" si="0"/>
        <v>0.598689185782707</v>
      </c>
      <c r="AI8" s="33">
        <v>100</v>
      </c>
    </row>
    <row r="9" s="1" customFormat="1" ht="15" spans="2:35">
      <c r="B9" s="34" t="s">
        <v>49</v>
      </c>
      <c r="C9" s="35">
        <v>350</v>
      </c>
      <c r="D9" s="34" t="s">
        <v>93</v>
      </c>
      <c r="E9" s="36">
        <f>32%+M5</f>
        <v>0.492</v>
      </c>
      <c r="F9" s="34" t="s">
        <v>51</v>
      </c>
      <c r="G9" s="37"/>
      <c r="H9" s="34" t="s">
        <v>51</v>
      </c>
      <c r="I9" s="37"/>
      <c r="J9" s="49"/>
      <c r="K9" s="36"/>
      <c r="L9" s="34"/>
      <c r="M9" s="35"/>
      <c r="O9" s="40">
        <v>1</v>
      </c>
      <c r="P9" s="23" t="s">
        <v>90</v>
      </c>
      <c r="Q9" s="41">
        <f>37.88%*4+117.88%*3</f>
        <v>5.0516</v>
      </c>
      <c r="R9" s="42" t="s">
        <v>83</v>
      </c>
      <c r="S9" s="43">
        <f t="shared" si="3"/>
        <v>2764.592</v>
      </c>
      <c r="T9" s="44">
        <f t="shared" si="4"/>
        <v>1.699796875</v>
      </c>
      <c r="U9" s="44">
        <f>IF(R9=$C$1,SUM($E$4:$E$9),SUM($E$4:$E$8))</f>
        <v>1.912</v>
      </c>
      <c r="V9" s="28">
        <f t="shared" si="1"/>
        <v>3.67972</v>
      </c>
      <c r="W9" s="45">
        <f>IF(R9=$C$1,$K$4+$K$5,$K$4)</f>
        <v>0.7</v>
      </c>
      <c r="X9" s="46">
        <f t="shared" si="5"/>
        <v>0.509274150316286</v>
      </c>
      <c r="Y9" s="42">
        <f t="shared" si="6"/>
        <v>0.8</v>
      </c>
      <c r="Z9" s="47">
        <v>0.8</v>
      </c>
      <c r="AA9" s="47">
        <v>0</v>
      </c>
      <c r="AB9" s="48">
        <v>0</v>
      </c>
      <c r="AC9" s="23">
        <f t="shared" si="2"/>
        <v>186564.578716131</v>
      </c>
      <c r="AD9" s="32">
        <v>24</v>
      </c>
      <c r="AE9" s="32">
        <v>39</v>
      </c>
    </row>
    <row r="10" s="1" customFormat="1" ht="15" spans="2:35">
      <c r="B10" s="51" t="s">
        <v>52</v>
      </c>
      <c r="C10" s="52"/>
      <c r="D10" s="51" t="s">
        <v>94</v>
      </c>
      <c r="E10" s="53">
        <f>20%+35%</f>
        <v>0.55</v>
      </c>
      <c r="F10" s="54" t="s">
        <v>53</v>
      </c>
      <c r="G10" s="55">
        <f>MIN(100%,SUM(G4:G9))</f>
        <v>0.978</v>
      </c>
      <c r="H10" s="54" t="s">
        <v>54</v>
      </c>
      <c r="I10" s="55">
        <f>SUM(I4:I9)</f>
        <v>2.75</v>
      </c>
      <c r="J10" s="56"/>
      <c r="K10" s="53"/>
      <c r="L10" s="51"/>
      <c r="M10" s="52"/>
      <c r="O10" s="40">
        <v>1</v>
      </c>
      <c r="P10" s="23" t="s">
        <v>92</v>
      </c>
      <c r="Q10" s="41">
        <f>53.45%*2+95.43%+39.23%+26.15%*2</f>
        <v>2.9386</v>
      </c>
      <c r="R10" s="42" t="s">
        <v>1</v>
      </c>
      <c r="S10" s="43">
        <f t="shared" si="3"/>
        <v>2764.592</v>
      </c>
      <c r="T10" s="44">
        <f t="shared" si="4"/>
        <v>1.699796875</v>
      </c>
      <c r="U10" s="44">
        <f>IF(R10=$C$1,SUM($E$4:$E$9),SUM($E$4:$E$8))</f>
        <v>1.42</v>
      </c>
      <c r="V10" s="28">
        <f t="shared" si="1"/>
        <v>3.67972</v>
      </c>
      <c r="W10" s="45">
        <f>IF(R10=$C$1,$K$4+$K$5,$K$4)</f>
        <v>0.45</v>
      </c>
      <c r="X10" s="46">
        <f t="shared" si="5"/>
        <v>0.509274150316286</v>
      </c>
      <c r="Y10" s="42">
        <f t="shared" si="6"/>
        <v>0.8</v>
      </c>
      <c r="Z10" s="47">
        <v>0</v>
      </c>
      <c r="AA10" s="47">
        <v>0</v>
      </c>
      <c r="AB10" s="48">
        <v>0</v>
      </c>
      <c r="AC10" s="23">
        <f t="shared" si="2"/>
        <v>42737.7134200101</v>
      </c>
      <c r="AD10" s="32">
        <v>24</v>
      </c>
      <c r="AE10" s="32">
        <v>39</v>
      </c>
    </row>
    <row r="11" s="1" customFormat="1" ht="15" spans="2:35">
      <c r="B11" s="57"/>
      <c r="C11" s="57"/>
      <c r="E11" s="58"/>
      <c r="F11" s="20" t="s">
        <v>55</v>
      </c>
      <c r="G11" s="59">
        <f>MAX(0,SUM(G4:G9)-1)</f>
        <v>0</v>
      </c>
      <c r="J11" s="2"/>
      <c r="K11" s="2"/>
      <c r="O11" s="40">
        <v>1</v>
      </c>
      <c r="P11" s="23" t="s">
        <v>168</v>
      </c>
      <c r="Q11" s="41">
        <v>2.1642</v>
      </c>
      <c r="R11" s="42" t="s">
        <v>96</v>
      </c>
      <c r="S11" s="43">
        <f t="shared" si="3"/>
        <v>2764.592</v>
      </c>
      <c r="T11" s="44">
        <f t="shared" si="4"/>
        <v>1.699796875</v>
      </c>
      <c r="U11" s="44">
        <f t="shared" ref="U11:U15" si="7">IF(R11=$C$1,SUM($E$4:$E$9),SUM($E$4:$E$8))+$E$10</f>
        <v>1.97</v>
      </c>
      <c r="V11" s="28">
        <f t="shared" si="1"/>
        <v>3.75796</v>
      </c>
      <c r="W11" s="45">
        <f t="shared" ref="W11:W15" si="8">IF(R11=$C$1,$K$4+$K$5,$K$4)+$K$6</f>
        <v>1.57</v>
      </c>
      <c r="X11" s="46">
        <f t="shared" si="5"/>
        <v>0.509274150316286</v>
      </c>
      <c r="Y11" s="42">
        <f t="shared" si="6"/>
        <v>0.8</v>
      </c>
      <c r="Z11" s="47">
        <v>0</v>
      </c>
      <c r="AA11" s="47">
        <v>0</v>
      </c>
      <c r="AB11" s="48">
        <v>0</v>
      </c>
      <c r="AC11" s="23">
        <f t="shared" si="2"/>
        <v>69921.6688570962</v>
      </c>
      <c r="AD11" s="32">
        <v>24</v>
      </c>
      <c r="AE11" s="32">
        <v>47</v>
      </c>
      <c r="AG11" s="60" t="s">
        <v>97</v>
      </c>
      <c r="AH11" s="60">
        <v>0.8</v>
      </c>
    </row>
    <row r="12" s="1" customFormat="1" ht="15" spans="2:35">
      <c r="B12" s="57"/>
      <c r="C12" s="57"/>
      <c r="E12" s="58"/>
      <c r="G12" s="61"/>
      <c r="J12" s="2"/>
      <c r="K12" s="2"/>
      <c r="O12" s="40">
        <v>1</v>
      </c>
      <c r="P12" s="23" t="s">
        <v>90</v>
      </c>
      <c r="Q12" s="41">
        <f>37.88%*4+117.88%*3</f>
        <v>5.0516</v>
      </c>
      <c r="R12" s="42" t="s">
        <v>83</v>
      </c>
      <c r="S12" s="43">
        <f t="shared" ref="S12:S18" si="9">$C$4*(1+C$5+C$6+C$7+C$8)+C$9</f>
        <v>2764.592</v>
      </c>
      <c r="T12" s="44">
        <f t="shared" ref="T12:T15" si="10">S12/$C$4-1</f>
        <v>1.699796875</v>
      </c>
      <c r="U12" s="44">
        <f>IF(R12=$C$1,SUM($E$4:$E$9),SUM($E$4:$E$8))</f>
        <v>1.912</v>
      </c>
      <c r="V12" s="28">
        <f t="shared" si="1"/>
        <v>3.75796</v>
      </c>
      <c r="W12" s="45">
        <f>IF(R12=$C$1,$K$4+$K$5,$K$4)</f>
        <v>0.7</v>
      </c>
      <c r="X12" s="46">
        <f t="shared" ref="X12:X15" si="11">$AH$4</f>
        <v>0.509274150316286</v>
      </c>
      <c r="Y12" s="42">
        <f t="shared" ref="Y12:Y15" si="12">$AH$11</f>
        <v>0.8</v>
      </c>
      <c r="Z12" s="47">
        <v>0.8</v>
      </c>
      <c r="AA12" s="47">
        <v>0</v>
      </c>
      <c r="AB12" s="48">
        <v>0</v>
      </c>
      <c r="AC12" s="23">
        <f t="shared" si="2"/>
        <v>190531.405713498</v>
      </c>
      <c r="AD12" s="32">
        <v>24</v>
      </c>
      <c r="AE12" s="32">
        <v>47</v>
      </c>
      <c r="AG12" s="62" t="s">
        <v>98</v>
      </c>
      <c r="AH12" s="62">
        <v>0.92</v>
      </c>
    </row>
    <row r="13" s="1" customFormat="1" ht="15" spans="2:35">
      <c r="B13" s="5" t="s">
        <v>0</v>
      </c>
      <c r="C13" s="5" t="s">
        <v>1</v>
      </c>
      <c r="D13" s="6" t="s">
        <v>2</v>
      </c>
      <c r="E13" s="6">
        <v>2</v>
      </c>
      <c r="O13" s="40">
        <v>1</v>
      </c>
      <c r="P13" s="23" t="s">
        <v>92</v>
      </c>
      <c r="Q13" s="41">
        <f>53.45%*2+95.43%+39.23%+26.15%*2</f>
        <v>2.9386</v>
      </c>
      <c r="R13" s="42" t="s">
        <v>1</v>
      </c>
      <c r="S13" s="43">
        <f t="shared" si="9"/>
        <v>2764.592</v>
      </c>
      <c r="T13" s="44">
        <f t="shared" si="10"/>
        <v>1.699796875</v>
      </c>
      <c r="U13" s="44">
        <f>IF(R13=$C$1,SUM($E$4:$E$9),SUM($E$4:$E$8))</f>
        <v>1.42</v>
      </c>
      <c r="V13" s="28">
        <f t="shared" si="1"/>
        <v>3.75796</v>
      </c>
      <c r="W13" s="45">
        <f>IF(R13=$C$1,$K$4+$K$5,$K$4)</f>
        <v>0.45</v>
      </c>
      <c r="X13" s="46">
        <f t="shared" si="11"/>
        <v>0.509274150316286</v>
      </c>
      <c r="Y13" s="42">
        <f t="shared" si="12"/>
        <v>0.8</v>
      </c>
      <c r="Z13" s="47">
        <v>0</v>
      </c>
      <c r="AA13" s="47">
        <v>0</v>
      </c>
      <c r="AB13" s="48">
        <v>0</v>
      </c>
      <c r="AC13" s="23">
        <f t="shared" si="2"/>
        <v>43646.4235115338</v>
      </c>
      <c r="AD13" s="32">
        <v>24</v>
      </c>
      <c r="AE13" s="32">
        <v>47</v>
      </c>
      <c r="AG13" s="1" t="s">
        <v>63</v>
      </c>
      <c r="AH13" s="1">
        <v>0.8</v>
      </c>
    </row>
    <row r="14" s="1" customFormat="1" ht="15" spans="2:35">
      <c r="B14" s="63" t="s">
        <v>100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O14" s="40">
        <v>1</v>
      </c>
      <c r="P14" s="23" t="s">
        <v>95</v>
      </c>
      <c r="Q14" s="41">
        <f>152.39%*3</f>
        <v>4.5717</v>
      </c>
      <c r="R14" s="42" t="s">
        <v>96</v>
      </c>
      <c r="S14" s="43">
        <f t="shared" si="9"/>
        <v>2764.592</v>
      </c>
      <c r="T14" s="44">
        <f t="shared" si="10"/>
        <v>1.699796875</v>
      </c>
      <c r="U14" s="44">
        <f t="shared" si="7"/>
        <v>1.97</v>
      </c>
      <c r="V14" s="28">
        <f t="shared" si="1"/>
        <v>3.75796</v>
      </c>
      <c r="W14" s="45">
        <f t="shared" si="8"/>
        <v>1.57</v>
      </c>
      <c r="X14" s="46">
        <f t="shared" si="11"/>
        <v>0.509274150316286</v>
      </c>
      <c r="Y14" s="42">
        <f t="shared" si="12"/>
        <v>0.8</v>
      </c>
      <c r="Z14" s="47">
        <v>0</v>
      </c>
      <c r="AA14" s="47">
        <v>0</v>
      </c>
      <c r="AB14" s="48">
        <v>0</v>
      </c>
      <c r="AC14" s="23">
        <f t="shared" si="2"/>
        <v>147703.952275199</v>
      </c>
      <c r="AD14" s="32">
        <v>24</v>
      </c>
      <c r="AE14" s="32">
        <v>47</v>
      </c>
      <c r="AG14" s="64" t="s">
        <v>137</v>
      </c>
      <c r="AH14" s="64">
        <v>0.8</v>
      </c>
    </row>
    <row r="15" s="1" customFormat="1" ht="15" spans="2:35">
      <c r="B15" s="65" t="s">
        <v>24</v>
      </c>
      <c r="C15" s="65"/>
      <c r="D15" s="65" t="s">
        <v>10</v>
      </c>
      <c r="E15" s="65"/>
      <c r="F15" s="65" t="s">
        <v>25</v>
      </c>
      <c r="G15" s="65"/>
      <c r="H15" s="65" t="s">
        <v>26</v>
      </c>
      <c r="I15" s="65"/>
      <c r="J15" s="65" t="s">
        <v>12</v>
      </c>
      <c r="K15" s="65"/>
      <c r="L15" s="65" t="s">
        <v>27</v>
      </c>
      <c r="M15" s="65"/>
      <c r="O15" s="40">
        <v>1</v>
      </c>
      <c r="P15" s="23" t="s">
        <v>168</v>
      </c>
      <c r="Q15" s="41">
        <v>2.1642</v>
      </c>
      <c r="R15" s="42" t="s">
        <v>96</v>
      </c>
      <c r="S15" s="43">
        <f t="shared" si="9"/>
        <v>2764.592</v>
      </c>
      <c r="T15" s="44">
        <f t="shared" si="10"/>
        <v>1.699796875</v>
      </c>
      <c r="U15" s="44">
        <f t="shared" si="7"/>
        <v>1.97</v>
      </c>
      <c r="V15" s="28">
        <f t="shared" si="1"/>
        <v>3.8362</v>
      </c>
      <c r="W15" s="45">
        <f t="shared" si="8"/>
        <v>1.57</v>
      </c>
      <c r="X15" s="46">
        <f t="shared" si="11"/>
        <v>0.509274150316286</v>
      </c>
      <c r="Y15" s="42">
        <f t="shared" si="12"/>
        <v>0.8</v>
      </c>
      <c r="Z15" s="47">
        <v>0</v>
      </c>
      <c r="AA15" s="47">
        <v>0</v>
      </c>
      <c r="AB15" s="48">
        <v>0</v>
      </c>
      <c r="AC15" s="23">
        <f t="shared" si="2"/>
        <v>71377.4244722117</v>
      </c>
      <c r="AD15" s="32">
        <v>24</v>
      </c>
      <c r="AE15" s="32">
        <v>55</v>
      </c>
    </row>
    <row r="16" s="1" customFormat="1" ht="15" spans="2:35">
      <c r="B16" s="66" t="s">
        <v>28</v>
      </c>
      <c r="C16" s="67">
        <f>400+500</f>
        <v>900</v>
      </c>
      <c r="D16" s="66" t="s">
        <v>29</v>
      </c>
      <c r="E16" s="39">
        <f>E13*30%</f>
        <v>0.6</v>
      </c>
      <c r="F16" s="66" t="s">
        <v>30</v>
      </c>
      <c r="G16" s="68">
        <v>0.13</v>
      </c>
      <c r="H16" s="66" t="s">
        <v>30</v>
      </c>
      <c r="I16" s="68">
        <v>1.5</v>
      </c>
      <c r="J16" s="38" t="s">
        <v>31</v>
      </c>
      <c r="K16" s="39">
        <v>0.25</v>
      </c>
      <c r="L16" s="66" t="s">
        <v>32</v>
      </c>
      <c r="M16" s="68">
        <v>0.086</v>
      </c>
      <c r="O16" s="40">
        <v>1</v>
      </c>
      <c r="P16" s="23" t="s">
        <v>90</v>
      </c>
      <c r="Q16" s="41">
        <f>37.88%*4+117.88%*3</f>
        <v>5.0516</v>
      </c>
      <c r="R16" s="42" t="s">
        <v>83</v>
      </c>
      <c r="S16" s="43">
        <f t="shared" si="9"/>
        <v>2764.592</v>
      </c>
      <c r="T16" s="44">
        <f t="shared" ref="T16:T27" si="13">S16/$C$4-1</f>
        <v>1.699796875</v>
      </c>
      <c r="U16" s="44">
        <f t="shared" ref="U16:U18" si="14">IF(R16=$C$1,SUM($E$4:$E$9),SUM($E$4:$E$8))</f>
        <v>1.912</v>
      </c>
      <c r="V16" s="28">
        <f t="shared" si="1"/>
        <v>3.8362</v>
      </c>
      <c r="W16" s="45">
        <f t="shared" ref="W16:W18" si="15">IF(R16=$C$1,$K$4+$K$5,$K$4)</f>
        <v>0.7</v>
      </c>
      <c r="X16" s="46">
        <f t="shared" ref="X16:X27" si="16">$AH$4</f>
        <v>0.509274150316286</v>
      </c>
      <c r="Y16" s="42">
        <f t="shared" ref="Y16:Y30" si="17">$AH$11</f>
        <v>0.8</v>
      </c>
      <c r="Z16" s="47">
        <v>0.8</v>
      </c>
      <c r="AA16" s="47">
        <v>0</v>
      </c>
      <c r="AB16" s="48">
        <v>0</v>
      </c>
      <c r="AC16" s="23">
        <f t="shared" si="2"/>
        <v>194498.232710865</v>
      </c>
      <c r="AD16" s="32">
        <v>24</v>
      </c>
      <c r="AE16" s="32">
        <v>55</v>
      </c>
    </row>
    <row r="17" s="1" customFormat="1" ht="15" spans="1:31">
      <c r="B17" s="34" t="s">
        <v>33</v>
      </c>
      <c r="C17" s="36">
        <f>12%+12%</f>
        <v>0.24</v>
      </c>
      <c r="D17" s="34" t="s">
        <v>34</v>
      </c>
      <c r="E17" s="36"/>
      <c r="F17" s="34" t="s">
        <v>35</v>
      </c>
      <c r="G17" s="37"/>
      <c r="H17" s="34" t="s">
        <v>35</v>
      </c>
      <c r="I17" s="37">
        <v>0.72</v>
      </c>
      <c r="J17" s="49" t="s">
        <v>36</v>
      </c>
      <c r="K17" s="36"/>
      <c r="L17" s="34" t="s">
        <v>104</v>
      </c>
      <c r="M17" s="37">
        <f>1*8.6%</f>
        <v>0.086</v>
      </c>
      <c r="O17" s="40">
        <v>1</v>
      </c>
      <c r="P17" s="23" t="s">
        <v>99</v>
      </c>
      <c r="Q17" s="41">
        <f>33.01%*2+12.38%*8+495.1%</f>
        <v>6.6016</v>
      </c>
      <c r="R17" s="42" t="s">
        <v>83</v>
      </c>
      <c r="S17" s="43">
        <f t="shared" si="9"/>
        <v>2764.592</v>
      </c>
      <c r="T17" s="44">
        <f t="shared" si="13"/>
        <v>1.699796875</v>
      </c>
      <c r="U17" s="44">
        <f t="shared" si="14"/>
        <v>1.912</v>
      </c>
      <c r="V17" s="28">
        <f t="shared" si="1"/>
        <v>3.97312</v>
      </c>
      <c r="W17" s="45">
        <f t="shared" si="15"/>
        <v>0.7</v>
      </c>
      <c r="X17" s="46">
        <f t="shared" si="16"/>
        <v>0.509274150316286</v>
      </c>
      <c r="Y17" s="42">
        <f t="shared" si="17"/>
        <v>0.8</v>
      </c>
      <c r="Z17" s="47">
        <v>0.75</v>
      </c>
      <c r="AA17" s="47">
        <v>0</v>
      </c>
      <c r="AB17" s="48">
        <v>0</v>
      </c>
      <c r="AC17" s="23">
        <f t="shared" ref="AC17:AC27" si="18">Q17*$C$4*(1+T17)*(1+U17)*V17*(1+W17)*X17*Y17*(1+Z17)*(1+AA17)*(1+AB17)*O17</f>
        <v>255936.305218879</v>
      </c>
      <c r="AD17" s="32">
        <v>24</v>
      </c>
      <c r="AE17" s="32">
        <v>69</v>
      </c>
    </row>
    <row r="18" s="1" customFormat="1" ht="15" spans="1:31">
      <c r="B18" s="34" t="s">
        <v>39</v>
      </c>
      <c r="C18" s="36">
        <f>18%+18%+M16+(2-E13)*30%</f>
        <v>0.446</v>
      </c>
      <c r="D18" s="34" t="s">
        <v>40</v>
      </c>
      <c r="E18" s="36">
        <v>0.12</v>
      </c>
      <c r="F18" s="34" t="s">
        <v>41</v>
      </c>
      <c r="G18" s="37">
        <v>0.22</v>
      </c>
      <c r="H18" s="34" t="s">
        <v>41</v>
      </c>
      <c r="I18" s="37">
        <v>0</v>
      </c>
      <c r="J18" s="49"/>
      <c r="K18" s="37"/>
      <c r="L18" s="34" t="s">
        <v>25</v>
      </c>
      <c r="M18" s="37">
        <f>8.1*5%</f>
        <v>0.405</v>
      </c>
      <c r="O18" s="40">
        <v>1</v>
      </c>
      <c r="P18" s="23" t="s">
        <v>101</v>
      </c>
      <c r="Q18" s="41">
        <f>82.55%*AD18</f>
        <v>19.812</v>
      </c>
      <c r="R18" s="42" t="s">
        <v>83</v>
      </c>
      <c r="S18" s="43">
        <f t="shared" si="9"/>
        <v>2764.592</v>
      </c>
      <c r="T18" s="44">
        <f t="shared" si="13"/>
        <v>1.699796875</v>
      </c>
      <c r="U18" s="44">
        <f t="shared" si="14"/>
        <v>1.912</v>
      </c>
      <c r="V18" s="28">
        <f t="shared" si="1"/>
        <v>3.97312</v>
      </c>
      <c r="W18" s="45">
        <f t="shared" si="15"/>
        <v>0.7</v>
      </c>
      <c r="X18" s="46">
        <f t="shared" si="16"/>
        <v>0.509274150316286</v>
      </c>
      <c r="Y18" s="42">
        <f t="shared" si="17"/>
        <v>0.8</v>
      </c>
      <c r="Z18" s="47">
        <v>0.75</v>
      </c>
      <c r="AA18" s="47">
        <v>0</v>
      </c>
      <c r="AB18" s="48">
        <v>0</v>
      </c>
      <c r="AC18" s="23">
        <f t="shared" si="18"/>
        <v>768088.051229464</v>
      </c>
      <c r="AD18" s="32">
        <v>24</v>
      </c>
      <c r="AE18" s="32">
        <v>69</v>
      </c>
    </row>
    <row r="19" s="1" customFormat="1" ht="15" spans="1:31">
      <c r="B19" s="34" t="s">
        <v>43</v>
      </c>
      <c r="C19" s="69"/>
      <c r="D19" s="34" t="s">
        <v>44</v>
      </c>
      <c r="E19" s="36">
        <v>0.4</v>
      </c>
      <c r="F19" s="34" t="s">
        <v>39</v>
      </c>
      <c r="G19" s="37">
        <f>M18</f>
        <v>0.405</v>
      </c>
      <c r="H19" s="34" t="s">
        <v>39</v>
      </c>
      <c r="I19" s="37">
        <f>M19</f>
        <v>0.81</v>
      </c>
      <c r="J19" s="49"/>
      <c r="K19" s="37"/>
      <c r="L19" s="34" t="s">
        <v>45</v>
      </c>
      <c r="M19" s="36">
        <f>16.2%*5</f>
        <v>0.81</v>
      </c>
      <c r="O19" s="40">
        <v>1</v>
      </c>
      <c r="P19" s="23" t="s">
        <v>102</v>
      </c>
      <c r="Q19" s="41">
        <f t="shared" ref="Q19:Q26" si="19">104.38%+243.55%</f>
        <v>3.4793</v>
      </c>
      <c r="R19" s="42" t="s">
        <v>96</v>
      </c>
      <c r="S19" s="43">
        <f t="shared" ref="S19:S27" si="20">$C$4*(1+C$5+C$6+C$7+C$8+120%)+C$9</f>
        <v>3993.392</v>
      </c>
      <c r="T19" s="44">
        <f t="shared" si="13"/>
        <v>2.899796875</v>
      </c>
      <c r="U19" s="44">
        <f t="shared" ref="U16:U27" si="21">IF(R19=$C$1,SUM($E$4:$E$9),SUM($E$4:$E$8))+$E$10</f>
        <v>1.97</v>
      </c>
      <c r="V19" s="28">
        <f t="shared" si="1"/>
        <v>3.97312</v>
      </c>
      <c r="W19" s="45">
        <f t="shared" ref="W19:W27" si="22">IF(R19=$C$1,$K$4+$K$5,$K$4)+$K$6-20%</f>
        <v>1.37</v>
      </c>
      <c r="X19" s="46">
        <f t="shared" si="16"/>
        <v>0.509274150316286</v>
      </c>
      <c r="Y19" s="42">
        <f t="shared" si="17"/>
        <v>0.8</v>
      </c>
      <c r="Z19" s="47">
        <v>0.24</v>
      </c>
      <c r="AA19" s="47">
        <v>0</v>
      </c>
      <c r="AB19" s="48">
        <v>0.4</v>
      </c>
      <c r="AC19" s="23">
        <f t="shared" si="18"/>
        <v>274828.418615066</v>
      </c>
      <c r="AD19" s="32">
        <v>24</v>
      </c>
      <c r="AE19" s="32">
        <v>69</v>
      </c>
    </row>
    <row r="20" s="1" customFormat="1" ht="15" spans="1:31">
      <c r="B20" s="34" t="s">
        <v>46</v>
      </c>
      <c r="C20" s="69">
        <f>25%+25%</f>
        <v>0.5</v>
      </c>
      <c r="D20" s="34" t="s">
        <v>47</v>
      </c>
      <c r="E20" s="50">
        <v>0.2</v>
      </c>
      <c r="F20" s="34" t="s">
        <v>48</v>
      </c>
      <c r="G20" s="37">
        <v>0</v>
      </c>
      <c r="H20" s="34" t="s">
        <v>48</v>
      </c>
      <c r="I20" s="37">
        <v>0</v>
      </c>
      <c r="J20" s="49"/>
      <c r="K20" s="37"/>
      <c r="L20" s="34"/>
      <c r="M20" s="35"/>
      <c r="O20" s="40">
        <v>1</v>
      </c>
      <c r="P20" s="23" t="s">
        <v>103</v>
      </c>
      <c r="Q20" s="41">
        <f t="shared" si="19"/>
        <v>3.4793</v>
      </c>
      <c r="R20" s="42" t="s">
        <v>96</v>
      </c>
      <c r="S20" s="43">
        <f t="shared" si="20"/>
        <v>3993.392</v>
      </c>
      <c r="T20" s="44">
        <f t="shared" si="13"/>
        <v>2.899796875</v>
      </c>
      <c r="U20" s="44">
        <f t="shared" si="21"/>
        <v>1.97</v>
      </c>
      <c r="V20" s="28">
        <f t="shared" si="1"/>
        <v>3.9829</v>
      </c>
      <c r="W20" s="45">
        <f t="shared" si="22"/>
        <v>1.37</v>
      </c>
      <c r="X20" s="46">
        <f t="shared" si="16"/>
        <v>0.509274150316286</v>
      </c>
      <c r="Y20" s="42">
        <f t="shared" si="17"/>
        <v>0.8</v>
      </c>
      <c r="Z20" s="47">
        <v>0.24</v>
      </c>
      <c r="AA20" s="47">
        <v>0</v>
      </c>
      <c r="AB20" s="48">
        <v>0.4</v>
      </c>
      <c r="AC20" s="23">
        <f t="shared" si="18"/>
        <v>275504.920189157</v>
      </c>
      <c r="AD20" s="32">
        <v>24</v>
      </c>
      <c r="AE20" s="32">
        <v>70</v>
      </c>
    </row>
    <row r="21" s="1" customFormat="1" ht="15" spans="1:31">
      <c r="B21" s="34" t="s">
        <v>49</v>
      </c>
      <c r="C21" s="35">
        <v>350</v>
      </c>
      <c r="D21" s="34" t="s">
        <v>107</v>
      </c>
      <c r="E21" s="36">
        <f>40%+M17</f>
        <v>0.486</v>
      </c>
      <c r="F21" s="34" t="s">
        <v>51</v>
      </c>
      <c r="G21" s="37"/>
      <c r="H21" s="34" t="s">
        <v>51</v>
      </c>
      <c r="I21" s="37">
        <v>0</v>
      </c>
      <c r="J21" s="49"/>
      <c r="K21" s="37"/>
      <c r="L21" s="34"/>
      <c r="M21" s="35"/>
      <c r="O21" s="40">
        <v>1</v>
      </c>
      <c r="P21" s="23" t="s">
        <v>103</v>
      </c>
      <c r="Q21" s="41">
        <f>99.16%+231.37%</f>
        <v>3.3053</v>
      </c>
      <c r="R21" s="42" t="s">
        <v>96</v>
      </c>
      <c r="S21" s="43">
        <f t="shared" si="20"/>
        <v>3993.392</v>
      </c>
      <c r="T21" s="44">
        <f t="shared" si="13"/>
        <v>2.899796875</v>
      </c>
      <c r="U21" s="44">
        <f t="shared" si="21"/>
        <v>1.97</v>
      </c>
      <c r="V21" s="28">
        <f t="shared" si="1"/>
        <v>3.99268</v>
      </c>
      <c r="W21" s="45">
        <f t="shared" si="22"/>
        <v>1.37</v>
      </c>
      <c r="X21" s="46">
        <f t="shared" si="16"/>
        <v>0.509274150316286</v>
      </c>
      <c r="Y21" s="42">
        <f t="shared" si="17"/>
        <v>0.8</v>
      </c>
      <c r="Z21" s="47">
        <v>0.24</v>
      </c>
      <c r="AA21" s="47">
        <v>0</v>
      </c>
      <c r="AB21" s="70">
        <v>0.4</v>
      </c>
      <c r="AC21" s="23">
        <f t="shared" si="18"/>
        <v>262369.572429531</v>
      </c>
      <c r="AD21" s="32">
        <v>24</v>
      </c>
      <c r="AE21" s="32">
        <v>71</v>
      </c>
    </row>
    <row r="22" s="1" customFormat="1" ht="15" spans="1:31">
      <c r="B22" s="51" t="s">
        <v>52</v>
      </c>
      <c r="C22" s="52"/>
      <c r="D22" s="51"/>
      <c r="E22" s="53"/>
      <c r="F22" s="54" t="s">
        <v>53</v>
      </c>
      <c r="G22" s="55">
        <f>MIN(100%,SUM(G16:G21))</f>
        <v>0.755</v>
      </c>
      <c r="H22" s="54" t="s">
        <v>54</v>
      </c>
      <c r="I22" s="55">
        <f>SUM(I16:I21)</f>
        <v>3.03</v>
      </c>
      <c r="J22" s="56"/>
      <c r="K22" s="71"/>
      <c r="L22" s="51"/>
      <c r="M22" s="52"/>
      <c r="O22" s="40">
        <v>1</v>
      </c>
      <c r="P22" s="23" t="s">
        <v>138</v>
      </c>
      <c r="Q22" s="41">
        <f>99.16%+231.37%</f>
        <v>3.3053</v>
      </c>
      <c r="R22" s="42" t="s">
        <v>96</v>
      </c>
      <c r="S22" s="43">
        <f t="shared" si="20"/>
        <v>3993.392</v>
      </c>
      <c r="T22" s="44">
        <f t="shared" si="13"/>
        <v>2.899796875</v>
      </c>
      <c r="U22" s="44">
        <f t="shared" si="21"/>
        <v>1.97</v>
      </c>
      <c r="V22" s="28">
        <f t="shared" si="1"/>
        <v>4.00246</v>
      </c>
      <c r="W22" s="45">
        <f t="shared" si="22"/>
        <v>1.37</v>
      </c>
      <c r="X22" s="46">
        <f t="shared" si="16"/>
        <v>0.509274150316286</v>
      </c>
      <c r="Y22" s="42">
        <f t="shared" si="17"/>
        <v>0.8</v>
      </c>
      <c r="Z22" s="47">
        <v>0.24</v>
      </c>
      <c r="AA22" s="47">
        <v>0</v>
      </c>
      <c r="AB22" s="48">
        <v>0.4</v>
      </c>
      <c r="AC22" s="23">
        <f t="shared" si="18"/>
        <v>263012.242119654</v>
      </c>
      <c r="AD22" s="32">
        <v>24</v>
      </c>
      <c r="AE22" s="32">
        <v>72</v>
      </c>
    </row>
    <row r="23" s="1" customFormat="1" ht="15" spans="1:31">
      <c r="B23" s="57"/>
      <c r="C23" s="57"/>
      <c r="E23" s="58"/>
      <c r="F23" s="20" t="s">
        <v>55</v>
      </c>
      <c r="G23" s="59">
        <f>MAX(0,SUM(G16:G21)-1)</f>
        <v>0</v>
      </c>
      <c r="J23" s="2"/>
      <c r="K23" s="2"/>
      <c r="O23" s="40">
        <v>1</v>
      </c>
      <c r="P23" s="23" t="s">
        <v>106</v>
      </c>
      <c r="Q23" s="41">
        <f t="shared" si="19"/>
        <v>3.4793</v>
      </c>
      <c r="R23" s="42" t="s">
        <v>96</v>
      </c>
      <c r="S23" s="43">
        <f t="shared" si="20"/>
        <v>3993.392</v>
      </c>
      <c r="T23" s="44">
        <f t="shared" si="13"/>
        <v>2.899796875</v>
      </c>
      <c r="U23" s="44">
        <f t="shared" si="21"/>
        <v>1.97</v>
      </c>
      <c r="V23" s="28">
        <f t="shared" si="1"/>
        <v>4.01224</v>
      </c>
      <c r="W23" s="45">
        <f t="shared" si="22"/>
        <v>1.37</v>
      </c>
      <c r="X23" s="46">
        <f t="shared" si="16"/>
        <v>0.509274150316286</v>
      </c>
      <c r="Y23" s="42">
        <f t="shared" si="17"/>
        <v>0.8</v>
      </c>
      <c r="Z23" s="47">
        <v>0.24</v>
      </c>
      <c r="AA23" s="47">
        <v>0</v>
      </c>
      <c r="AB23" s="48">
        <v>0.4</v>
      </c>
      <c r="AC23" s="23">
        <f t="shared" si="18"/>
        <v>277534.424911433</v>
      </c>
      <c r="AD23" s="32">
        <v>24</v>
      </c>
      <c r="AE23" s="32">
        <v>73</v>
      </c>
    </row>
    <row r="24" s="1" customFormat="1" ht="15" spans="1:31">
      <c r="B24" s="57"/>
      <c r="C24" s="57"/>
      <c r="E24" s="58"/>
      <c r="J24" s="2"/>
      <c r="K24" s="2"/>
      <c r="O24" s="40">
        <v>1</v>
      </c>
      <c r="P24" s="23" t="s">
        <v>106</v>
      </c>
      <c r="Q24" s="41">
        <f t="shared" si="19"/>
        <v>3.4793</v>
      </c>
      <c r="R24" s="42" t="s">
        <v>96</v>
      </c>
      <c r="S24" s="43">
        <f t="shared" si="20"/>
        <v>3993.392</v>
      </c>
      <c r="T24" s="44">
        <f t="shared" si="13"/>
        <v>2.899796875</v>
      </c>
      <c r="U24" s="44">
        <f t="shared" si="21"/>
        <v>1.97</v>
      </c>
      <c r="V24" s="28">
        <f t="shared" si="1"/>
        <v>4.02202</v>
      </c>
      <c r="W24" s="45">
        <f t="shared" si="22"/>
        <v>1.37</v>
      </c>
      <c r="X24" s="46">
        <f t="shared" si="16"/>
        <v>0.509274150316286</v>
      </c>
      <c r="Y24" s="42">
        <f t="shared" si="17"/>
        <v>0.8</v>
      </c>
      <c r="Z24" s="47">
        <v>0.24</v>
      </c>
      <c r="AA24" s="47">
        <v>0</v>
      </c>
      <c r="AB24" s="70">
        <v>0.4</v>
      </c>
      <c r="AC24" s="23">
        <f t="shared" si="18"/>
        <v>278210.926485524</v>
      </c>
      <c r="AD24" s="32">
        <v>24</v>
      </c>
      <c r="AE24" s="32">
        <v>74</v>
      </c>
    </row>
    <row r="25" s="1" customFormat="1" ht="15" spans="1:31">
      <c r="A25" s="72"/>
      <c r="B25" s="73" t="s">
        <v>139</v>
      </c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O25" s="40">
        <v>1</v>
      </c>
      <c r="P25" s="23" t="s">
        <v>106</v>
      </c>
      <c r="Q25" s="41">
        <f t="shared" si="19"/>
        <v>3.4793</v>
      </c>
      <c r="R25" s="42" t="s">
        <v>96</v>
      </c>
      <c r="S25" s="43">
        <f t="shared" si="20"/>
        <v>3993.392</v>
      </c>
      <c r="T25" s="44">
        <f t="shared" si="13"/>
        <v>2.899796875</v>
      </c>
      <c r="U25" s="44">
        <f t="shared" si="21"/>
        <v>1.97</v>
      </c>
      <c r="V25" s="28">
        <f t="shared" si="1"/>
        <v>4.0318</v>
      </c>
      <c r="W25" s="45">
        <f t="shared" si="22"/>
        <v>1.37</v>
      </c>
      <c r="X25" s="46">
        <f t="shared" si="16"/>
        <v>0.509274150316286</v>
      </c>
      <c r="Y25" s="42">
        <f t="shared" si="17"/>
        <v>0.8</v>
      </c>
      <c r="Z25" s="47">
        <v>0.24</v>
      </c>
      <c r="AA25" s="47">
        <v>0</v>
      </c>
      <c r="AB25" s="48">
        <v>0.4</v>
      </c>
      <c r="AC25" s="23">
        <f t="shared" si="18"/>
        <v>278887.428059616</v>
      </c>
      <c r="AD25" s="32">
        <v>24</v>
      </c>
      <c r="AE25" s="32">
        <v>75</v>
      </c>
    </row>
    <row r="26" s="1" customFormat="1" ht="15" spans="1:31">
      <c r="A26" s="72" t="s">
        <v>140</v>
      </c>
      <c r="B26" s="74" t="s">
        <v>24</v>
      </c>
      <c r="C26" s="75"/>
      <c r="D26" s="74" t="s">
        <v>10</v>
      </c>
      <c r="E26" s="75"/>
      <c r="F26" s="74" t="s">
        <v>25</v>
      </c>
      <c r="G26" s="75"/>
      <c r="H26" s="74" t="s">
        <v>26</v>
      </c>
      <c r="I26" s="75"/>
      <c r="J26" s="74" t="s">
        <v>12</v>
      </c>
      <c r="K26" s="75"/>
      <c r="L26" s="74" t="s">
        <v>141</v>
      </c>
      <c r="M26" s="75"/>
      <c r="O26" s="40">
        <v>1</v>
      </c>
      <c r="P26" s="23" t="s">
        <v>106</v>
      </c>
      <c r="Q26" s="41">
        <f t="shared" si="19"/>
        <v>3.4793</v>
      </c>
      <c r="R26" s="42" t="s">
        <v>96</v>
      </c>
      <c r="S26" s="43">
        <f t="shared" si="20"/>
        <v>3993.392</v>
      </c>
      <c r="T26" s="44">
        <f t="shared" si="13"/>
        <v>2.899796875</v>
      </c>
      <c r="U26" s="44">
        <f t="shared" si="21"/>
        <v>1.97</v>
      </c>
      <c r="V26" s="28">
        <f t="shared" si="1"/>
        <v>4.04158</v>
      </c>
      <c r="W26" s="45">
        <f t="shared" si="22"/>
        <v>1.37</v>
      </c>
      <c r="X26" s="46">
        <f t="shared" si="16"/>
        <v>0.509274150316286</v>
      </c>
      <c r="Y26" s="42">
        <f t="shared" si="17"/>
        <v>0.8</v>
      </c>
      <c r="Z26" s="47">
        <v>0.24</v>
      </c>
      <c r="AA26" s="47">
        <v>0</v>
      </c>
      <c r="AB26" s="48">
        <v>0.4</v>
      </c>
      <c r="AC26" s="23">
        <f t="shared" si="18"/>
        <v>279563.929633708</v>
      </c>
      <c r="AD26" s="32">
        <v>24</v>
      </c>
      <c r="AE26" s="32">
        <v>76</v>
      </c>
    </row>
    <row r="27" s="1" customFormat="1" ht="15" spans="1:31">
      <c r="A27" s="72">
        <v>1357</v>
      </c>
      <c r="B27" s="76" t="s">
        <v>28</v>
      </c>
      <c r="C27" s="77">
        <f>288+337</f>
        <v>625</v>
      </c>
      <c r="D27" s="76" t="s">
        <v>29</v>
      </c>
      <c r="E27" s="78"/>
      <c r="F27" s="76" t="s">
        <v>142</v>
      </c>
      <c r="G27" s="79">
        <v>0.05</v>
      </c>
      <c r="H27" s="76" t="s">
        <v>142</v>
      </c>
      <c r="I27" s="78">
        <v>1.5</v>
      </c>
      <c r="J27" s="80" t="s">
        <v>31</v>
      </c>
      <c r="K27" s="78">
        <f>25%</f>
        <v>0.25</v>
      </c>
      <c r="L27" s="76" t="s">
        <v>140</v>
      </c>
      <c r="M27" s="79">
        <f>10.9%*3</f>
        <v>0.327</v>
      </c>
      <c r="O27" s="34">
        <v>1</v>
      </c>
      <c r="P27" s="23" t="s">
        <v>108</v>
      </c>
      <c r="Q27" s="81">
        <f>(27.84%+13.92%*2)*3</f>
        <v>1.6704</v>
      </c>
      <c r="R27" s="82" t="s">
        <v>96</v>
      </c>
      <c r="S27" s="43">
        <f t="shared" si="20"/>
        <v>3993.392</v>
      </c>
      <c r="T27" s="83">
        <f t="shared" si="13"/>
        <v>2.899796875</v>
      </c>
      <c r="U27" s="44">
        <f t="shared" si="21"/>
        <v>1.97</v>
      </c>
      <c r="V27" s="28">
        <f t="shared" si="1"/>
        <v>4.01224</v>
      </c>
      <c r="W27" s="84">
        <f t="shared" si="22"/>
        <v>1.37</v>
      </c>
      <c r="X27" s="85">
        <f t="shared" si="16"/>
        <v>0.509274150316286</v>
      </c>
      <c r="Y27" s="82">
        <f t="shared" si="17"/>
        <v>0.8</v>
      </c>
      <c r="Z27" s="86">
        <v>0</v>
      </c>
      <c r="AA27" s="86">
        <v>0</v>
      </c>
      <c r="AB27" s="70">
        <v>0.4</v>
      </c>
      <c r="AC27" s="23">
        <f t="shared" si="18"/>
        <v>107454.294980557</v>
      </c>
      <c r="AD27" s="32">
        <v>24</v>
      </c>
      <c r="AE27" s="32">
        <v>73</v>
      </c>
    </row>
    <row r="28" s="1" customFormat="1" ht="15" spans="1:31">
      <c r="A28" s="87">
        <f>16%+7.6*2%</f>
        <v>0.312</v>
      </c>
      <c r="B28" s="76" t="s">
        <v>143</v>
      </c>
      <c r="C28" s="78"/>
      <c r="D28" s="76" t="s">
        <v>144</v>
      </c>
      <c r="E28" s="78"/>
      <c r="F28" s="76" t="s">
        <v>35</v>
      </c>
      <c r="G28" s="79"/>
      <c r="H28" s="76" t="s">
        <v>145</v>
      </c>
      <c r="I28" s="79">
        <v>0.2</v>
      </c>
      <c r="J28" s="88" t="s">
        <v>146</v>
      </c>
      <c r="K28" s="79"/>
      <c r="L28" s="76" t="s">
        <v>25</v>
      </c>
      <c r="M28" s="79">
        <f>2*8.1%</f>
        <v>0.162</v>
      </c>
      <c r="O28" s="65">
        <v>1</v>
      </c>
      <c r="P28" s="89" t="s">
        <v>109</v>
      </c>
      <c r="Q28" s="90">
        <v>1.69</v>
      </c>
      <c r="R28" s="91" t="s">
        <v>110</v>
      </c>
      <c r="S28" s="92">
        <f t="shared" ref="S28:S39" si="23">$C$16*(1+$C$17+$C$18+$C$19+$C$20)+($C$21+$C$22)</f>
        <v>2317.4</v>
      </c>
      <c r="T28" s="93">
        <f t="shared" ref="T28:T39" si="24">($C$17+$C$18+$C$19+$C$20)+($C$21+$C$22)/$C$16</f>
        <v>1.57488888888889</v>
      </c>
      <c r="U28" s="93">
        <f>IF(R28=$C$13,SUM($E$16:$E$21),SUM($E$16:$E$20))-12%</f>
        <v>1.2</v>
      </c>
      <c r="V28" s="94">
        <f t="shared" ref="V28:V38" si="25">1+$G$22*($I$22-1)</f>
        <v>2.53265</v>
      </c>
      <c r="W28" s="95">
        <f t="shared" ref="W28:W39" si="26">IF(R28=$C$1,$K$16+$K$17,$K$16)</f>
        <v>0.25</v>
      </c>
      <c r="X28" s="94">
        <f t="shared" ref="X28:X39" si="27">$AH$3</f>
        <v>0.488431876606684</v>
      </c>
      <c r="Y28" s="91">
        <f t="shared" si="17"/>
        <v>0.8</v>
      </c>
      <c r="Z28" s="96">
        <v>0</v>
      </c>
      <c r="AA28" s="96">
        <v>0</v>
      </c>
      <c r="AB28" s="39">
        <v>0</v>
      </c>
      <c r="AC28" s="97">
        <f>Q28*$C$16*(1+T28)*(1+U28)*V28*(1+W28)*X28*Y28*(1+Z28)*(1+AA28)*(1+AB28)*O28</f>
        <v>10658.3398564684</v>
      </c>
    </row>
    <row r="29" s="1" customFormat="1" ht="15" spans="1:31">
      <c r="A29" s="87">
        <f>36%+M27</f>
        <v>0.687</v>
      </c>
      <c r="B29" s="76" t="s">
        <v>147</v>
      </c>
      <c r="C29" s="78"/>
      <c r="D29" s="76" t="s">
        <v>148</v>
      </c>
      <c r="E29" s="78"/>
      <c r="F29" s="76" t="s">
        <v>41</v>
      </c>
      <c r="G29" s="79"/>
      <c r="H29" s="76" t="s">
        <v>149</v>
      </c>
      <c r="I29" s="79"/>
      <c r="J29" s="88" t="s">
        <v>150</v>
      </c>
      <c r="K29" s="79"/>
      <c r="L29" s="76" t="s">
        <v>45</v>
      </c>
      <c r="M29" s="79">
        <f>3*16.2%</f>
        <v>0.486</v>
      </c>
      <c r="O29" s="98">
        <v>1</v>
      </c>
      <c r="P29" s="89" t="s">
        <v>111</v>
      </c>
      <c r="Q29" s="49">
        <v>1.472</v>
      </c>
      <c r="R29" s="57" t="s">
        <v>83</v>
      </c>
      <c r="S29" s="99">
        <f t="shared" si="23"/>
        <v>2317.4</v>
      </c>
      <c r="T29" s="100">
        <f t="shared" si="24"/>
        <v>1.57488888888889</v>
      </c>
      <c r="U29" s="100">
        <f>IF(R29=$C$13,SUM($E$16:$E$21),SUM($E$16:$E$20))-12%</f>
        <v>1.2</v>
      </c>
      <c r="V29" s="101">
        <f t="shared" si="25"/>
        <v>2.53265</v>
      </c>
      <c r="W29" s="102">
        <f t="shared" si="26"/>
        <v>0.25</v>
      </c>
      <c r="X29" s="101">
        <f t="shared" si="27"/>
        <v>0.488431876606684</v>
      </c>
      <c r="Y29" s="57">
        <f t="shared" si="17"/>
        <v>0.8</v>
      </c>
      <c r="Z29" s="103">
        <v>0</v>
      </c>
      <c r="AA29" s="103">
        <v>0</v>
      </c>
      <c r="AB29" s="36">
        <v>0</v>
      </c>
      <c r="AC29" s="97">
        <f t="shared" ref="AC28:AC39" si="28">Q29*$C$16*(1+T29)*(1+U29)*V29*(1+W29)*X29*Y29*(1+Z29)*(1+AA29)*(1+AB29)*O29</f>
        <v>9283.4770820837</v>
      </c>
    </row>
    <row r="30" s="1" customFormat="1" ht="15" spans="1:31">
      <c r="A30" s="87">
        <v>0.418</v>
      </c>
      <c r="B30" s="76" t="s">
        <v>145</v>
      </c>
      <c r="C30" s="104">
        <f>25%+15%</f>
        <v>0.4</v>
      </c>
      <c r="D30" s="76" t="s">
        <v>151</v>
      </c>
      <c r="E30" s="78">
        <f>40%</f>
        <v>0.4</v>
      </c>
      <c r="F30" s="76" t="s">
        <v>145</v>
      </c>
      <c r="G30" s="79">
        <f>M29</f>
        <v>0.486</v>
      </c>
      <c r="H30" s="76"/>
      <c r="I30" s="79"/>
      <c r="J30" s="88"/>
      <c r="K30" s="79"/>
      <c r="L30" s="76" t="s">
        <v>152</v>
      </c>
      <c r="M30" s="79">
        <f>8.6%*2</f>
        <v>0.172</v>
      </c>
      <c r="O30" s="98">
        <v>1</v>
      </c>
      <c r="P30" s="89" t="s">
        <v>42</v>
      </c>
      <c r="Q30" s="49">
        <v>1.061</v>
      </c>
      <c r="R30" s="57" t="s">
        <v>42</v>
      </c>
      <c r="S30" s="99">
        <f t="shared" si="23"/>
        <v>2317.4</v>
      </c>
      <c r="T30" s="100">
        <f t="shared" si="24"/>
        <v>1.57488888888889</v>
      </c>
      <c r="U30" s="100">
        <f>IF(R30=$C$13,SUM($E$16:$E$21),SUM($E$16:$E$20))-6%</f>
        <v>1.26</v>
      </c>
      <c r="V30" s="101">
        <f t="shared" si="25"/>
        <v>2.53265</v>
      </c>
      <c r="W30" s="102">
        <f t="shared" si="26"/>
        <v>0.25</v>
      </c>
      <c r="X30" s="101">
        <f t="shared" si="27"/>
        <v>0.488431876606684</v>
      </c>
      <c r="Y30" s="57">
        <f t="shared" si="17"/>
        <v>0.8</v>
      </c>
      <c r="Z30" s="103">
        <v>0</v>
      </c>
      <c r="AA30" s="103">
        <v>0</v>
      </c>
      <c r="AB30" s="36">
        <v>0</v>
      </c>
      <c r="AC30" s="97">
        <f t="shared" si="28"/>
        <v>6873.91253583412</v>
      </c>
    </row>
    <row r="31" s="1" customFormat="1" ht="15" spans="1:31">
      <c r="A31" s="105">
        <v>0.2</v>
      </c>
      <c r="B31" s="76" t="s">
        <v>153</v>
      </c>
      <c r="C31" s="104"/>
      <c r="D31" s="76" t="s">
        <v>154</v>
      </c>
      <c r="E31" s="78">
        <v>0.2</v>
      </c>
      <c r="F31" s="76" t="s">
        <v>121</v>
      </c>
      <c r="G31" s="79"/>
      <c r="H31" s="76" t="s">
        <v>121</v>
      </c>
      <c r="I31" s="79"/>
      <c r="J31" s="88"/>
      <c r="K31" s="79"/>
      <c r="L31" s="76"/>
      <c r="M31" s="79"/>
      <c r="O31" s="98">
        <v>1</v>
      </c>
      <c r="P31" s="89" t="s">
        <v>117</v>
      </c>
      <c r="Q31" s="49">
        <v>1.9623</v>
      </c>
      <c r="R31" s="57" t="s">
        <v>83</v>
      </c>
      <c r="S31" s="99">
        <f t="shared" si="23"/>
        <v>2317.4</v>
      </c>
      <c r="T31" s="100">
        <f t="shared" si="24"/>
        <v>1.57488888888889</v>
      </c>
      <c r="U31" s="100">
        <f t="shared" ref="U31:U39" si="29">IF(R31=$C$13,SUM($E$16:$E$21),SUM($E$16:$E$20))</f>
        <v>1.32</v>
      </c>
      <c r="V31" s="101">
        <f t="shared" si="25"/>
        <v>2.53265</v>
      </c>
      <c r="W31" s="102">
        <f t="shared" si="26"/>
        <v>0.25</v>
      </c>
      <c r="X31" s="101">
        <f t="shared" si="27"/>
        <v>0.488431876606684</v>
      </c>
      <c r="Y31" s="57">
        <f t="shared" ref="Y31:Y39" si="30">$AH$12</f>
        <v>0.92</v>
      </c>
      <c r="Z31" s="103">
        <v>0</v>
      </c>
      <c r="AA31" s="103">
        <v>0</v>
      </c>
      <c r="AB31" s="36">
        <v>0</v>
      </c>
      <c r="AC31" s="97">
        <f t="shared" si="28"/>
        <v>15008.2967405401</v>
      </c>
    </row>
    <row r="32" s="1" customFormat="1" ht="15" spans="1:31">
      <c r="A32" s="72"/>
      <c r="B32" s="76" t="s">
        <v>49</v>
      </c>
      <c r="C32" s="77">
        <v>350</v>
      </c>
      <c r="D32" s="76" t="s">
        <v>93</v>
      </c>
      <c r="E32" s="78"/>
      <c r="F32" s="106" t="s">
        <v>53</v>
      </c>
      <c r="G32" s="107">
        <f>MIN(100%,SUM(G27:G31))</f>
        <v>0.536</v>
      </c>
      <c r="H32" s="106" t="s">
        <v>54</v>
      </c>
      <c r="I32" s="108">
        <f>SUM(I27:I31)</f>
        <v>1.7</v>
      </c>
      <c r="J32" s="88"/>
      <c r="K32" s="79"/>
      <c r="L32" s="76"/>
      <c r="M32" s="77"/>
      <c r="O32" s="98">
        <v>1</v>
      </c>
      <c r="P32" s="89" t="s">
        <v>118</v>
      </c>
      <c r="Q32" s="49">
        <v>1.9801</v>
      </c>
      <c r="R32" s="57" t="s">
        <v>1</v>
      </c>
      <c r="S32" s="99">
        <f t="shared" si="23"/>
        <v>2317.4</v>
      </c>
      <c r="T32" s="100">
        <f t="shared" si="24"/>
        <v>1.57488888888889</v>
      </c>
      <c r="U32" s="100">
        <f t="shared" si="29"/>
        <v>1.806</v>
      </c>
      <c r="V32" s="101">
        <f t="shared" si="25"/>
        <v>2.53265</v>
      </c>
      <c r="W32" s="102">
        <f t="shared" si="26"/>
        <v>0.25</v>
      </c>
      <c r="X32" s="101">
        <f t="shared" si="27"/>
        <v>0.488431876606684</v>
      </c>
      <c r="Y32" s="57">
        <f t="shared" si="30"/>
        <v>0.92</v>
      </c>
      <c r="Z32" s="103">
        <v>0</v>
      </c>
      <c r="AA32" s="103">
        <v>0</v>
      </c>
      <c r="AB32" s="36">
        <v>0</v>
      </c>
      <c r="AC32" s="97">
        <f t="shared" si="28"/>
        <v>18316.9352253112</v>
      </c>
    </row>
    <row r="33" s="1" customFormat="1" ht="15" spans="1:29">
      <c r="A33" s="72"/>
      <c r="B33" s="109" t="s">
        <v>52</v>
      </c>
      <c r="C33" s="110"/>
      <c r="D33" s="109" t="s">
        <v>94</v>
      </c>
      <c r="E33" s="111"/>
      <c r="F33" s="109"/>
      <c r="G33" s="112"/>
      <c r="H33" s="109"/>
      <c r="I33" s="110"/>
      <c r="J33" s="113"/>
      <c r="K33" s="112"/>
      <c r="L33" s="109"/>
      <c r="M33" s="110"/>
      <c r="N33" s="114"/>
      <c r="O33" s="98">
        <v>1</v>
      </c>
      <c r="P33" s="89" t="s">
        <v>120</v>
      </c>
      <c r="Q33" s="49">
        <v>3.76</v>
      </c>
      <c r="R33" s="57" t="s">
        <v>1</v>
      </c>
      <c r="S33" s="99">
        <f t="shared" si="23"/>
        <v>2317.4</v>
      </c>
      <c r="T33" s="100">
        <f t="shared" si="24"/>
        <v>1.57488888888889</v>
      </c>
      <c r="U33" s="100">
        <f t="shared" si="29"/>
        <v>1.806</v>
      </c>
      <c r="V33" s="101">
        <f t="shared" si="25"/>
        <v>2.53265</v>
      </c>
      <c r="W33" s="102">
        <f t="shared" si="26"/>
        <v>0.25</v>
      </c>
      <c r="X33" s="101">
        <f t="shared" si="27"/>
        <v>0.488431876606684</v>
      </c>
      <c r="Y33" s="57">
        <f t="shared" si="30"/>
        <v>0.92</v>
      </c>
      <c r="Z33" s="103">
        <v>0</v>
      </c>
      <c r="AA33" s="103">
        <v>0</v>
      </c>
      <c r="AB33" s="36">
        <v>0</v>
      </c>
      <c r="AC33" s="97">
        <f t="shared" si="28"/>
        <v>34781.9183107773</v>
      </c>
    </row>
    <row r="34" s="1" customFormat="1" ht="15" spans="1:29">
      <c r="A34" s="72">
        <f>A27*(1+A28+A29+A30+A31)</f>
        <v>3551.269</v>
      </c>
      <c r="B34" s="115"/>
      <c r="C34" s="115">
        <f>C27*(1+C30)+C32</f>
        <v>1225</v>
      </c>
      <c r="D34" s="115"/>
      <c r="E34" s="115"/>
      <c r="F34" s="115" t="s">
        <v>155</v>
      </c>
      <c r="G34" s="116"/>
      <c r="H34" s="115"/>
      <c r="I34" s="115"/>
      <c r="J34" s="115"/>
      <c r="K34" s="115"/>
      <c r="L34" s="115"/>
      <c r="M34" s="115"/>
      <c r="N34" s="57"/>
      <c r="O34" s="98">
        <v>1</v>
      </c>
      <c r="P34" s="89" t="s">
        <v>122</v>
      </c>
      <c r="Q34" s="49">
        <v>4.9033</v>
      </c>
      <c r="R34" s="57" t="s">
        <v>1</v>
      </c>
      <c r="S34" s="99">
        <f t="shared" si="23"/>
        <v>2317.4</v>
      </c>
      <c r="T34" s="100">
        <f t="shared" si="24"/>
        <v>1.57488888888889</v>
      </c>
      <c r="U34" s="100">
        <f t="shared" si="29"/>
        <v>1.806</v>
      </c>
      <c r="V34" s="101">
        <f t="shared" si="25"/>
        <v>2.53265</v>
      </c>
      <c r="W34" s="102">
        <f t="shared" si="26"/>
        <v>0.25</v>
      </c>
      <c r="X34" s="101">
        <f t="shared" si="27"/>
        <v>0.488431876606684</v>
      </c>
      <c r="Y34" s="57">
        <f t="shared" si="30"/>
        <v>0.92</v>
      </c>
      <c r="Z34" s="103">
        <v>0</v>
      </c>
      <c r="AA34" s="103">
        <v>0</v>
      </c>
      <c r="AB34" s="36">
        <v>0</v>
      </c>
      <c r="AC34" s="97">
        <f t="shared" si="28"/>
        <v>45358.0266099028</v>
      </c>
    </row>
    <row r="35" s="1" customFormat="1" ht="15" spans="1:29">
      <c r="A35" s="117"/>
      <c r="B35" s="118"/>
      <c r="C35" s="118"/>
      <c r="D35" s="118"/>
      <c r="E35" s="118"/>
      <c r="F35" s="118"/>
      <c r="G35" s="119"/>
      <c r="N35" s="57"/>
      <c r="O35" s="98">
        <v>1</v>
      </c>
      <c r="P35" s="89" t="s">
        <v>123</v>
      </c>
      <c r="Q35" s="49">
        <v>13.3598</v>
      </c>
      <c r="R35" s="57" t="s">
        <v>1</v>
      </c>
      <c r="S35" s="99">
        <f t="shared" si="23"/>
        <v>2317.4</v>
      </c>
      <c r="T35" s="100">
        <f t="shared" si="24"/>
        <v>1.57488888888889</v>
      </c>
      <c r="U35" s="100">
        <f t="shared" si="29"/>
        <v>1.806</v>
      </c>
      <c r="V35" s="101">
        <f t="shared" si="25"/>
        <v>2.53265</v>
      </c>
      <c r="W35" s="102">
        <f t="shared" si="26"/>
        <v>0.25</v>
      </c>
      <c r="X35" s="101">
        <f t="shared" si="27"/>
        <v>0.488431876606684</v>
      </c>
      <c r="Y35" s="57">
        <f t="shared" si="30"/>
        <v>0.92</v>
      </c>
      <c r="Z35" s="103">
        <v>0</v>
      </c>
      <c r="AA35" s="103">
        <v>0</v>
      </c>
      <c r="AB35" s="36">
        <v>0</v>
      </c>
      <c r="AC35" s="97">
        <f t="shared" si="28"/>
        <v>123584.96602349</v>
      </c>
    </row>
    <row r="36" s="1" customFormat="1" ht="15" spans="1:29">
      <c r="B36" s="120" t="s">
        <v>68</v>
      </c>
      <c r="C36" s="1" t="s">
        <v>112</v>
      </c>
      <c r="D36" s="1" t="s">
        <v>113</v>
      </c>
      <c r="E36" s="1" t="s">
        <v>114</v>
      </c>
      <c r="F36" s="1" t="s">
        <v>115</v>
      </c>
      <c r="G36" s="2"/>
      <c r="N36" s="57"/>
      <c r="O36" s="98">
        <v>1</v>
      </c>
      <c r="P36" s="89" t="s">
        <v>118</v>
      </c>
      <c r="Q36" s="49">
        <v>1.9801</v>
      </c>
      <c r="R36" s="57" t="s">
        <v>1</v>
      </c>
      <c r="S36" s="99">
        <f t="shared" si="23"/>
        <v>2317.4</v>
      </c>
      <c r="T36" s="100">
        <f t="shared" si="24"/>
        <v>1.57488888888889</v>
      </c>
      <c r="U36" s="100">
        <f t="shared" si="29"/>
        <v>1.806</v>
      </c>
      <c r="V36" s="101">
        <f t="shared" si="25"/>
        <v>2.53265</v>
      </c>
      <c r="W36" s="102">
        <f t="shared" si="26"/>
        <v>0.25</v>
      </c>
      <c r="X36" s="101">
        <f t="shared" si="27"/>
        <v>0.488431876606684</v>
      </c>
      <c r="Y36" s="57">
        <f t="shared" si="30"/>
        <v>0.92</v>
      </c>
      <c r="Z36" s="103">
        <v>0</v>
      </c>
      <c r="AA36" s="103">
        <v>0</v>
      </c>
      <c r="AB36" s="36">
        <v>0</v>
      </c>
      <c r="AC36" s="97">
        <f t="shared" si="28"/>
        <v>18316.9352253112</v>
      </c>
    </row>
    <row r="37" s="1" customFormat="1" ht="15" spans="1:29">
      <c r="B37" s="121" t="s">
        <v>156</v>
      </c>
      <c r="C37" s="122" t="s">
        <v>70</v>
      </c>
      <c r="D37" s="122" t="s">
        <v>71</v>
      </c>
      <c r="E37" s="122" t="s">
        <v>72</v>
      </c>
      <c r="F37" s="122" t="s">
        <v>73</v>
      </c>
      <c r="G37" s="2"/>
      <c r="N37" s="57"/>
      <c r="O37" s="98">
        <v>1</v>
      </c>
      <c r="P37" s="89" t="s">
        <v>124</v>
      </c>
      <c r="Q37" s="49">
        <v>1.0599</v>
      </c>
      <c r="R37" s="57" t="s">
        <v>1</v>
      </c>
      <c r="S37" s="99">
        <f t="shared" si="23"/>
        <v>2317.4</v>
      </c>
      <c r="T37" s="100">
        <f t="shared" si="24"/>
        <v>1.57488888888889</v>
      </c>
      <c r="U37" s="100">
        <f t="shared" si="29"/>
        <v>1.806</v>
      </c>
      <c r="V37" s="101">
        <f t="shared" si="25"/>
        <v>2.53265</v>
      </c>
      <c r="W37" s="102">
        <f t="shared" si="26"/>
        <v>0.25</v>
      </c>
      <c r="X37" s="101">
        <f t="shared" si="27"/>
        <v>0.488431876606684</v>
      </c>
      <c r="Y37" s="57">
        <f t="shared" si="30"/>
        <v>0.92</v>
      </c>
      <c r="Z37" s="103">
        <v>0</v>
      </c>
      <c r="AA37" s="103">
        <v>0</v>
      </c>
      <c r="AB37" s="36">
        <v>0</v>
      </c>
      <c r="AC37" s="97">
        <f t="shared" si="28"/>
        <v>9804.61574935982</v>
      </c>
    </row>
    <row r="38" s="1" customFormat="1" ht="15" spans="1:29">
      <c r="B38" s="4" t="s">
        <v>84</v>
      </c>
      <c r="C38" s="123">
        <f>SUM(AC3:AC27)</f>
        <v>4758921.41986627</v>
      </c>
      <c r="D38" s="123">
        <f t="shared" ref="D38:D41" si="31">C38/$E$38</f>
        <v>190356.856794651</v>
      </c>
      <c r="E38" s="124">
        <v>25</v>
      </c>
      <c r="F38" s="125">
        <f t="shared" ref="F38:F41" si="32">C38/$C$42</f>
        <v>0.90137793391626</v>
      </c>
      <c r="G38" s="2"/>
      <c r="O38" s="98">
        <v>0</v>
      </c>
      <c r="P38" s="89" t="s">
        <v>130</v>
      </c>
      <c r="Q38" s="49">
        <v>3.1056</v>
      </c>
      <c r="R38" s="57" t="s">
        <v>96</v>
      </c>
      <c r="S38" s="99">
        <f t="shared" si="23"/>
        <v>2317.4</v>
      </c>
      <c r="T38" s="100">
        <f t="shared" si="24"/>
        <v>1.57488888888889</v>
      </c>
      <c r="U38" s="100">
        <f t="shared" si="29"/>
        <v>1.32</v>
      </c>
      <c r="V38" s="101">
        <f t="shared" si="25"/>
        <v>2.53265</v>
      </c>
      <c r="W38" s="102">
        <f t="shared" si="26"/>
        <v>0.25</v>
      </c>
      <c r="X38" s="101">
        <f t="shared" si="27"/>
        <v>0.488431876606684</v>
      </c>
      <c r="Y38" s="57">
        <f t="shared" si="30"/>
        <v>0.92</v>
      </c>
      <c r="Z38" s="103">
        <v>0</v>
      </c>
      <c r="AA38" s="103">
        <v>0</v>
      </c>
      <c r="AB38" s="36">
        <v>0</v>
      </c>
      <c r="AC38" s="97">
        <f t="shared" si="28"/>
        <v>0</v>
      </c>
    </row>
    <row r="39" s="1" customFormat="1" ht="15" spans="1:29">
      <c r="A39" s="1" t="s">
        <v>157</v>
      </c>
      <c r="B39" s="4" t="s">
        <v>100</v>
      </c>
      <c r="C39" s="123">
        <f>SUM(AC28:AC39)</f>
        <v>329564.296987448</v>
      </c>
      <c r="D39" s="123">
        <f t="shared" si="31"/>
        <v>13182.5718794979</v>
      </c>
      <c r="E39" s="126"/>
      <c r="F39" s="125">
        <f t="shared" si="32"/>
        <v>0.0624221244484131</v>
      </c>
      <c r="G39" s="2"/>
      <c r="O39" s="127">
        <v>1</v>
      </c>
      <c r="P39" s="89" t="s">
        <v>131</v>
      </c>
      <c r="Q39" s="56">
        <v>3.7804</v>
      </c>
      <c r="R39" s="128" t="s">
        <v>1</v>
      </c>
      <c r="S39" s="129">
        <f t="shared" si="23"/>
        <v>2317.4</v>
      </c>
      <c r="T39" s="130">
        <f t="shared" si="24"/>
        <v>1.57488888888889</v>
      </c>
      <c r="U39" s="130">
        <f t="shared" si="29"/>
        <v>1.806</v>
      </c>
      <c r="V39" s="131">
        <f>1+$G$22*($I$22-1+25%)</f>
        <v>2.7214</v>
      </c>
      <c r="W39" s="132">
        <f t="shared" si="26"/>
        <v>0.25</v>
      </c>
      <c r="X39" s="131">
        <f t="shared" si="27"/>
        <v>0.488431876606684</v>
      </c>
      <c r="Y39" s="128">
        <f t="shared" si="30"/>
        <v>0.92</v>
      </c>
      <c r="Z39" s="133">
        <v>0</v>
      </c>
      <c r="AA39" s="133">
        <v>0</v>
      </c>
      <c r="AB39" s="53">
        <v>0</v>
      </c>
      <c r="AC39" s="97">
        <f t="shared" si="28"/>
        <v>37576.8736283694</v>
      </c>
    </row>
    <row r="40" s="1" customFormat="1" ht="15" spans="1:29">
      <c r="B40" s="4" t="s">
        <v>139</v>
      </c>
      <c r="C40" s="123">
        <f>SUM(AC44:AC49)+AC41</f>
        <v>87686.1363648362</v>
      </c>
      <c r="D40" s="123">
        <f t="shared" si="31"/>
        <v>3507.44545459345</v>
      </c>
      <c r="E40" s="134"/>
      <c r="F40" s="125">
        <f t="shared" si="32"/>
        <v>0.0166084583997726</v>
      </c>
      <c r="G40" s="2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</row>
    <row r="41" s="1" customFormat="1" ht="15" spans="1:29">
      <c r="B41" s="4" t="s">
        <v>74</v>
      </c>
      <c r="C41" s="123">
        <f>AC42</f>
        <v>103435.335732648</v>
      </c>
      <c r="D41" s="123">
        <f t="shared" si="31"/>
        <v>4137.41342930591</v>
      </c>
      <c r="E41" s="134"/>
      <c r="F41" s="125">
        <f t="shared" si="32"/>
        <v>0.019591483235554</v>
      </c>
      <c r="G41" s="2"/>
      <c r="O41" s="34">
        <f>$O$42</f>
        <v>1.5</v>
      </c>
      <c r="P41" s="57" t="s">
        <v>67</v>
      </c>
      <c r="Q41" s="100">
        <v>2.9822</v>
      </c>
      <c r="R41" s="57" t="s">
        <v>66</v>
      </c>
      <c r="S41" s="57">
        <v>10027</v>
      </c>
      <c r="T41" s="100">
        <v>0</v>
      </c>
      <c r="U41" s="100">
        <v>0</v>
      </c>
      <c r="V41" s="101">
        <v>1</v>
      </c>
      <c r="W41" s="102">
        <v>0</v>
      </c>
      <c r="X41" s="101">
        <f t="shared" ref="X41:X49" si="33">$AH$3</f>
        <v>0.488431876606684</v>
      </c>
      <c r="Y41" s="137">
        <f>$AH$13</f>
        <v>0.8</v>
      </c>
      <c r="Z41" s="103">
        <v>0</v>
      </c>
      <c r="AA41" s="103">
        <v>0</v>
      </c>
      <c r="AB41" s="36">
        <v>0.5</v>
      </c>
      <c r="AC41" s="138">
        <f>Q41*S41*(1+T41)*(1+U41)*V41*(1+W41)*X41*Y41*(1+Z41)*(1+AA41)*(1+AB41)*O41</f>
        <v>26289.6185984576</v>
      </c>
    </row>
    <row r="42" s="1" customFormat="1" ht="15" spans="1:29">
      <c r="B42" s="4" t="s">
        <v>82</v>
      </c>
      <c r="C42" s="139">
        <f>SUM(C38:C41)</f>
        <v>5279607.1889512</v>
      </c>
      <c r="D42" s="139">
        <f>C42/E38</f>
        <v>211184.287558048</v>
      </c>
      <c r="E42" s="140"/>
      <c r="F42" s="141"/>
      <c r="G42" s="2"/>
      <c r="O42" s="20">
        <v>1.5</v>
      </c>
      <c r="P42" s="137" t="s">
        <v>74</v>
      </c>
      <c r="Q42" s="145">
        <v>16</v>
      </c>
      <c r="R42" s="137" t="s">
        <v>75</v>
      </c>
      <c r="S42" s="137">
        <v>10027</v>
      </c>
      <c r="T42" s="145">
        <v>0</v>
      </c>
      <c r="U42" s="145">
        <v>0</v>
      </c>
      <c r="V42" s="146">
        <v>1</v>
      </c>
      <c r="W42" s="147">
        <v>0</v>
      </c>
      <c r="X42" s="146">
        <f t="shared" si="33"/>
        <v>0.488431876606684</v>
      </c>
      <c r="Y42" s="137">
        <f>$AH$13</f>
        <v>0.8</v>
      </c>
      <c r="Z42" s="148">
        <v>0</v>
      </c>
      <c r="AA42" s="148">
        <v>0</v>
      </c>
      <c r="AB42" s="148">
        <v>0.1</v>
      </c>
      <c r="AC42" s="149">
        <f>Q42*S42*(1+T42)*(1+U42)*V42*(1+W42)*X42*Y42*(1+Z42)*(1+AA42)*(1+AB42)*O42</f>
        <v>103435.335732648</v>
      </c>
    </row>
    <row r="43" s="1" customFormat="1" spans="1:29">
      <c r="B43" s="4"/>
      <c r="C43" s="4"/>
      <c r="D43" s="4"/>
      <c r="G43" s="2"/>
      <c r="Q43" s="2"/>
      <c r="U43" s="2"/>
      <c r="V43" s="3"/>
      <c r="AB43" s="4"/>
      <c r="AC43" s="4"/>
    </row>
    <row r="44" s="1" customFormat="1" ht="15" spans="1:29">
      <c r="B44" s="151" t="s">
        <v>125</v>
      </c>
      <c r="C44" s="152" t="s">
        <v>126</v>
      </c>
      <c r="D44" s="152" t="s">
        <v>128</v>
      </c>
      <c r="E44" s="152"/>
      <c r="F44" s="153"/>
      <c r="G44" s="167"/>
      <c r="H44" s="242" t="s">
        <v>169</v>
      </c>
      <c r="I44" s="1">
        <v>84385</v>
      </c>
      <c r="O44" s="66">
        <v>1</v>
      </c>
      <c r="P44" s="155" t="s">
        <v>158</v>
      </c>
      <c r="Q44" s="90">
        <v>2.0279</v>
      </c>
      <c r="R44" s="91" t="s">
        <v>110</v>
      </c>
      <c r="S44" s="92">
        <f t="shared" ref="S44:S47" si="34">C$34</f>
        <v>1225</v>
      </c>
      <c r="T44" s="93">
        <f t="shared" ref="T44:T47" si="35">S44/$C$27-1</f>
        <v>0.96</v>
      </c>
      <c r="U44" s="93">
        <f t="shared" ref="U44:U47" si="36">E$30</f>
        <v>0.4</v>
      </c>
      <c r="V44" s="94">
        <f t="shared" ref="V44:V47" si="37">1+$G$32*($I$32-1)</f>
        <v>1.3752</v>
      </c>
      <c r="W44" s="95">
        <f t="shared" ref="W44:W49" si="38">K$27</f>
        <v>0.25</v>
      </c>
      <c r="X44" s="94">
        <f t="shared" si="33"/>
        <v>0.488431876606684</v>
      </c>
      <c r="Y44" s="91">
        <f t="shared" ref="Y44:Y49" si="39">$AH$14</f>
        <v>0.8</v>
      </c>
      <c r="Z44" s="96">
        <v>0</v>
      </c>
      <c r="AA44" s="96">
        <v>0</v>
      </c>
      <c r="AB44" s="39">
        <v>0</v>
      </c>
      <c r="AC44" s="155">
        <f t="shared" ref="AC44:AC47" si="40">Q44*$C$27*(1+T44)*(1+U44)*V44*(1+W44)*X44*Y44*(1+Z44)*(1+AA44)*(1+AB44)*O44</f>
        <v>2336.0413338509</v>
      </c>
    </row>
    <row r="45" s="1" customFormat="1" ht="15" spans="1:29">
      <c r="B45" s="156"/>
      <c r="C45" s="157" t="s">
        <v>162</v>
      </c>
      <c r="D45" s="157" t="s">
        <v>129</v>
      </c>
      <c r="E45" s="157"/>
      <c r="F45" s="158"/>
      <c r="G45" s="2"/>
      <c r="H45" s="1">
        <v>11</v>
      </c>
      <c r="I45" s="1">
        <v>94885</v>
      </c>
      <c r="O45" s="34">
        <v>1</v>
      </c>
      <c r="P45" s="155" t="s">
        <v>159</v>
      </c>
      <c r="Q45" s="49">
        <f>22.27%+16.71%*2+23.86%+23.86%+17.9%*4+41.36%+10.34%*6</f>
        <v>2.7841</v>
      </c>
      <c r="R45" s="57" t="s">
        <v>1</v>
      </c>
      <c r="S45" s="99">
        <f t="shared" si="34"/>
        <v>1225</v>
      </c>
      <c r="T45" s="100">
        <f t="shared" si="35"/>
        <v>0.96</v>
      </c>
      <c r="U45" s="100">
        <f t="shared" si="36"/>
        <v>0.4</v>
      </c>
      <c r="V45" s="101">
        <f t="shared" si="37"/>
        <v>1.3752</v>
      </c>
      <c r="W45" s="102">
        <f t="shared" si="38"/>
        <v>0.25</v>
      </c>
      <c r="X45" s="101">
        <f t="shared" si="33"/>
        <v>0.488431876606684</v>
      </c>
      <c r="Y45" s="57">
        <f t="shared" si="39"/>
        <v>0.8</v>
      </c>
      <c r="Z45" s="103">
        <v>0</v>
      </c>
      <c r="AA45" s="103">
        <v>0</v>
      </c>
      <c r="AB45" s="36">
        <v>0</v>
      </c>
      <c r="AC45" s="155">
        <f t="shared" si="40"/>
        <v>3207.14664311568</v>
      </c>
    </row>
    <row r="46" s="1" customFormat="1" ht="15" spans="1:29">
      <c r="B46" s="159"/>
      <c r="C46" s="159"/>
      <c r="D46" s="159"/>
      <c r="E46" s="159"/>
      <c r="F46" s="159"/>
      <c r="G46" s="2"/>
      <c r="H46" s="1">
        <v>21</v>
      </c>
      <c r="I46" s="1">
        <v>119800</v>
      </c>
      <c r="O46" s="34">
        <v>1</v>
      </c>
      <c r="P46" s="155" t="s">
        <v>160</v>
      </c>
      <c r="Q46" s="49">
        <f>39.77%*4</f>
        <v>1.5908</v>
      </c>
      <c r="R46" s="57" t="s">
        <v>83</v>
      </c>
      <c r="S46" s="99">
        <f t="shared" si="34"/>
        <v>1225</v>
      </c>
      <c r="T46" s="100">
        <f t="shared" si="35"/>
        <v>0.96</v>
      </c>
      <c r="U46" s="100">
        <f t="shared" si="36"/>
        <v>0.4</v>
      </c>
      <c r="V46" s="101">
        <f t="shared" si="37"/>
        <v>1.3752</v>
      </c>
      <c r="W46" s="102">
        <f t="shared" si="38"/>
        <v>0.25</v>
      </c>
      <c r="X46" s="101">
        <f t="shared" si="33"/>
        <v>0.488431876606684</v>
      </c>
      <c r="Y46" s="57">
        <f t="shared" si="39"/>
        <v>0.8</v>
      </c>
      <c r="Z46" s="103">
        <v>0</v>
      </c>
      <c r="AA46" s="103">
        <v>0</v>
      </c>
      <c r="AB46" s="36">
        <v>0</v>
      </c>
      <c r="AC46" s="155">
        <f t="shared" si="40"/>
        <v>1832.52357310026</v>
      </c>
    </row>
    <row r="47" s="1" customFormat="1" ht="15" spans="1:29">
      <c r="B47" s="160" t="s">
        <v>132</v>
      </c>
      <c r="C47" s="161" t="s">
        <v>133</v>
      </c>
      <c r="D47" s="161" t="s">
        <v>134</v>
      </c>
      <c r="E47" s="91"/>
      <c r="F47" s="162"/>
      <c r="H47" s="1">
        <v>31</v>
      </c>
      <c r="I47" s="1">
        <v>136048</v>
      </c>
      <c r="O47" s="34">
        <v>1</v>
      </c>
      <c r="P47" s="155" t="s">
        <v>95</v>
      </c>
      <c r="Q47" s="49">
        <v>3.51</v>
      </c>
      <c r="R47" s="57" t="s">
        <v>96</v>
      </c>
      <c r="S47" s="99">
        <f t="shared" si="34"/>
        <v>1225</v>
      </c>
      <c r="T47" s="100">
        <f t="shared" si="35"/>
        <v>0.96</v>
      </c>
      <c r="U47" s="100">
        <f t="shared" si="36"/>
        <v>0.4</v>
      </c>
      <c r="V47" s="101">
        <f t="shared" si="37"/>
        <v>1.3752</v>
      </c>
      <c r="W47" s="102">
        <f t="shared" si="38"/>
        <v>0.25</v>
      </c>
      <c r="X47" s="101">
        <f t="shared" si="33"/>
        <v>0.488431876606684</v>
      </c>
      <c r="Y47" s="57">
        <f t="shared" si="39"/>
        <v>0.8</v>
      </c>
      <c r="Z47" s="103">
        <v>0</v>
      </c>
      <c r="AA47" s="103">
        <v>0</v>
      </c>
      <c r="AB47" s="36">
        <v>0</v>
      </c>
      <c r="AC47" s="155">
        <f t="shared" si="40"/>
        <v>4043.34783856041</v>
      </c>
    </row>
    <row r="48" s="1" customFormat="1" ht="15" spans="1:29">
      <c r="B48" s="163"/>
      <c r="C48" s="134" t="s">
        <v>164</v>
      </c>
      <c r="D48" s="134" t="s">
        <v>165</v>
      </c>
      <c r="F48" s="164"/>
      <c r="G48" s="2"/>
      <c r="H48" s="1">
        <v>41</v>
      </c>
      <c r="I48" s="1">
        <v>145565</v>
      </c>
      <c r="O48" s="34">
        <v>1</v>
      </c>
      <c r="P48" s="155" t="s">
        <v>161</v>
      </c>
      <c r="Q48" s="49">
        <v>5.2233</v>
      </c>
      <c r="R48" s="57" t="s">
        <v>120</v>
      </c>
      <c r="S48" s="99">
        <f>A34</f>
        <v>3551.269</v>
      </c>
      <c r="T48" s="100">
        <v>0</v>
      </c>
      <c r="U48" s="100">
        <f>E$30+M30</f>
        <v>0.572</v>
      </c>
      <c r="V48" s="101">
        <f>I32+1.6</f>
        <v>3.3</v>
      </c>
      <c r="W48" s="102">
        <f t="shared" si="38"/>
        <v>0.25</v>
      </c>
      <c r="X48" s="101">
        <f t="shared" si="33"/>
        <v>0.488431876606684</v>
      </c>
      <c r="Y48" s="57">
        <f t="shared" si="39"/>
        <v>0.8</v>
      </c>
      <c r="Z48" s="103">
        <v>0</v>
      </c>
      <c r="AA48" s="103">
        <v>0</v>
      </c>
      <c r="AB48" s="36">
        <v>0</v>
      </c>
      <c r="AC48" s="155">
        <f>Q48*S48*(1+T48)*(1+U48)*V48*(1+W48)*X48*Y48*(1+Z48)*(1+AA48)*(1+AB48)*O48</f>
        <v>47000.1259493915</v>
      </c>
    </row>
    <row r="49" s="1" customFormat="1" ht="15" spans="2:29">
      <c r="B49" s="165"/>
      <c r="C49" s="166" t="s">
        <v>166</v>
      </c>
      <c r="D49" s="166" t="s">
        <v>167</v>
      </c>
      <c r="E49" s="128"/>
      <c r="F49" s="52"/>
      <c r="G49" s="2"/>
      <c r="H49" s="1">
        <v>61</v>
      </c>
      <c r="I49" s="1">
        <v>211184</v>
      </c>
      <c r="O49" s="51">
        <v>1</v>
      </c>
      <c r="P49" s="155" t="s">
        <v>163</v>
      </c>
      <c r="Q49" s="56">
        <f>258.46%</f>
        <v>2.5846</v>
      </c>
      <c r="R49" s="128" t="s">
        <v>83</v>
      </c>
      <c r="S49" s="129">
        <f>C$34</f>
        <v>1225</v>
      </c>
      <c r="T49" s="130">
        <f>S49/$C$27-1</f>
        <v>0.96</v>
      </c>
      <c r="U49" s="130">
        <f>E$30</f>
        <v>0.4</v>
      </c>
      <c r="V49" s="131">
        <f>1+$G$32*($I$32-1)</f>
        <v>1.3752</v>
      </c>
      <c r="W49" s="132">
        <f t="shared" si="38"/>
        <v>0.25</v>
      </c>
      <c r="X49" s="131">
        <f t="shared" si="33"/>
        <v>0.488431876606684</v>
      </c>
      <c r="Y49" s="128">
        <f t="shared" si="39"/>
        <v>0.8</v>
      </c>
      <c r="Z49" s="133">
        <v>0</v>
      </c>
      <c r="AA49" s="133">
        <v>0</v>
      </c>
      <c r="AB49" s="53">
        <v>0</v>
      </c>
      <c r="AC49" s="155">
        <f>Q49*$C$27*(1+T49)*(1+U49)*V49*(1+W49)*X49*Y49*(1+Z49)*(1+AA49)*(1+AB49)*O49</f>
        <v>2977.3324283599</v>
      </c>
    </row>
    <row r="50" s="1" customFormat="1" spans="2:29">
      <c r="B50" s="4"/>
      <c r="C50" s="4"/>
      <c r="D50" s="4"/>
      <c r="F50" s="4"/>
      <c r="G50" s="2"/>
      <c r="H50" s="1">
        <v>65</v>
      </c>
      <c r="Q50" s="2"/>
      <c r="U50" s="2"/>
      <c r="V50" s="3"/>
      <c r="AB50" s="4"/>
      <c r="AC50" s="4"/>
    </row>
    <row r="51" s="1" customFormat="1" spans="2:29">
      <c r="B51" s="4"/>
      <c r="C51" s="4"/>
      <c r="D51" s="4"/>
      <c r="F51" s="4"/>
      <c r="G51" s="2"/>
      <c r="Q51" s="2"/>
      <c r="U51" s="2"/>
      <c r="V51" s="3"/>
      <c r="AB51" s="4"/>
      <c r="AC51" s="4"/>
    </row>
    <row r="52" s="1" customFormat="1" spans="2:29">
      <c r="G52" s="2"/>
      <c r="Q52" s="2"/>
      <c r="U52" s="2"/>
      <c r="V52" s="3"/>
      <c r="AB52" s="4"/>
      <c r="AC52" s="4"/>
    </row>
    <row r="53" s="1" customFormat="1" spans="2:29">
      <c r="B53" s="4"/>
      <c r="C53" s="4"/>
      <c r="D53" s="4"/>
      <c r="F53" s="4"/>
      <c r="G53" s="2"/>
      <c r="Q53" s="2"/>
      <c r="U53" s="2"/>
      <c r="V53" s="3"/>
      <c r="AB53" s="4"/>
      <c r="AC53" s="4"/>
    </row>
    <row r="54" s="1" customFormat="1" spans="2:29">
      <c r="B54" s="4"/>
      <c r="C54" s="4"/>
      <c r="D54" s="4"/>
      <c r="F54" s="4"/>
      <c r="G54" s="2"/>
      <c r="Q54" s="2"/>
      <c r="U54" s="2"/>
      <c r="V54" s="3"/>
      <c r="AB54" s="4"/>
      <c r="AC54" s="4"/>
    </row>
    <row r="55" s="1" customFormat="1" spans="2:29">
      <c r="G55" s="2"/>
      <c r="Q55" s="2"/>
      <c r="U55" s="2"/>
      <c r="V55" s="3"/>
      <c r="AB55" s="4"/>
      <c r="AC55" s="4"/>
    </row>
    <row r="56" s="1" customFormat="1" spans="2:29">
      <c r="B56" s="4"/>
      <c r="C56" s="4"/>
      <c r="D56" s="4"/>
      <c r="F56" s="4"/>
      <c r="G56" s="2"/>
      <c r="Q56" s="2"/>
      <c r="U56" s="2"/>
      <c r="V56" s="3"/>
      <c r="AB56" s="4"/>
      <c r="AC56" s="4"/>
    </row>
    <row r="57" s="1" customFormat="1" spans="2:29">
      <c r="B57" s="4"/>
      <c r="C57" s="4"/>
      <c r="D57" s="4"/>
      <c r="G57" s="2"/>
      <c r="Q57" s="2"/>
      <c r="U57" s="2"/>
      <c r="V57" s="3"/>
      <c r="AB57" s="4"/>
      <c r="AC57" s="4"/>
    </row>
    <row r="59" s="1" customFormat="1" spans="2:29">
      <c r="B59" s="4"/>
      <c r="C59" s="4"/>
      <c r="D59" s="4"/>
      <c r="G59" s="2"/>
      <c r="Q59" s="2"/>
      <c r="R59" s="1"/>
      <c r="S59" s="1"/>
      <c r="T59" s="1"/>
      <c r="U59" s="2"/>
      <c r="V59" s="3"/>
      <c r="W59" s="1"/>
      <c r="X59" s="1"/>
      <c r="Y59" s="1"/>
      <c r="Z59" s="1"/>
      <c r="AA59" s="1"/>
      <c r="AB59" s="4"/>
      <c r="AC59" s="4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5:M25"/>
    <mergeCell ref="B26:C26"/>
    <mergeCell ref="D26:E26"/>
    <mergeCell ref="F26:G26"/>
    <mergeCell ref="H26:I26"/>
    <mergeCell ref="J26:K26"/>
    <mergeCell ref="L26:M2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9"/>
  <sheetViews>
    <sheetView topLeftCell="A25" workbookViewId="0">
      <selection activeCell="D52" sqref="D52"/>
    </sheetView>
  </sheetViews>
  <sheetFormatPr defaultColWidth="9.69090909090909" defaultRowHeight="14"/>
  <cols>
    <col min="1" max="1" width="7.54545454545455" style="1" customWidth="1"/>
    <col min="2" max="2" width="15" style="1" customWidth="1"/>
    <col min="3" max="3" width="15.3636363636364" style="1" customWidth="1"/>
    <col min="4" max="4" width="13.9090909090909" style="1" customWidth="1"/>
    <col min="5" max="5" width="9.54545454545454" style="1" customWidth="1"/>
    <col min="6" max="6" width="13.9090909090909" style="1" customWidth="1"/>
    <col min="7" max="7" width="8.45454545454546" style="2" customWidth="1"/>
    <col min="8" max="8" width="15.0909090909091" style="1" customWidth="1"/>
    <col min="9" max="10" width="9.36363636363636" style="1" customWidth="1"/>
    <col min="11" max="11" width="4.72727272727273" style="1" customWidth="1"/>
    <col min="12" max="12" width="9.54545454545454" style="1" customWidth="1"/>
    <col min="13" max="13" width="7.36363636363636" style="1" customWidth="1"/>
    <col min="14" max="14" width="5.54545454545455" style="1" customWidth="1"/>
    <col min="15" max="15" width="6.09090909090909" style="1" customWidth="1"/>
    <col min="16" max="16" width="17.2727272727273" style="1" customWidth="1"/>
    <col min="17" max="17" width="9.54545454545454" style="2" customWidth="1"/>
    <col min="18" max="18" width="6.09090909090909" style="1" customWidth="1"/>
    <col min="19" max="19" width="10.4545454545455" style="1" customWidth="1"/>
    <col min="20" max="20" width="8.45454545454546" style="1" customWidth="1"/>
    <col min="21" max="21" width="8.45454545454546" style="2" customWidth="1"/>
    <col min="22" max="22" width="8.27272727272727" style="3" customWidth="1"/>
    <col min="23" max="25" width="8.27272727272727" style="1" customWidth="1"/>
    <col min="26" max="26" width="10.4545454545455" style="1" customWidth="1"/>
    <col min="27" max="27" width="8.27272727272727" style="1" customWidth="1"/>
    <col min="28" max="28" width="10.4545454545455" style="4" customWidth="1"/>
    <col min="29" max="29" width="9.45454545454546" style="4" customWidth="1"/>
    <col min="30" max="31" width="5.90909090909091" style="1" customWidth="1"/>
    <col min="32" max="32" width="9.54545454545454" style="1" customWidth="1"/>
    <col min="33" max="33" width="5.90909090909091" style="1" customWidth="1"/>
    <col min="34" max="34" width="8" style="1" customWidth="1"/>
    <col min="35" max="35" width="9.54545454545454" style="1" customWidth="1"/>
    <col min="36" max="16384" width="9.69090909090909" style="1"/>
  </cols>
  <sheetData>
    <row r="1" s="1" customFormat="1" ht="14.75" spans="2:35">
      <c r="B1" s="5" t="s">
        <v>0</v>
      </c>
      <c r="C1" s="5" t="s">
        <v>83</v>
      </c>
      <c r="D1" s="6" t="s">
        <v>2</v>
      </c>
      <c r="E1" s="6">
        <v>2</v>
      </c>
      <c r="Q1" s="2"/>
      <c r="U1" s="2"/>
      <c r="V1" s="3"/>
      <c r="AB1" s="4"/>
      <c r="AC1" s="4"/>
    </row>
    <row r="2" s="1" customFormat="1" ht="15" spans="2:35">
      <c r="B2" s="7" t="s">
        <v>84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4</v>
      </c>
      <c r="P2" s="11" t="s">
        <v>5</v>
      </c>
      <c r="Q2" s="12" t="s">
        <v>6</v>
      </c>
      <c r="R2" s="11" t="s">
        <v>7</v>
      </c>
      <c r="S2" s="11" t="s">
        <v>8</v>
      </c>
      <c r="T2" s="13" t="s">
        <v>9</v>
      </c>
      <c r="U2" s="12" t="s">
        <v>10</v>
      </c>
      <c r="V2" s="14" t="s">
        <v>11</v>
      </c>
      <c r="W2" s="11" t="s">
        <v>12</v>
      </c>
      <c r="X2" s="11" t="s">
        <v>13</v>
      </c>
      <c r="Y2" s="11" t="s">
        <v>14</v>
      </c>
      <c r="Z2" s="11" t="s">
        <v>15</v>
      </c>
      <c r="AA2" s="11" t="s">
        <v>16</v>
      </c>
      <c r="AB2" s="15" t="s">
        <v>17</v>
      </c>
      <c r="AC2" s="16" t="s">
        <v>18</v>
      </c>
      <c r="AD2" s="17" t="s">
        <v>85</v>
      </c>
      <c r="AE2" s="17" t="s">
        <v>86</v>
      </c>
      <c r="AF2" s="18" t="s">
        <v>21</v>
      </c>
      <c r="AG2" s="18" t="s">
        <v>22</v>
      </c>
      <c r="AH2" s="19" t="s">
        <v>13</v>
      </c>
      <c r="AI2" s="19" t="s">
        <v>23</v>
      </c>
    </row>
    <row r="3" s="1" customFormat="1" ht="15" spans="2:35">
      <c r="B3" s="20" t="s">
        <v>24</v>
      </c>
      <c r="C3" s="21"/>
      <c r="D3" s="20" t="s">
        <v>10</v>
      </c>
      <c r="E3" s="21"/>
      <c r="F3" s="20" t="s">
        <v>25</v>
      </c>
      <c r="G3" s="21"/>
      <c r="H3" s="20" t="s">
        <v>26</v>
      </c>
      <c r="I3" s="21"/>
      <c r="J3" s="20" t="s">
        <v>12</v>
      </c>
      <c r="K3" s="21"/>
      <c r="L3" s="20" t="s">
        <v>27</v>
      </c>
      <c r="M3" s="21"/>
      <c r="O3" s="22">
        <v>1</v>
      </c>
      <c r="P3" s="23" t="s">
        <v>87</v>
      </c>
      <c r="Q3" s="24">
        <v>5.9643</v>
      </c>
      <c r="R3" s="25" t="s">
        <v>83</v>
      </c>
      <c r="S3" s="26">
        <f t="shared" ref="S3:S18" si="0">$C$4*(1+C$5+C$6+C$7+C$8)+C$9</f>
        <v>2887.472</v>
      </c>
      <c r="T3" s="27">
        <f t="shared" ref="T3:T27" si="1">S3/$C$4-1</f>
        <v>1.819796875</v>
      </c>
      <c r="U3" s="27">
        <f t="shared" ref="U3:U7" si="2">IF(R3=$C$1,SUM($E$4:$E$9),SUM($E$4:$E$8))</f>
        <v>2.232</v>
      </c>
      <c r="V3" s="28">
        <f t="shared" ref="V3:V27" si="3">1+$G$10*($I$10-1+AD3*2.5%+AE3*1%)</f>
        <v>4.0318</v>
      </c>
      <c r="W3" s="29">
        <f t="shared" ref="W3:W7" si="4">IF(R3=$C$1,$K$4+$K$5,$K$4)</f>
        <v>0.7</v>
      </c>
      <c r="X3" s="28">
        <f t="shared" ref="X3:X27" si="5">$AH$4</f>
        <v>0.531974465225669</v>
      </c>
      <c r="Y3" s="25">
        <f t="shared" ref="Y3:Y30" si="6">$AH$11</f>
        <v>0.8</v>
      </c>
      <c r="Z3" s="30">
        <v>0</v>
      </c>
      <c r="AA3" s="30">
        <v>0</v>
      </c>
      <c r="AB3" s="31">
        <v>0</v>
      </c>
      <c r="AC3" s="23">
        <f t="shared" ref="AC3:AC27" si="7">Q3*$C$4*(1+T3)*(1+U3)*V3*(1+W3)*X3*Y3*(1+Z3)*(1+AA3)*(1+AB3)*O3</f>
        <v>162359.344487636</v>
      </c>
      <c r="AD3" s="32">
        <v>24</v>
      </c>
      <c r="AE3" s="32">
        <v>23</v>
      </c>
      <c r="AF3" s="18">
        <v>0</v>
      </c>
      <c r="AG3" s="18">
        <v>0</v>
      </c>
      <c r="AH3" s="19">
        <f t="shared" ref="AH3:AH8" si="8">1520/(1520+(792+8*AI3)*(1-AG3/100))</f>
        <v>0.488431876606684</v>
      </c>
      <c r="AI3" s="33">
        <v>100</v>
      </c>
    </row>
    <row r="4" s="1" customFormat="1" ht="15" spans="2:35">
      <c r="B4" s="34" t="s">
        <v>28</v>
      </c>
      <c r="C4" s="35">
        <f>437+587</f>
        <v>1024</v>
      </c>
      <c r="D4" s="34" t="s">
        <v>29</v>
      </c>
      <c r="E4" s="36">
        <f>E1*30%</f>
        <v>0.6</v>
      </c>
      <c r="F4" s="34" t="s">
        <v>30</v>
      </c>
      <c r="G4" s="37">
        <v>0.13</v>
      </c>
      <c r="H4" s="34" t="s">
        <v>30</v>
      </c>
      <c r="I4" s="37">
        <v>1.5</v>
      </c>
      <c r="J4" s="38" t="s">
        <v>31</v>
      </c>
      <c r="K4" s="39">
        <f>25%+20%</f>
        <v>0.45</v>
      </c>
      <c r="L4" s="34" t="s">
        <v>32</v>
      </c>
      <c r="M4" s="37">
        <f>8.6%*3</f>
        <v>0.258</v>
      </c>
      <c r="O4" s="40">
        <v>1</v>
      </c>
      <c r="P4" s="23" t="s">
        <v>88</v>
      </c>
      <c r="Q4" s="41">
        <f>39.23%+26.15%*2</f>
        <v>0.9153</v>
      </c>
      <c r="R4" s="42" t="s">
        <v>1</v>
      </c>
      <c r="S4" s="43">
        <f t="shared" si="0"/>
        <v>2887.472</v>
      </c>
      <c r="T4" s="44">
        <f t="shared" si="1"/>
        <v>1.819796875</v>
      </c>
      <c r="U4" s="44">
        <f t="shared" si="2"/>
        <v>1.42</v>
      </c>
      <c r="V4" s="28">
        <f t="shared" si="3"/>
        <v>4.0318</v>
      </c>
      <c r="W4" s="45">
        <f t="shared" si="4"/>
        <v>0.45</v>
      </c>
      <c r="X4" s="46">
        <f t="shared" si="5"/>
        <v>0.531974465225669</v>
      </c>
      <c r="Y4" s="42">
        <f t="shared" si="6"/>
        <v>0.8</v>
      </c>
      <c r="Z4" s="47">
        <v>0</v>
      </c>
      <c r="AA4" s="47">
        <v>0</v>
      </c>
      <c r="AB4" s="48">
        <v>0</v>
      </c>
      <c r="AC4" s="23">
        <f t="shared" si="7"/>
        <v>15912.7179950861</v>
      </c>
      <c r="AD4" s="32">
        <v>24</v>
      </c>
      <c r="AE4" s="32">
        <v>23</v>
      </c>
      <c r="AF4" s="18">
        <v>16</v>
      </c>
      <c r="AG4" s="18">
        <v>0</v>
      </c>
      <c r="AH4" s="19">
        <f>1520/(1520+(792+8*AI4)*(1-AG4/100)*(1-AF4/100))</f>
        <v>0.531974465225669</v>
      </c>
      <c r="AI4" s="33">
        <v>100</v>
      </c>
    </row>
    <row r="5" s="1" customFormat="1" ht="15" spans="2:35">
      <c r="B5" s="34" t="s">
        <v>33</v>
      </c>
      <c r="C5" s="37">
        <f>12%+12%*2</f>
        <v>0.36</v>
      </c>
      <c r="D5" s="34" t="s">
        <v>34</v>
      </c>
      <c r="E5" s="36">
        <f>12%+10%</f>
        <v>0.22</v>
      </c>
      <c r="F5" s="34" t="s">
        <v>35</v>
      </c>
      <c r="G5" s="37">
        <v>0.243</v>
      </c>
      <c r="H5" s="34" t="s">
        <v>35</v>
      </c>
      <c r="I5" s="37">
        <v>0</v>
      </c>
      <c r="J5" s="49" t="s">
        <v>89</v>
      </c>
      <c r="K5" s="36">
        <v>0.25</v>
      </c>
      <c r="L5" s="34" t="s">
        <v>37</v>
      </c>
      <c r="M5" s="37">
        <f>8.6%*2</f>
        <v>0.172</v>
      </c>
      <c r="O5" s="40">
        <v>1</v>
      </c>
      <c r="P5" s="23" t="s">
        <v>168</v>
      </c>
      <c r="Q5" s="41">
        <v>2.1642</v>
      </c>
      <c r="R5" s="42" t="s">
        <v>96</v>
      </c>
      <c r="S5" s="43">
        <f t="shared" si="0"/>
        <v>2887.472</v>
      </c>
      <c r="T5" s="44">
        <f t="shared" si="1"/>
        <v>1.819796875</v>
      </c>
      <c r="U5" s="44">
        <f>IF(R5=$C$1,SUM($E$4:$E$9),SUM($E$4:$E$8))+$E$10</f>
        <v>1.97</v>
      </c>
      <c r="V5" s="28">
        <f t="shared" si="3"/>
        <v>4.11004</v>
      </c>
      <c r="W5" s="45">
        <f>IF(R5=$C$1,$K$4+$K$5,$K$4)+$K$6</f>
        <v>1.89</v>
      </c>
      <c r="X5" s="46">
        <f t="shared" si="5"/>
        <v>0.531974465225669</v>
      </c>
      <c r="Y5" s="42">
        <f t="shared" si="6"/>
        <v>0.8</v>
      </c>
      <c r="Z5" s="47">
        <v>0</v>
      </c>
      <c r="AA5" s="47">
        <v>0</v>
      </c>
      <c r="AB5" s="48">
        <v>0</v>
      </c>
      <c r="AC5" s="23">
        <f t="shared" si="7"/>
        <v>93820.1857678547</v>
      </c>
      <c r="AD5" s="32">
        <v>24</v>
      </c>
      <c r="AE5" s="32">
        <v>31</v>
      </c>
      <c r="AF5" s="18">
        <v>0</v>
      </c>
      <c r="AG5" s="18">
        <v>30</v>
      </c>
      <c r="AH5" s="19">
        <f t="shared" si="8"/>
        <v>0.57698147585788</v>
      </c>
      <c r="AI5" s="33">
        <v>100</v>
      </c>
    </row>
    <row r="6" s="1" customFormat="1" ht="15" spans="2:35">
      <c r="B6" s="34" t="s">
        <v>39</v>
      </c>
      <c r="C6" s="37">
        <f>18%+18%+M4+(2-E1)*30%</f>
        <v>0.618</v>
      </c>
      <c r="D6" s="34" t="s">
        <v>40</v>
      </c>
      <c r="E6" s="36"/>
      <c r="F6" s="34" t="s">
        <v>41</v>
      </c>
      <c r="G6" s="37">
        <v>0.2</v>
      </c>
      <c r="H6" s="34" t="s">
        <v>41</v>
      </c>
      <c r="I6" s="37">
        <v>0</v>
      </c>
      <c r="J6" s="49" t="s">
        <v>91</v>
      </c>
      <c r="K6" s="36">
        <f>32%*2+80%</f>
        <v>1.44</v>
      </c>
      <c r="L6" s="34" t="s">
        <v>25</v>
      </c>
      <c r="M6" s="37">
        <f>8.1*5%</f>
        <v>0.405</v>
      </c>
      <c r="O6" s="40">
        <v>1</v>
      </c>
      <c r="P6" s="23" t="s">
        <v>90</v>
      </c>
      <c r="Q6" s="41">
        <f>37.88%*4+117.88%*3</f>
        <v>5.0516</v>
      </c>
      <c r="R6" s="42" t="s">
        <v>83</v>
      </c>
      <c r="S6" s="43">
        <f t="shared" si="0"/>
        <v>2887.472</v>
      </c>
      <c r="T6" s="44">
        <f t="shared" si="1"/>
        <v>1.819796875</v>
      </c>
      <c r="U6" s="44">
        <f t="shared" si="2"/>
        <v>2.232</v>
      </c>
      <c r="V6" s="28">
        <f t="shared" si="3"/>
        <v>4.11004</v>
      </c>
      <c r="W6" s="45">
        <f t="shared" si="4"/>
        <v>0.7</v>
      </c>
      <c r="X6" s="46">
        <f t="shared" si="5"/>
        <v>0.531974465225669</v>
      </c>
      <c r="Y6" s="42">
        <f t="shared" si="6"/>
        <v>0.8</v>
      </c>
      <c r="Z6" s="47">
        <v>0.8</v>
      </c>
      <c r="AA6" s="47">
        <v>0</v>
      </c>
      <c r="AB6" s="48">
        <v>0</v>
      </c>
      <c r="AC6" s="23">
        <f t="shared" si="7"/>
        <v>252328.517974352</v>
      </c>
      <c r="AD6" s="32">
        <v>24</v>
      </c>
      <c r="AE6" s="32">
        <v>31</v>
      </c>
      <c r="AF6" s="18">
        <v>0</v>
      </c>
      <c r="AG6" s="18">
        <v>21.6</v>
      </c>
      <c r="AH6" s="19">
        <f t="shared" si="8"/>
        <v>0.549107555719967</v>
      </c>
      <c r="AI6" s="33">
        <v>100</v>
      </c>
    </row>
    <row r="7" s="1" customFormat="1" ht="15" spans="2:35">
      <c r="B7" s="34" t="s">
        <v>43</v>
      </c>
      <c r="C7" s="37"/>
      <c r="D7" s="34" t="s">
        <v>44</v>
      </c>
      <c r="E7" s="36">
        <f>40%</f>
        <v>0.4</v>
      </c>
      <c r="F7" s="34" t="s">
        <v>39</v>
      </c>
      <c r="G7" s="37">
        <f>M6</f>
        <v>0.405</v>
      </c>
      <c r="H7" s="34" t="s">
        <v>39</v>
      </c>
      <c r="I7" s="37">
        <f>M7+44%</f>
        <v>1.25</v>
      </c>
      <c r="J7" s="49"/>
      <c r="K7" s="36"/>
      <c r="L7" s="34" t="s">
        <v>45</v>
      </c>
      <c r="M7" s="36">
        <f>16.2%*5</f>
        <v>0.81</v>
      </c>
      <c r="O7" s="40">
        <v>1</v>
      </c>
      <c r="P7" s="23" t="s">
        <v>83</v>
      </c>
      <c r="Q7" s="41">
        <f>105.97%*2</f>
        <v>2.1194</v>
      </c>
      <c r="R7" s="42" t="s">
        <v>83</v>
      </c>
      <c r="S7" s="43">
        <f t="shared" si="0"/>
        <v>2887.472</v>
      </c>
      <c r="T7" s="44">
        <f t="shared" si="1"/>
        <v>1.819796875</v>
      </c>
      <c r="U7" s="44">
        <f t="shared" si="2"/>
        <v>2.232</v>
      </c>
      <c r="V7" s="28">
        <f t="shared" si="3"/>
        <v>4.11004</v>
      </c>
      <c r="W7" s="45">
        <f t="shared" si="4"/>
        <v>0.7</v>
      </c>
      <c r="X7" s="46">
        <f t="shared" si="5"/>
        <v>0.531974465225669</v>
      </c>
      <c r="Y7" s="42">
        <f t="shared" si="6"/>
        <v>0.8</v>
      </c>
      <c r="Z7" s="47">
        <v>0</v>
      </c>
      <c r="AA7" s="47">
        <v>0</v>
      </c>
      <c r="AB7" s="48">
        <v>0</v>
      </c>
      <c r="AC7" s="23">
        <f t="shared" si="7"/>
        <v>58813.6059196692</v>
      </c>
      <c r="AD7" s="32">
        <v>24</v>
      </c>
      <c r="AE7" s="32">
        <v>31</v>
      </c>
      <c r="AF7" s="18">
        <v>0</v>
      </c>
      <c r="AG7" s="18">
        <v>28.8</v>
      </c>
      <c r="AH7" s="19">
        <f t="shared" si="8"/>
        <v>0.572827476423627</v>
      </c>
      <c r="AI7" s="33">
        <v>100</v>
      </c>
    </row>
    <row r="8" s="1" customFormat="1" ht="15" spans="2:35">
      <c r="B8" s="34" t="s">
        <v>46</v>
      </c>
      <c r="C8" s="37">
        <f>25%+25%</f>
        <v>0.5</v>
      </c>
      <c r="D8" s="34" t="s">
        <v>47</v>
      </c>
      <c r="E8" s="50">
        <v>0.2</v>
      </c>
      <c r="F8" s="34" t="s">
        <v>48</v>
      </c>
      <c r="G8" s="37">
        <v>0</v>
      </c>
      <c r="H8" s="34" t="s">
        <v>48</v>
      </c>
      <c r="I8" s="37">
        <v>0</v>
      </c>
      <c r="J8" s="49"/>
      <c r="K8" s="36"/>
      <c r="L8" s="34"/>
      <c r="M8" s="35"/>
      <c r="O8" s="40">
        <v>1</v>
      </c>
      <c r="P8" s="23" t="s">
        <v>168</v>
      </c>
      <c r="Q8" s="41">
        <v>2.1642</v>
      </c>
      <c r="R8" s="42" t="s">
        <v>96</v>
      </c>
      <c r="S8" s="43">
        <f t="shared" si="0"/>
        <v>2887.472</v>
      </c>
      <c r="T8" s="44">
        <f t="shared" si="1"/>
        <v>1.819796875</v>
      </c>
      <c r="U8" s="44">
        <f>IF(R8=$C$1,SUM($E$4:$E$9),SUM($E$4:$E$8))+$E$10</f>
        <v>1.97</v>
      </c>
      <c r="V8" s="28">
        <f t="shared" si="3"/>
        <v>4.18828</v>
      </c>
      <c r="W8" s="45">
        <f>IF(R8=$C$1,$K$4+$K$5,$K$4)+$K$6</f>
        <v>1.89</v>
      </c>
      <c r="X8" s="46">
        <f t="shared" si="5"/>
        <v>0.531974465225669</v>
      </c>
      <c r="Y8" s="42">
        <f t="shared" si="6"/>
        <v>0.8</v>
      </c>
      <c r="Z8" s="47">
        <v>0</v>
      </c>
      <c r="AA8" s="47">
        <v>0</v>
      </c>
      <c r="AB8" s="48">
        <v>0</v>
      </c>
      <c r="AC8" s="23">
        <f t="shared" si="7"/>
        <v>95606.1760099149</v>
      </c>
      <c r="AD8" s="32">
        <v>24</v>
      </c>
      <c r="AE8" s="32">
        <v>39</v>
      </c>
      <c r="AF8" s="18">
        <v>0</v>
      </c>
      <c r="AG8" s="18">
        <v>36</v>
      </c>
      <c r="AH8" s="19">
        <f t="shared" si="8"/>
        <v>0.598689185782707</v>
      </c>
      <c r="AI8" s="33">
        <v>100</v>
      </c>
    </row>
    <row r="9" s="1" customFormat="1" ht="15" spans="2:35">
      <c r="B9" s="34" t="s">
        <v>49</v>
      </c>
      <c r="C9" s="35">
        <v>350</v>
      </c>
      <c r="D9" s="34" t="s">
        <v>93</v>
      </c>
      <c r="E9" s="36">
        <f>32%*2+M5</f>
        <v>0.812</v>
      </c>
      <c r="F9" s="34" t="s">
        <v>51</v>
      </c>
      <c r="G9" s="37"/>
      <c r="H9" s="34" t="s">
        <v>51</v>
      </c>
      <c r="I9" s="37">
        <v>0.52</v>
      </c>
      <c r="J9" s="49"/>
      <c r="K9" s="36"/>
      <c r="L9" s="34"/>
      <c r="M9" s="35"/>
      <c r="O9" s="40">
        <v>1</v>
      </c>
      <c r="P9" s="23" t="s">
        <v>90</v>
      </c>
      <c r="Q9" s="41">
        <f>37.88%*4+117.88%*3</f>
        <v>5.0516</v>
      </c>
      <c r="R9" s="42" t="s">
        <v>83</v>
      </c>
      <c r="S9" s="43">
        <f t="shared" si="0"/>
        <v>2887.472</v>
      </c>
      <c r="T9" s="44">
        <f t="shared" si="1"/>
        <v>1.819796875</v>
      </c>
      <c r="U9" s="44">
        <f t="shared" ref="U9:U13" si="9">IF(R9=$C$1,SUM($E$4:$E$9),SUM($E$4:$E$8))</f>
        <v>2.232</v>
      </c>
      <c r="V9" s="28">
        <f t="shared" si="3"/>
        <v>4.18828</v>
      </c>
      <c r="W9" s="45">
        <f t="shared" ref="W9:W13" si="10">IF(R9=$C$1,$K$4+$K$5,$K$4)</f>
        <v>0.7</v>
      </c>
      <c r="X9" s="46">
        <f t="shared" si="5"/>
        <v>0.531974465225669</v>
      </c>
      <c r="Y9" s="42">
        <f t="shared" si="6"/>
        <v>0.8</v>
      </c>
      <c r="Z9" s="47">
        <v>0.8</v>
      </c>
      <c r="AA9" s="47">
        <v>0</v>
      </c>
      <c r="AB9" s="48">
        <v>0</v>
      </c>
      <c r="AC9" s="23">
        <f t="shared" si="7"/>
        <v>257131.922137405</v>
      </c>
      <c r="AD9" s="32">
        <v>24</v>
      </c>
      <c r="AE9" s="32">
        <v>39</v>
      </c>
    </row>
    <row r="10" s="1" customFormat="1" ht="15" spans="2:35">
      <c r="B10" s="51" t="s">
        <v>52</v>
      </c>
      <c r="C10" s="52"/>
      <c r="D10" s="51" t="s">
        <v>94</v>
      </c>
      <c r="E10" s="53">
        <f>20%+35%</f>
        <v>0.55</v>
      </c>
      <c r="F10" s="54" t="s">
        <v>53</v>
      </c>
      <c r="G10" s="55">
        <f>MIN(100%,SUM(G4:G9))</f>
        <v>0.978</v>
      </c>
      <c r="H10" s="54" t="s">
        <v>54</v>
      </c>
      <c r="I10" s="55">
        <f>SUM(I4:I9)</f>
        <v>3.27</v>
      </c>
      <c r="J10" s="56"/>
      <c r="K10" s="53"/>
      <c r="L10" s="51"/>
      <c r="M10" s="52"/>
      <c r="O10" s="40">
        <v>1</v>
      </c>
      <c r="P10" s="23" t="s">
        <v>92</v>
      </c>
      <c r="Q10" s="41">
        <f>53.45%*2+95.43%+39.23%+26.15%*2</f>
        <v>2.9386</v>
      </c>
      <c r="R10" s="42" t="s">
        <v>1</v>
      </c>
      <c r="S10" s="43">
        <f t="shared" si="0"/>
        <v>2887.472</v>
      </c>
      <c r="T10" s="44">
        <f t="shared" si="1"/>
        <v>1.819796875</v>
      </c>
      <c r="U10" s="44">
        <f t="shared" si="9"/>
        <v>1.42</v>
      </c>
      <c r="V10" s="28">
        <f t="shared" si="3"/>
        <v>4.18828</v>
      </c>
      <c r="W10" s="45">
        <f t="shared" si="10"/>
        <v>0.45</v>
      </c>
      <c r="X10" s="46">
        <f t="shared" si="5"/>
        <v>0.531974465225669</v>
      </c>
      <c r="Y10" s="42">
        <f t="shared" si="6"/>
        <v>0.8</v>
      </c>
      <c r="Z10" s="47">
        <v>0</v>
      </c>
      <c r="AA10" s="47">
        <v>0</v>
      </c>
      <c r="AB10" s="48">
        <v>0</v>
      </c>
      <c r="AC10" s="23">
        <f t="shared" si="7"/>
        <v>53071.1019946802</v>
      </c>
      <c r="AD10" s="32">
        <v>24</v>
      </c>
      <c r="AE10" s="32">
        <v>39</v>
      </c>
    </row>
    <row r="11" s="1" customFormat="1" ht="15" spans="2:35">
      <c r="B11" s="57"/>
      <c r="C11" s="57"/>
      <c r="E11" s="58"/>
      <c r="F11" s="20" t="s">
        <v>55</v>
      </c>
      <c r="G11" s="59">
        <f>MAX(0,SUM(G4:G9)-1)</f>
        <v>0</v>
      </c>
      <c r="J11" s="2"/>
      <c r="K11" s="2"/>
      <c r="O11" s="40">
        <v>1</v>
      </c>
      <c r="P11" s="23" t="s">
        <v>168</v>
      </c>
      <c r="Q11" s="41">
        <v>2.1642</v>
      </c>
      <c r="R11" s="42" t="s">
        <v>96</v>
      </c>
      <c r="S11" s="43">
        <f t="shared" si="0"/>
        <v>2887.472</v>
      </c>
      <c r="T11" s="44">
        <f t="shared" si="1"/>
        <v>1.819796875</v>
      </c>
      <c r="U11" s="44">
        <f t="shared" ref="U11:U15" si="11">IF(R11=$C$1,SUM($E$4:$E$9),SUM($E$4:$E$8))+$E$10</f>
        <v>1.97</v>
      </c>
      <c r="V11" s="28">
        <f t="shared" si="3"/>
        <v>4.26652</v>
      </c>
      <c r="W11" s="45">
        <f t="shared" ref="W11:W15" si="12">IF(R11=$C$1,$K$4+$K$5,$K$4)+$K$6</f>
        <v>1.89</v>
      </c>
      <c r="X11" s="46">
        <f t="shared" si="5"/>
        <v>0.531974465225669</v>
      </c>
      <c r="Y11" s="42">
        <f t="shared" si="6"/>
        <v>0.8</v>
      </c>
      <c r="Z11" s="47">
        <v>0</v>
      </c>
      <c r="AA11" s="47">
        <v>0</v>
      </c>
      <c r="AB11" s="48">
        <v>0</v>
      </c>
      <c r="AC11" s="23">
        <f t="shared" si="7"/>
        <v>97392.166251975</v>
      </c>
      <c r="AD11" s="32">
        <v>24</v>
      </c>
      <c r="AE11" s="32">
        <v>47</v>
      </c>
      <c r="AG11" s="60" t="s">
        <v>97</v>
      </c>
      <c r="AH11" s="60">
        <v>0.8</v>
      </c>
    </row>
    <row r="12" s="1" customFormat="1" ht="15" spans="2:35">
      <c r="B12" s="57"/>
      <c r="C12" s="57"/>
      <c r="E12" s="58"/>
      <c r="G12" s="61"/>
      <c r="J12" s="2"/>
      <c r="K12" s="2"/>
      <c r="O12" s="40">
        <v>1</v>
      </c>
      <c r="P12" s="23" t="s">
        <v>90</v>
      </c>
      <c r="Q12" s="41">
        <f>37.88%*4+117.88%*3</f>
        <v>5.0516</v>
      </c>
      <c r="R12" s="42" t="s">
        <v>83</v>
      </c>
      <c r="S12" s="43">
        <f t="shared" si="0"/>
        <v>2887.472</v>
      </c>
      <c r="T12" s="44">
        <f t="shared" si="1"/>
        <v>1.819796875</v>
      </c>
      <c r="U12" s="44">
        <f t="shared" si="9"/>
        <v>2.232</v>
      </c>
      <c r="V12" s="28">
        <f t="shared" si="3"/>
        <v>4.26652</v>
      </c>
      <c r="W12" s="45">
        <f t="shared" si="10"/>
        <v>0.7</v>
      </c>
      <c r="X12" s="46">
        <f t="shared" si="5"/>
        <v>0.531974465225669</v>
      </c>
      <c r="Y12" s="42">
        <f t="shared" si="6"/>
        <v>0.8</v>
      </c>
      <c r="Z12" s="47">
        <v>0.8</v>
      </c>
      <c r="AA12" s="47">
        <v>0</v>
      </c>
      <c r="AB12" s="48">
        <v>0</v>
      </c>
      <c r="AC12" s="23">
        <f t="shared" si="7"/>
        <v>261935.326300458</v>
      </c>
      <c r="AD12" s="32">
        <v>24</v>
      </c>
      <c r="AE12" s="32">
        <v>47</v>
      </c>
      <c r="AG12" s="62" t="s">
        <v>98</v>
      </c>
      <c r="AH12" s="62">
        <v>0.92</v>
      </c>
    </row>
    <row r="13" s="1" customFormat="1" ht="15" spans="2:35">
      <c r="B13" s="5" t="s">
        <v>0</v>
      </c>
      <c r="C13" s="5" t="s">
        <v>1</v>
      </c>
      <c r="D13" s="6" t="s">
        <v>2</v>
      </c>
      <c r="E13" s="6">
        <v>2</v>
      </c>
      <c r="O13" s="40">
        <v>1</v>
      </c>
      <c r="P13" s="23" t="s">
        <v>92</v>
      </c>
      <c r="Q13" s="41">
        <f>53.45%*2+95.43%+39.23%+26.15%*2</f>
        <v>2.9386</v>
      </c>
      <c r="R13" s="42" t="s">
        <v>1</v>
      </c>
      <c r="S13" s="43">
        <f t="shared" si="0"/>
        <v>2887.472</v>
      </c>
      <c r="T13" s="44">
        <f t="shared" si="1"/>
        <v>1.819796875</v>
      </c>
      <c r="U13" s="44">
        <f t="shared" si="9"/>
        <v>1.42</v>
      </c>
      <c r="V13" s="28">
        <f t="shared" si="3"/>
        <v>4.26652</v>
      </c>
      <c r="W13" s="45">
        <f t="shared" si="10"/>
        <v>0.45</v>
      </c>
      <c r="X13" s="46">
        <f t="shared" si="5"/>
        <v>0.531974465225669</v>
      </c>
      <c r="Y13" s="42">
        <f t="shared" si="6"/>
        <v>0.8</v>
      </c>
      <c r="Z13" s="47">
        <v>0</v>
      </c>
      <c r="AA13" s="47">
        <v>0</v>
      </c>
      <c r="AB13" s="48">
        <v>0</v>
      </c>
      <c r="AC13" s="23">
        <f t="shared" si="7"/>
        <v>54062.5073018859</v>
      </c>
      <c r="AD13" s="32">
        <v>24</v>
      </c>
      <c r="AE13" s="32">
        <v>47</v>
      </c>
      <c r="AG13" s="1" t="s">
        <v>63</v>
      </c>
      <c r="AH13" s="1">
        <v>0.8</v>
      </c>
    </row>
    <row r="14" s="1" customFormat="1" ht="15" spans="2:35">
      <c r="B14" s="63" t="s">
        <v>100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O14" s="40">
        <v>1</v>
      </c>
      <c r="P14" s="23" t="s">
        <v>95</v>
      </c>
      <c r="Q14" s="41">
        <f>152.39%*3</f>
        <v>4.5717</v>
      </c>
      <c r="R14" s="42" t="s">
        <v>96</v>
      </c>
      <c r="S14" s="43">
        <f t="shared" si="0"/>
        <v>2887.472</v>
      </c>
      <c r="T14" s="44">
        <f t="shared" si="1"/>
        <v>1.819796875</v>
      </c>
      <c r="U14" s="44">
        <f t="shared" si="11"/>
        <v>1.97</v>
      </c>
      <c r="V14" s="28">
        <f t="shared" si="3"/>
        <v>4.26652</v>
      </c>
      <c r="W14" s="45">
        <f t="shared" si="12"/>
        <v>1.89</v>
      </c>
      <c r="X14" s="46">
        <f t="shared" si="5"/>
        <v>0.531974465225669</v>
      </c>
      <c r="Y14" s="42">
        <f t="shared" si="6"/>
        <v>0.8</v>
      </c>
      <c r="Z14" s="47">
        <v>0</v>
      </c>
      <c r="AA14" s="47">
        <v>0</v>
      </c>
      <c r="AB14" s="48">
        <v>0</v>
      </c>
      <c r="AC14" s="23">
        <f t="shared" si="7"/>
        <v>205733.188454928</v>
      </c>
      <c r="AD14" s="32">
        <v>24</v>
      </c>
      <c r="AE14" s="32">
        <v>47</v>
      </c>
      <c r="AG14" s="64" t="s">
        <v>137</v>
      </c>
      <c r="AH14" s="64">
        <v>0.8</v>
      </c>
    </row>
    <row r="15" s="1" customFormat="1" ht="15" spans="2:35">
      <c r="B15" s="65" t="s">
        <v>24</v>
      </c>
      <c r="C15" s="65"/>
      <c r="D15" s="65" t="s">
        <v>10</v>
      </c>
      <c r="E15" s="65"/>
      <c r="F15" s="65" t="s">
        <v>25</v>
      </c>
      <c r="G15" s="65"/>
      <c r="H15" s="65" t="s">
        <v>26</v>
      </c>
      <c r="I15" s="65"/>
      <c r="J15" s="65" t="s">
        <v>12</v>
      </c>
      <c r="K15" s="65"/>
      <c r="L15" s="65" t="s">
        <v>27</v>
      </c>
      <c r="M15" s="65"/>
      <c r="O15" s="40">
        <v>1</v>
      </c>
      <c r="P15" s="23" t="s">
        <v>168</v>
      </c>
      <c r="Q15" s="41">
        <v>2.1642</v>
      </c>
      <c r="R15" s="42" t="s">
        <v>96</v>
      </c>
      <c r="S15" s="43">
        <f t="shared" si="0"/>
        <v>2887.472</v>
      </c>
      <c r="T15" s="44">
        <f t="shared" si="1"/>
        <v>1.819796875</v>
      </c>
      <c r="U15" s="44">
        <f t="shared" si="11"/>
        <v>1.97</v>
      </c>
      <c r="V15" s="28">
        <f t="shared" si="3"/>
        <v>4.34476</v>
      </c>
      <c r="W15" s="45">
        <f t="shared" si="12"/>
        <v>1.89</v>
      </c>
      <c r="X15" s="46">
        <f t="shared" si="5"/>
        <v>0.531974465225669</v>
      </c>
      <c r="Y15" s="42">
        <f t="shared" si="6"/>
        <v>0.8</v>
      </c>
      <c r="Z15" s="47">
        <v>0</v>
      </c>
      <c r="AA15" s="47">
        <v>0</v>
      </c>
      <c r="AB15" s="48">
        <v>0</v>
      </c>
      <c r="AC15" s="23">
        <f t="shared" si="7"/>
        <v>99178.1564940352</v>
      </c>
      <c r="AD15" s="32">
        <v>24</v>
      </c>
      <c r="AE15" s="32">
        <v>55</v>
      </c>
    </row>
    <row r="16" s="1" customFormat="1" ht="15" spans="2:35">
      <c r="B16" s="66" t="s">
        <v>28</v>
      </c>
      <c r="C16" s="67">
        <f>400+500</f>
        <v>900</v>
      </c>
      <c r="D16" s="66" t="s">
        <v>29</v>
      </c>
      <c r="E16" s="39">
        <f>E13*30%</f>
        <v>0.6</v>
      </c>
      <c r="F16" s="66" t="s">
        <v>30</v>
      </c>
      <c r="G16" s="68">
        <v>0.13</v>
      </c>
      <c r="H16" s="66" t="s">
        <v>30</v>
      </c>
      <c r="I16" s="68">
        <v>1.5</v>
      </c>
      <c r="J16" s="38" t="s">
        <v>31</v>
      </c>
      <c r="K16" s="39">
        <v>0.25</v>
      </c>
      <c r="L16" s="66" t="s">
        <v>32</v>
      </c>
      <c r="M16" s="68">
        <v>0.086</v>
      </c>
      <c r="O16" s="40">
        <v>1</v>
      </c>
      <c r="P16" s="23" t="s">
        <v>90</v>
      </c>
      <c r="Q16" s="41">
        <f>37.88%*4+117.88%*3</f>
        <v>5.0516</v>
      </c>
      <c r="R16" s="42" t="s">
        <v>83</v>
      </c>
      <c r="S16" s="43">
        <f t="shared" si="0"/>
        <v>2887.472</v>
      </c>
      <c r="T16" s="44">
        <f t="shared" si="1"/>
        <v>1.819796875</v>
      </c>
      <c r="U16" s="44">
        <f t="shared" ref="U16:U18" si="13">IF(R16=$C$1,SUM($E$4:$E$9),SUM($E$4:$E$8))</f>
        <v>2.232</v>
      </c>
      <c r="V16" s="28">
        <f t="shared" si="3"/>
        <v>4.34476</v>
      </c>
      <c r="W16" s="45">
        <f t="shared" ref="W16:W18" si="14">IF(R16=$C$1,$K$4+$K$5,$K$4)</f>
        <v>0.7</v>
      </c>
      <c r="X16" s="46">
        <f t="shared" si="5"/>
        <v>0.531974465225669</v>
      </c>
      <c r="Y16" s="42">
        <f t="shared" si="6"/>
        <v>0.8</v>
      </c>
      <c r="Z16" s="47">
        <v>0.8</v>
      </c>
      <c r="AA16" s="47">
        <v>0</v>
      </c>
      <c r="AB16" s="48">
        <v>0</v>
      </c>
      <c r="AC16" s="23">
        <f t="shared" si="7"/>
        <v>266738.73046351</v>
      </c>
      <c r="AD16" s="32">
        <v>24</v>
      </c>
      <c r="AE16" s="32">
        <v>55</v>
      </c>
    </row>
    <row r="17" s="1" customFormat="1" ht="15" spans="1:31">
      <c r="B17" s="34" t="s">
        <v>33</v>
      </c>
      <c r="C17" s="36">
        <f>12%+12%</f>
        <v>0.24</v>
      </c>
      <c r="D17" s="34" t="s">
        <v>34</v>
      </c>
      <c r="E17" s="36"/>
      <c r="F17" s="34" t="s">
        <v>35</v>
      </c>
      <c r="G17" s="37"/>
      <c r="H17" s="34" t="s">
        <v>35</v>
      </c>
      <c r="I17" s="37">
        <v>0.72</v>
      </c>
      <c r="J17" s="49" t="s">
        <v>36</v>
      </c>
      <c r="K17" s="36"/>
      <c r="L17" s="34" t="s">
        <v>104</v>
      </c>
      <c r="M17" s="37">
        <f>1*8.6%</f>
        <v>0.086</v>
      </c>
      <c r="O17" s="40">
        <v>1</v>
      </c>
      <c r="P17" s="23" t="s">
        <v>99</v>
      </c>
      <c r="Q17" s="41">
        <f>33.01%*2+12.38%*8+495.1%</f>
        <v>6.6016</v>
      </c>
      <c r="R17" s="42" t="s">
        <v>83</v>
      </c>
      <c r="S17" s="43">
        <f t="shared" si="0"/>
        <v>2887.472</v>
      </c>
      <c r="T17" s="44">
        <f t="shared" si="1"/>
        <v>1.819796875</v>
      </c>
      <c r="U17" s="44">
        <f t="shared" si="13"/>
        <v>2.232</v>
      </c>
      <c r="V17" s="28">
        <f t="shared" si="3"/>
        <v>4.48168</v>
      </c>
      <c r="W17" s="45">
        <f t="shared" si="14"/>
        <v>0.7</v>
      </c>
      <c r="X17" s="46">
        <f t="shared" si="5"/>
        <v>0.531974465225669</v>
      </c>
      <c r="Y17" s="42">
        <f t="shared" si="6"/>
        <v>0.8</v>
      </c>
      <c r="Z17" s="47">
        <v>0.75</v>
      </c>
      <c r="AA17" s="47">
        <v>0</v>
      </c>
      <c r="AB17" s="48">
        <v>0</v>
      </c>
      <c r="AC17" s="23">
        <f t="shared" si="7"/>
        <v>349580.281343749</v>
      </c>
      <c r="AD17" s="32">
        <v>24</v>
      </c>
      <c r="AE17" s="32">
        <v>69</v>
      </c>
    </row>
    <row r="18" s="1" customFormat="1" ht="15" spans="1:31">
      <c r="B18" s="34" t="s">
        <v>39</v>
      </c>
      <c r="C18" s="36">
        <f>18%+18%+M16+(2-E13)*30%</f>
        <v>0.446</v>
      </c>
      <c r="D18" s="34" t="s">
        <v>40</v>
      </c>
      <c r="E18" s="36">
        <v>0.12</v>
      </c>
      <c r="F18" s="34" t="s">
        <v>41</v>
      </c>
      <c r="G18" s="37">
        <v>0.22</v>
      </c>
      <c r="H18" s="34" t="s">
        <v>41</v>
      </c>
      <c r="I18" s="37">
        <v>0</v>
      </c>
      <c r="J18" s="49"/>
      <c r="K18" s="37"/>
      <c r="L18" s="34" t="s">
        <v>25</v>
      </c>
      <c r="M18" s="37">
        <f>8.1*5%</f>
        <v>0.405</v>
      </c>
      <c r="O18" s="40">
        <v>1</v>
      </c>
      <c r="P18" s="23" t="s">
        <v>101</v>
      </c>
      <c r="Q18" s="41">
        <f>82.55%*AD18</f>
        <v>19.812</v>
      </c>
      <c r="R18" s="42" t="s">
        <v>83</v>
      </c>
      <c r="S18" s="43">
        <f t="shared" si="0"/>
        <v>2887.472</v>
      </c>
      <c r="T18" s="44">
        <f t="shared" si="1"/>
        <v>1.819796875</v>
      </c>
      <c r="U18" s="44">
        <f t="shared" si="13"/>
        <v>2.232</v>
      </c>
      <c r="V18" s="28">
        <f t="shared" si="3"/>
        <v>4.48168</v>
      </c>
      <c r="W18" s="45">
        <f t="shared" si="14"/>
        <v>0.7</v>
      </c>
      <c r="X18" s="46">
        <f t="shared" si="5"/>
        <v>0.531974465225669</v>
      </c>
      <c r="Y18" s="42">
        <f t="shared" si="6"/>
        <v>0.8</v>
      </c>
      <c r="Z18" s="47">
        <v>0.75</v>
      </c>
      <c r="AA18" s="47">
        <v>0</v>
      </c>
      <c r="AB18" s="48">
        <v>0</v>
      </c>
      <c r="AC18" s="23">
        <f t="shared" si="7"/>
        <v>1049122.11190959</v>
      </c>
      <c r="AD18" s="32">
        <v>24</v>
      </c>
      <c r="AE18" s="32">
        <v>69</v>
      </c>
    </row>
    <row r="19" s="1" customFormat="1" ht="15" spans="1:31">
      <c r="B19" s="34" t="s">
        <v>43</v>
      </c>
      <c r="C19" s="69"/>
      <c r="D19" s="34" t="s">
        <v>44</v>
      </c>
      <c r="E19" s="36">
        <v>0.4</v>
      </c>
      <c r="F19" s="34" t="s">
        <v>39</v>
      </c>
      <c r="G19" s="37">
        <f>M18</f>
        <v>0.405</v>
      </c>
      <c r="H19" s="34" t="s">
        <v>39</v>
      </c>
      <c r="I19" s="37">
        <f>M19</f>
        <v>0.81</v>
      </c>
      <c r="J19" s="49"/>
      <c r="K19" s="37"/>
      <c r="L19" s="34" t="s">
        <v>45</v>
      </c>
      <c r="M19" s="36">
        <f>16.2%*5</f>
        <v>0.81</v>
      </c>
      <c r="O19" s="40">
        <v>1</v>
      </c>
      <c r="P19" s="23" t="s">
        <v>102</v>
      </c>
      <c r="Q19" s="41">
        <f t="shared" ref="Q19:Q26" si="15">104.38%+243.55%</f>
        <v>3.4793</v>
      </c>
      <c r="R19" s="42" t="s">
        <v>96</v>
      </c>
      <c r="S19" s="43">
        <f t="shared" ref="S19:S27" si="16">$C$4*(1+C$5+C$6+C$7+C$8+120%)+C$9</f>
        <v>4116.272</v>
      </c>
      <c r="T19" s="44">
        <f t="shared" si="1"/>
        <v>3.019796875</v>
      </c>
      <c r="U19" s="44">
        <f t="shared" ref="U19:U27" si="17">IF(R19=$C$1,SUM($E$4:$E$9),SUM($E$4:$E$8))+$E$10</f>
        <v>1.97</v>
      </c>
      <c r="V19" s="28">
        <f t="shared" si="3"/>
        <v>4.48168</v>
      </c>
      <c r="W19" s="45">
        <f t="shared" ref="W19:W27" si="18">IF(R19=$C$1,$K$4+$K$5,$K$4)+$K$6-20%</f>
        <v>1.69</v>
      </c>
      <c r="X19" s="46">
        <f t="shared" si="5"/>
        <v>0.531974465225669</v>
      </c>
      <c r="Y19" s="42">
        <f t="shared" si="6"/>
        <v>0.8</v>
      </c>
      <c r="Z19" s="47">
        <v>0.24</v>
      </c>
      <c r="AA19" s="47">
        <v>0</v>
      </c>
      <c r="AB19" s="48">
        <v>0.4</v>
      </c>
      <c r="AC19" s="23">
        <f t="shared" si="7"/>
        <v>378857.605153234</v>
      </c>
      <c r="AD19" s="32">
        <v>24</v>
      </c>
      <c r="AE19" s="32">
        <v>69</v>
      </c>
    </row>
    <row r="20" s="1" customFormat="1" ht="15" spans="1:31">
      <c r="B20" s="34" t="s">
        <v>46</v>
      </c>
      <c r="C20" s="69">
        <f>25%+25%</f>
        <v>0.5</v>
      </c>
      <c r="D20" s="34" t="s">
        <v>47</v>
      </c>
      <c r="E20" s="50">
        <v>0.2</v>
      </c>
      <c r="F20" s="34" t="s">
        <v>48</v>
      </c>
      <c r="G20" s="37">
        <v>0</v>
      </c>
      <c r="H20" s="34" t="s">
        <v>48</v>
      </c>
      <c r="I20" s="37">
        <v>0</v>
      </c>
      <c r="J20" s="49"/>
      <c r="K20" s="37"/>
      <c r="L20" s="34"/>
      <c r="M20" s="35"/>
      <c r="O20" s="40">
        <v>1</v>
      </c>
      <c r="P20" s="23" t="s">
        <v>103</v>
      </c>
      <c r="Q20" s="41">
        <f t="shared" si="15"/>
        <v>3.4793</v>
      </c>
      <c r="R20" s="42" t="s">
        <v>96</v>
      </c>
      <c r="S20" s="43">
        <f t="shared" si="16"/>
        <v>4116.272</v>
      </c>
      <c r="T20" s="44">
        <f t="shared" si="1"/>
        <v>3.019796875</v>
      </c>
      <c r="U20" s="44">
        <f t="shared" si="17"/>
        <v>1.97</v>
      </c>
      <c r="V20" s="28">
        <f t="shared" si="3"/>
        <v>4.49146</v>
      </c>
      <c r="W20" s="45">
        <f t="shared" si="18"/>
        <v>1.69</v>
      </c>
      <c r="X20" s="46">
        <f t="shared" si="5"/>
        <v>0.531974465225669</v>
      </c>
      <c r="Y20" s="42">
        <f t="shared" si="6"/>
        <v>0.8</v>
      </c>
      <c r="Z20" s="47">
        <v>0.24</v>
      </c>
      <c r="AA20" s="47">
        <v>0</v>
      </c>
      <c r="AB20" s="48">
        <v>0.4</v>
      </c>
      <c r="AC20" s="23">
        <f t="shared" si="7"/>
        <v>379684.354804793</v>
      </c>
      <c r="AD20" s="32">
        <v>24</v>
      </c>
      <c r="AE20" s="32">
        <v>70</v>
      </c>
    </row>
    <row r="21" s="1" customFormat="1" ht="15" spans="1:31">
      <c r="B21" s="34" t="s">
        <v>49</v>
      </c>
      <c r="C21" s="35">
        <v>350</v>
      </c>
      <c r="D21" s="34" t="s">
        <v>107</v>
      </c>
      <c r="E21" s="36">
        <f>40%+M17</f>
        <v>0.486</v>
      </c>
      <c r="F21" s="34" t="s">
        <v>51</v>
      </c>
      <c r="G21" s="37"/>
      <c r="H21" s="34" t="s">
        <v>51</v>
      </c>
      <c r="I21" s="37">
        <v>0.52</v>
      </c>
      <c r="J21" s="49"/>
      <c r="K21" s="37"/>
      <c r="L21" s="34"/>
      <c r="M21" s="35"/>
      <c r="O21" s="40">
        <v>1</v>
      </c>
      <c r="P21" s="23" t="s">
        <v>103</v>
      </c>
      <c r="Q21" s="41">
        <f>99.16%+231.37%</f>
        <v>3.3053</v>
      </c>
      <c r="R21" s="42" t="s">
        <v>96</v>
      </c>
      <c r="S21" s="43">
        <f t="shared" si="16"/>
        <v>4116.272</v>
      </c>
      <c r="T21" s="44">
        <f t="shared" si="1"/>
        <v>3.019796875</v>
      </c>
      <c r="U21" s="44">
        <f t="shared" si="17"/>
        <v>1.97</v>
      </c>
      <c r="V21" s="28">
        <f t="shared" si="3"/>
        <v>4.50124</v>
      </c>
      <c r="W21" s="45">
        <f t="shared" si="18"/>
        <v>1.69</v>
      </c>
      <c r="X21" s="46">
        <f t="shared" si="5"/>
        <v>0.531974465225669</v>
      </c>
      <c r="Y21" s="42">
        <f t="shared" si="6"/>
        <v>0.8</v>
      </c>
      <c r="Z21" s="47">
        <v>0.24</v>
      </c>
      <c r="AA21" s="47">
        <v>0</v>
      </c>
      <c r="AB21" s="70">
        <v>0.4</v>
      </c>
      <c r="AC21" s="23">
        <f t="shared" si="7"/>
        <v>361481.721484086</v>
      </c>
      <c r="AD21" s="32">
        <v>24</v>
      </c>
      <c r="AE21" s="32">
        <v>71</v>
      </c>
    </row>
    <row r="22" s="1" customFormat="1" ht="15" spans="1:31">
      <c r="B22" s="51" t="s">
        <v>52</v>
      </c>
      <c r="C22" s="52"/>
      <c r="D22" s="51"/>
      <c r="E22" s="53"/>
      <c r="F22" s="54" t="s">
        <v>53</v>
      </c>
      <c r="G22" s="55">
        <f>MIN(100%,SUM(G16:G21))</f>
        <v>0.755</v>
      </c>
      <c r="H22" s="54" t="s">
        <v>54</v>
      </c>
      <c r="I22" s="55">
        <f>SUM(I16:I21)</f>
        <v>3.55</v>
      </c>
      <c r="J22" s="56"/>
      <c r="K22" s="71"/>
      <c r="L22" s="51"/>
      <c r="M22" s="52"/>
      <c r="O22" s="40">
        <v>1</v>
      </c>
      <c r="P22" s="23" t="s">
        <v>138</v>
      </c>
      <c r="Q22" s="41">
        <f>99.16%+231.37%</f>
        <v>3.3053</v>
      </c>
      <c r="R22" s="42" t="s">
        <v>96</v>
      </c>
      <c r="S22" s="43">
        <f t="shared" si="16"/>
        <v>4116.272</v>
      </c>
      <c r="T22" s="44">
        <f t="shared" si="1"/>
        <v>3.019796875</v>
      </c>
      <c r="U22" s="44">
        <f t="shared" si="17"/>
        <v>1.97</v>
      </c>
      <c r="V22" s="28">
        <f t="shared" si="3"/>
        <v>4.51102</v>
      </c>
      <c r="W22" s="45">
        <f t="shared" si="18"/>
        <v>1.69</v>
      </c>
      <c r="X22" s="46">
        <f t="shared" si="5"/>
        <v>0.531974465225669</v>
      </c>
      <c r="Y22" s="42">
        <f t="shared" si="6"/>
        <v>0.8</v>
      </c>
      <c r="Z22" s="47">
        <v>0.24</v>
      </c>
      <c r="AA22" s="47">
        <v>0</v>
      </c>
      <c r="AB22" s="48">
        <v>0.4</v>
      </c>
      <c r="AC22" s="23">
        <f t="shared" si="7"/>
        <v>362267.125336383</v>
      </c>
      <c r="AD22" s="32">
        <v>24</v>
      </c>
      <c r="AE22" s="32">
        <v>72</v>
      </c>
    </row>
    <row r="23" s="1" customFormat="1" ht="15" spans="1:31">
      <c r="B23" s="57"/>
      <c r="C23" s="57"/>
      <c r="E23" s="58"/>
      <c r="F23" s="20" t="s">
        <v>55</v>
      </c>
      <c r="G23" s="59">
        <f>MAX(0,SUM(G16:G21)-1)</f>
        <v>0</v>
      </c>
      <c r="J23" s="2"/>
      <c r="K23" s="2"/>
      <c r="O23" s="40">
        <v>1</v>
      </c>
      <c r="P23" s="23" t="s">
        <v>106</v>
      </c>
      <c r="Q23" s="41">
        <f t="shared" si="15"/>
        <v>3.4793</v>
      </c>
      <c r="R23" s="42" t="s">
        <v>96</v>
      </c>
      <c r="S23" s="43">
        <f t="shared" si="16"/>
        <v>4116.272</v>
      </c>
      <c r="T23" s="44">
        <f t="shared" si="1"/>
        <v>3.019796875</v>
      </c>
      <c r="U23" s="44">
        <f t="shared" si="17"/>
        <v>1.97</v>
      </c>
      <c r="V23" s="28">
        <f t="shared" si="3"/>
        <v>4.5208</v>
      </c>
      <c r="W23" s="45">
        <f t="shared" si="18"/>
        <v>1.69</v>
      </c>
      <c r="X23" s="46">
        <f t="shared" si="5"/>
        <v>0.531974465225669</v>
      </c>
      <c r="Y23" s="42">
        <f t="shared" si="6"/>
        <v>0.8</v>
      </c>
      <c r="Z23" s="47">
        <v>0.24</v>
      </c>
      <c r="AA23" s="47">
        <v>0</v>
      </c>
      <c r="AB23" s="48">
        <v>0.4</v>
      </c>
      <c r="AC23" s="23">
        <f t="shared" si="7"/>
        <v>382164.60375947</v>
      </c>
      <c r="AD23" s="32">
        <v>24</v>
      </c>
      <c r="AE23" s="32">
        <v>73</v>
      </c>
    </row>
    <row r="24" s="1" customFormat="1" ht="15" spans="1:31">
      <c r="B24" s="57"/>
      <c r="C24" s="57"/>
      <c r="E24" s="58"/>
      <c r="J24" s="2"/>
      <c r="K24" s="2"/>
      <c r="O24" s="40">
        <v>1</v>
      </c>
      <c r="P24" s="23" t="s">
        <v>106</v>
      </c>
      <c r="Q24" s="41">
        <f t="shared" si="15"/>
        <v>3.4793</v>
      </c>
      <c r="R24" s="42" t="s">
        <v>96</v>
      </c>
      <c r="S24" s="43">
        <f t="shared" si="16"/>
        <v>4116.272</v>
      </c>
      <c r="T24" s="44">
        <f t="shared" si="1"/>
        <v>3.019796875</v>
      </c>
      <c r="U24" s="44">
        <f t="shared" si="17"/>
        <v>1.97</v>
      </c>
      <c r="V24" s="28">
        <f t="shared" si="3"/>
        <v>4.53058</v>
      </c>
      <c r="W24" s="45">
        <f t="shared" si="18"/>
        <v>1.69</v>
      </c>
      <c r="X24" s="46">
        <f t="shared" si="5"/>
        <v>0.531974465225669</v>
      </c>
      <c r="Y24" s="42">
        <f t="shared" si="6"/>
        <v>0.8</v>
      </c>
      <c r="Z24" s="47">
        <v>0.24</v>
      </c>
      <c r="AA24" s="47">
        <v>0</v>
      </c>
      <c r="AB24" s="70">
        <v>0.4</v>
      </c>
      <c r="AC24" s="23">
        <f t="shared" si="7"/>
        <v>382991.353411029</v>
      </c>
      <c r="AD24" s="32">
        <v>24</v>
      </c>
      <c r="AE24" s="32">
        <v>74</v>
      </c>
    </row>
    <row r="25" s="1" customFormat="1" ht="15" spans="1:31">
      <c r="A25" s="72"/>
      <c r="B25" s="73" t="s">
        <v>139</v>
      </c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O25" s="40">
        <v>1</v>
      </c>
      <c r="P25" s="23" t="s">
        <v>106</v>
      </c>
      <c r="Q25" s="41">
        <f t="shared" si="15"/>
        <v>3.4793</v>
      </c>
      <c r="R25" s="42" t="s">
        <v>96</v>
      </c>
      <c r="S25" s="43">
        <f t="shared" si="16"/>
        <v>4116.272</v>
      </c>
      <c r="T25" s="44">
        <f t="shared" si="1"/>
        <v>3.019796875</v>
      </c>
      <c r="U25" s="44">
        <f t="shared" si="17"/>
        <v>1.97</v>
      </c>
      <c r="V25" s="28">
        <f t="shared" si="3"/>
        <v>4.54036</v>
      </c>
      <c r="W25" s="45">
        <f t="shared" si="18"/>
        <v>1.69</v>
      </c>
      <c r="X25" s="46">
        <f t="shared" si="5"/>
        <v>0.531974465225669</v>
      </c>
      <c r="Y25" s="42">
        <f t="shared" si="6"/>
        <v>0.8</v>
      </c>
      <c r="Z25" s="47">
        <v>0.24</v>
      </c>
      <c r="AA25" s="47">
        <v>0</v>
      </c>
      <c r="AB25" s="48">
        <v>0.4</v>
      </c>
      <c r="AC25" s="23">
        <f t="shared" si="7"/>
        <v>383818.103062587</v>
      </c>
      <c r="AD25" s="32">
        <v>24</v>
      </c>
      <c r="AE25" s="32">
        <v>75</v>
      </c>
    </row>
    <row r="26" s="1" customFormat="1" ht="15" spans="1:31">
      <c r="A26" s="72" t="s">
        <v>140</v>
      </c>
      <c r="B26" s="74" t="s">
        <v>24</v>
      </c>
      <c r="C26" s="75"/>
      <c r="D26" s="74" t="s">
        <v>10</v>
      </c>
      <c r="E26" s="75"/>
      <c r="F26" s="74" t="s">
        <v>25</v>
      </c>
      <c r="G26" s="75"/>
      <c r="H26" s="74" t="s">
        <v>26</v>
      </c>
      <c r="I26" s="75"/>
      <c r="J26" s="74" t="s">
        <v>12</v>
      </c>
      <c r="K26" s="75"/>
      <c r="L26" s="74" t="s">
        <v>141</v>
      </c>
      <c r="M26" s="75"/>
      <c r="O26" s="40">
        <v>1</v>
      </c>
      <c r="P26" s="23" t="s">
        <v>106</v>
      </c>
      <c r="Q26" s="41">
        <f t="shared" si="15"/>
        <v>3.4793</v>
      </c>
      <c r="R26" s="42" t="s">
        <v>96</v>
      </c>
      <c r="S26" s="43">
        <f t="shared" si="16"/>
        <v>4116.272</v>
      </c>
      <c r="T26" s="44">
        <f t="shared" si="1"/>
        <v>3.019796875</v>
      </c>
      <c r="U26" s="44">
        <f t="shared" si="17"/>
        <v>1.97</v>
      </c>
      <c r="V26" s="28">
        <f t="shared" si="3"/>
        <v>4.55014</v>
      </c>
      <c r="W26" s="45">
        <f t="shared" si="18"/>
        <v>1.69</v>
      </c>
      <c r="X26" s="46">
        <f t="shared" si="5"/>
        <v>0.531974465225669</v>
      </c>
      <c r="Y26" s="42">
        <f t="shared" si="6"/>
        <v>0.8</v>
      </c>
      <c r="Z26" s="47">
        <v>0.24</v>
      </c>
      <c r="AA26" s="47">
        <v>0</v>
      </c>
      <c r="AB26" s="48">
        <v>0.4</v>
      </c>
      <c r="AC26" s="23">
        <f t="shared" si="7"/>
        <v>384644.852714146</v>
      </c>
      <c r="AD26" s="32">
        <v>24</v>
      </c>
      <c r="AE26" s="32">
        <v>76</v>
      </c>
    </row>
    <row r="27" s="1" customFormat="1" ht="15" spans="1:31">
      <c r="A27" s="72">
        <v>1357</v>
      </c>
      <c r="B27" s="76" t="s">
        <v>28</v>
      </c>
      <c r="C27" s="77">
        <f>288+337</f>
        <v>625</v>
      </c>
      <c r="D27" s="76" t="s">
        <v>29</v>
      </c>
      <c r="E27" s="78"/>
      <c r="F27" s="76" t="s">
        <v>142</v>
      </c>
      <c r="G27" s="79">
        <v>0.05</v>
      </c>
      <c r="H27" s="76" t="s">
        <v>142</v>
      </c>
      <c r="I27" s="78">
        <v>1.5</v>
      </c>
      <c r="J27" s="80" t="s">
        <v>31</v>
      </c>
      <c r="K27" s="78">
        <f>25%</f>
        <v>0.25</v>
      </c>
      <c r="L27" s="76" t="s">
        <v>140</v>
      </c>
      <c r="M27" s="79">
        <f>10.9%*3</f>
        <v>0.327</v>
      </c>
      <c r="O27" s="34">
        <v>1</v>
      </c>
      <c r="P27" s="23" t="s">
        <v>108</v>
      </c>
      <c r="Q27" s="81">
        <f>(27.84%+13.92%*2)*3</f>
        <v>1.6704</v>
      </c>
      <c r="R27" s="82" t="s">
        <v>96</v>
      </c>
      <c r="S27" s="43">
        <f t="shared" si="16"/>
        <v>4116.272</v>
      </c>
      <c r="T27" s="83">
        <f t="shared" si="1"/>
        <v>3.019796875</v>
      </c>
      <c r="U27" s="44">
        <f t="shared" si="17"/>
        <v>1.97</v>
      </c>
      <c r="V27" s="28">
        <f t="shared" si="3"/>
        <v>4.5208</v>
      </c>
      <c r="W27" s="84">
        <f t="shared" si="18"/>
        <v>1.69</v>
      </c>
      <c r="X27" s="85">
        <f t="shared" si="5"/>
        <v>0.531974465225669</v>
      </c>
      <c r="Y27" s="82">
        <f t="shared" si="6"/>
        <v>0.8</v>
      </c>
      <c r="Z27" s="86">
        <v>0</v>
      </c>
      <c r="AA27" s="86">
        <v>0</v>
      </c>
      <c r="AB27" s="70">
        <v>0.4</v>
      </c>
      <c r="AC27" s="23">
        <f t="shared" si="7"/>
        <v>147964.448289983</v>
      </c>
      <c r="AD27" s="32">
        <v>24</v>
      </c>
      <c r="AE27" s="32">
        <v>73</v>
      </c>
    </row>
    <row r="28" s="1" customFormat="1" ht="15" spans="1:31">
      <c r="A28" s="87">
        <f>16%+7.6*2%</f>
        <v>0.312</v>
      </c>
      <c r="B28" s="76" t="s">
        <v>143</v>
      </c>
      <c r="C28" s="78"/>
      <c r="D28" s="76" t="s">
        <v>144</v>
      </c>
      <c r="E28" s="78"/>
      <c r="F28" s="76" t="s">
        <v>35</v>
      </c>
      <c r="G28" s="79"/>
      <c r="H28" s="76" t="s">
        <v>145</v>
      </c>
      <c r="I28" s="79">
        <v>0.2</v>
      </c>
      <c r="J28" s="88" t="s">
        <v>146</v>
      </c>
      <c r="K28" s="79"/>
      <c r="L28" s="76" t="s">
        <v>25</v>
      </c>
      <c r="M28" s="79">
        <f>2*8.1%</f>
        <v>0.162</v>
      </c>
      <c r="O28" s="65">
        <v>1</v>
      </c>
      <c r="P28" s="89" t="s">
        <v>109</v>
      </c>
      <c r="Q28" s="90">
        <v>1.69</v>
      </c>
      <c r="R28" s="91" t="s">
        <v>110</v>
      </c>
      <c r="S28" s="92">
        <f t="shared" ref="S28:S39" si="19">$C$16*(1+$C$17+$C$18+$C$19+$C$20)+($C$21+$C$22)</f>
        <v>2317.4</v>
      </c>
      <c r="T28" s="93">
        <f t="shared" ref="T28:T39" si="20">($C$17+$C$18+$C$19+$C$20)+($C$21+$C$22)/$C$16</f>
        <v>1.57488888888889</v>
      </c>
      <c r="U28" s="93">
        <f>IF(R28=$C$13,SUM($E$16:$E$21),SUM($E$16:$E$20))-12%</f>
        <v>1.2</v>
      </c>
      <c r="V28" s="94">
        <f t="shared" ref="V28:V38" si="21">1+$G$22*($I$22-1)</f>
        <v>2.92525</v>
      </c>
      <c r="W28" s="95">
        <f t="shared" ref="W28:W39" si="22">IF(R28=$C$1,$K$16+$K$17,$K$16)</f>
        <v>0.25</v>
      </c>
      <c r="X28" s="94">
        <f t="shared" ref="X28:X39" si="23">$AH$3</f>
        <v>0.488431876606684</v>
      </c>
      <c r="Y28" s="91">
        <f t="shared" si="6"/>
        <v>0.8</v>
      </c>
      <c r="Z28" s="96">
        <v>0</v>
      </c>
      <c r="AA28" s="96">
        <v>0</v>
      </c>
      <c r="AB28" s="39">
        <v>0</v>
      </c>
      <c r="AC28" s="97">
        <f t="shared" ref="AC28:AC39" si="24">Q28*$C$16*(1+T28)*(1+U28)*V28*(1+W28)*X28*Y28*(1+Z28)*(1+AA28)*(1+AB28)*O28</f>
        <v>12310.5477129229</v>
      </c>
    </row>
    <row r="29" s="1" customFormat="1" ht="15" spans="1:31">
      <c r="A29" s="87">
        <f>36%+M27</f>
        <v>0.687</v>
      </c>
      <c r="B29" s="76" t="s">
        <v>147</v>
      </c>
      <c r="C29" s="78"/>
      <c r="D29" s="76" t="s">
        <v>148</v>
      </c>
      <c r="E29" s="78"/>
      <c r="F29" s="76" t="s">
        <v>41</v>
      </c>
      <c r="G29" s="79"/>
      <c r="H29" s="76" t="s">
        <v>149</v>
      </c>
      <c r="I29" s="79"/>
      <c r="J29" s="88" t="s">
        <v>150</v>
      </c>
      <c r="K29" s="79"/>
      <c r="L29" s="76" t="s">
        <v>45</v>
      </c>
      <c r="M29" s="79">
        <f>3*16.2%</f>
        <v>0.486</v>
      </c>
      <c r="O29" s="98">
        <v>1</v>
      </c>
      <c r="P29" s="89" t="s">
        <v>111</v>
      </c>
      <c r="Q29" s="49">
        <v>1.472</v>
      </c>
      <c r="R29" s="57" t="s">
        <v>83</v>
      </c>
      <c r="S29" s="99">
        <f t="shared" si="19"/>
        <v>2317.4</v>
      </c>
      <c r="T29" s="100">
        <f t="shared" si="20"/>
        <v>1.57488888888889</v>
      </c>
      <c r="U29" s="100">
        <f>IF(R29=$C$13,SUM($E$16:$E$21),SUM($E$16:$E$20))-12%</f>
        <v>1.2</v>
      </c>
      <c r="V29" s="101">
        <f t="shared" si="21"/>
        <v>2.92525</v>
      </c>
      <c r="W29" s="102">
        <f t="shared" si="22"/>
        <v>0.25</v>
      </c>
      <c r="X29" s="101">
        <f t="shared" si="23"/>
        <v>0.488431876606684</v>
      </c>
      <c r="Y29" s="57">
        <f t="shared" si="6"/>
        <v>0.8</v>
      </c>
      <c r="Z29" s="103">
        <v>0</v>
      </c>
      <c r="AA29" s="103">
        <v>0</v>
      </c>
      <c r="AB29" s="36">
        <v>0</v>
      </c>
      <c r="AC29" s="97">
        <f t="shared" si="24"/>
        <v>10722.5599014334</v>
      </c>
    </row>
    <row r="30" s="1" customFormat="1" ht="15" spans="1:31">
      <c r="A30" s="87">
        <v>0.418</v>
      </c>
      <c r="B30" s="76" t="s">
        <v>145</v>
      </c>
      <c r="C30" s="104">
        <f>25%+15%</f>
        <v>0.4</v>
      </c>
      <c r="D30" s="76" t="s">
        <v>151</v>
      </c>
      <c r="E30" s="78">
        <f>40%</f>
        <v>0.4</v>
      </c>
      <c r="F30" s="76" t="s">
        <v>145</v>
      </c>
      <c r="G30" s="79">
        <f>M29</f>
        <v>0.486</v>
      </c>
      <c r="H30" s="76"/>
      <c r="I30" s="79"/>
      <c r="J30" s="88"/>
      <c r="K30" s="79"/>
      <c r="L30" s="76" t="s">
        <v>152</v>
      </c>
      <c r="M30" s="79">
        <f>8.6%*2</f>
        <v>0.172</v>
      </c>
      <c r="O30" s="98">
        <v>1</v>
      </c>
      <c r="P30" s="89" t="s">
        <v>42</v>
      </c>
      <c r="Q30" s="49">
        <v>1.061</v>
      </c>
      <c r="R30" s="57" t="s">
        <v>42</v>
      </c>
      <c r="S30" s="99">
        <f t="shared" si="19"/>
        <v>2317.4</v>
      </c>
      <c r="T30" s="100">
        <f t="shared" si="20"/>
        <v>1.57488888888889</v>
      </c>
      <c r="U30" s="100">
        <f>IF(R30=$C$13,SUM($E$16:$E$21),SUM($E$16:$E$20))-6%</f>
        <v>1.26</v>
      </c>
      <c r="V30" s="101">
        <f t="shared" si="21"/>
        <v>2.92525</v>
      </c>
      <c r="W30" s="102">
        <f t="shared" si="22"/>
        <v>0.25</v>
      </c>
      <c r="X30" s="101">
        <f t="shared" si="23"/>
        <v>0.488431876606684</v>
      </c>
      <c r="Y30" s="57">
        <f t="shared" si="6"/>
        <v>0.8</v>
      </c>
      <c r="Z30" s="103">
        <v>0</v>
      </c>
      <c r="AA30" s="103">
        <v>0</v>
      </c>
      <c r="AB30" s="36">
        <v>0</v>
      </c>
      <c r="AC30" s="97">
        <f t="shared" si="24"/>
        <v>7939.47550804445</v>
      </c>
    </row>
    <row r="31" s="1" customFormat="1" ht="15" spans="1:31">
      <c r="A31" s="105">
        <v>0.2</v>
      </c>
      <c r="B31" s="76" t="s">
        <v>153</v>
      </c>
      <c r="C31" s="104"/>
      <c r="D31" s="76" t="s">
        <v>154</v>
      </c>
      <c r="E31" s="78">
        <v>0.2</v>
      </c>
      <c r="F31" s="76" t="s">
        <v>121</v>
      </c>
      <c r="G31" s="79"/>
      <c r="H31" s="76" t="s">
        <v>121</v>
      </c>
      <c r="I31" s="79">
        <v>0.52</v>
      </c>
      <c r="J31" s="88"/>
      <c r="K31" s="79"/>
      <c r="L31" s="76"/>
      <c r="M31" s="79"/>
      <c r="O31" s="98">
        <v>1</v>
      </c>
      <c r="P31" s="89" t="s">
        <v>117</v>
      </c>
      <c r="Q31" s="49">
        <v>1.9623</v>
      </c>
      <c r="R31" s="57" t="s">
        <v>83</v>
      </c>
      <c r="S31" s="99">
        <f t="shared" si="19"/>
        <v>2317.4</v>
      </c>
      <c r="T31" s="100">
        <f t="shared" si="20"/>
        <v>1.57488888888889</v>
      </c>
      <c r="U31" s="100">
        <f t="shared" ref="U31:U39" si="25">IF(R31=$C$13,SUM($E$16:$E$21),SUM($E$16:$E$20))</f>
        <v>1.32</v>
      </c>
      <c r="V31" s="101">
        <f t="shared" si="21"/>
        <v>2.92525</v>
      </c>
      <c r="W31" s="102">
        <f t="shared" si="22"/>
        <v>0.25</v>
      </c>
      <c r="X31" s="101">
        <f t="shared" si="23"/>
        <v>0.488431876606684</v>
      </c>
      <c r="Y31" s="57">
        <f t="shared" ref="Y31:Y39" si="26">$AH$12</f>
        <v>0.92</v>
      </c>
      <c r="Z31" s="103">
        <v>0</v>
      </c>
      <c r="AA31" s="103">
        <v>0</v>
      </c>
      <c r="AB31" s="36">
        <v>0</v>
      </c>
      <c r="AC31" s="97">
        <f t="shared" si="24"/>
        <v>17334.8153279233</v>
      </c>
    </row>
    <row r="32" s="1" customFormat="1" ht="15" spans="1:31">
      <c r="A32" s="72"/>
      <c r="B32" s="76" t="s">
        <v>49</v>
      </c>
      <c r="C32" s="77">
        <v>350</v>
      </c>
      <c r="D32" s="76" t="s">
        <v>93</v>
      </c>
      <c r="E32" s="78"/>
      <c r="F32" s="106" t="s">
        <v>53</v>
      </c>
      <c r="G32" s="107">
        <f>MIN(100%,SUM(G27:G31))</f>
        <v>0.536</v>
      </c>
      <c r="H32" s="106" t="s">
        <v>54</v>
      </c>
      <c r="I32" s="108">
        <f>SUM(I27:I31)</f>
        <v>2.22</v>
      </c>
      <c r="J32" s="88"/>
      <c r="K32" s="79"/>
      <c r="L32" s="76"/>
      <c r="M32" s="77"/>
      <c r="O32" s="98">
        <v>1</v>
      </c>
      <c r="P32" s="89" t="s">
        <v>118</v>
      </c>
      <c r="Q32" s="49">
        <v>1.9801</v>
      </c>
      <c r="R32" s="57" t="s">
        <v>1</v>
      </c>
      <c r="S32" s="99">
        <f t="shared" si="19"/>
        <v>2317.4</v>
      </c>
      <c r="T32" s="100">
        <f t="shared" si="20"/>
        <v>1.57488888888889</v>
      </c>
      <c r="U32" s="100">
        <f t="shared" si="25"/>
        <v>1.806</v>
      </c>
      <c r="V32" s="101">
        <f t="shared" si="21"/>
        <v>2.92525</v>
      </c>
      <c r="W32" s="102">
        <f t="shared" si="22"/>
        <v>0.25</v>
      </c>
      <c r="X32" s="101">
        <f t="shared" si="23"/>
        <v>0.488431876606684</v>
      </c>
      <c r="Y32" s="57">
        <f t="shared" si="26"/>
        <v>0.92</v>
      </c>
      <c r="Z32" s="103">
        <v>0</v>
      </c>
      <c r="AA32" s="103">
        <v>0</v>
      </c>
      <c r="AB32" s="36">
        <v>0</v>
      </c>
      <c r="AC32" s="97">
        <f t="shared" si="24"/>
        <v>21156.3440537941</v>
      </c>
    </row>
    <row r="33" s="1" customFormat="1" ht="15" spans="1:29">
      <c r="A33" s="72"/>
      <c r="B33" s="109" t="s">
        <v>52</v>
      </c>
      <c r="C33" s="110"/>
      <c r="D33" s="109" t="s">
        <v>94</v>
      </c>
      <c r="E33" s="111"/>
      <c r="F33" s="109"/>
      <c r="G33" s="112"/>
      <c r="H33" s="109"/>
      <c r="I33" s="110"/>
      <c r="J33" s="113"/>
      <c r="K33" s="112"/>
      <c r="L33" s="109"/>
      <c r="M33" s="110"/>
      <c r="N33" s="114"/>
      <c r="O33" s="98">
        <v>1</v>
      </c>
      <c r="P33" s="89" t="s">
        <v>120</v>
      </c>
      <c r="Q33" s="49">
        <v>3.76</v>
      </c>
      <c r="R33" s="57" t="s">
        <v>1</v>
      </c>
      <c r="S33" s="99">
        <f t="shared" si="19"/>
        <v>2317.4</v>
      </c>
      <c r="T33" s="100">
        <f t="shared" si="20"/>
        <v>1.57488888888889</v>
      </c>
      <c r="U33" s="100">
        <f t="shared" si="25"/>
        <v>1.806</v>
      </c>
      <c r="V33" s="101">
        <f t="shared" si="21"/>
        <v>2.92525</v>
      </c>
      <c r="W33" s="102">
        <f t="shared" si="22"/>
        <v>0.25</v>
      </c>
      <c r="X33" s="101">
        <f t="shared" si="23"/>
        <v>0.488431876606684</v>
      </c>
      <c r="Y33" s="57">
        <f t="shared" si="26"/>
        <v>0.92</v>
      </c>
      <c r="Z33" s="103">
        <v>0</v>
      </c>
      <c r="AA33" s="103">
        <v>0</v>
      </c>
      <c r="AB33" s="36">
        <v>0</v>
      </c>
      <c r="AC33" s="97">
        <f t="shared" si="24"/>
        <v>40173.6546852512</v>
      </c>
    </row>
    <row r="34" s="1" customFormat="1" ht="15" spans="1:29">
      <c r="A34" s="72">
        <f>A27*(1+A28+A29+A30+A31)</f>
        <v>3551.269</v>
      </c>
      <c r="B34" s="115"/>
      <c r="C34" s="115">
        <f>C27*(1+C30)+C32</f>
        <v>1225</v>
      </c>
      <c r="D34" s="115"/>
      <c r="E34" s="115"/>
      <c r="F34" s="115" t="s">
        <v>155</v>
      </c>
      <c r="G34" s="116"/>
      <c r="H34" s="115"/>
      <c r="I34" s="115"/>
      <c r="J34" s="115"/>
      <c r="K34" s="115"/>
      <c r="L34" s="115"/>
      <c r="M34" s="115"/>
      <c r="N34" s="57"/>
      <c r="O34" s="98">
        <v>1</v>
      </c>
      <c r="P34" s="89" t="s">
        <v>122</v>
      </c>
      <c r="Q34" s="49">
        <v>4.9033</v>
      </c>
      <c r="R34" s="57" t="s">
        <v>1</v>
      </c>
      <c r="S34" s="99">
        <f t="shared" si="19"/>
        <v>2317.4</v>
      </c>
      <c r="T34" s="100">
        <f t="shared" si="20"/>
        <v>1.57488888888889</v>
      </c>
      <c r="U34" s="100">
        <f t="shared" si="25"/>
        <v>1.806</v>
      </c>
      <c r="V34" s="101">
        <f t="shared" si="21"/>
        <v>2.92525</v>
      </c>
      <c r="W34" s="102">
        <f t="shared" si="22"/>
        <v>0.25</v>
      </c>
      <c r="X34" s="101">
        <f t="shared" si="23"/>
        <v>0.488431876606684</v>
      </c>
      <c r="Y34" s="57">
        <f t="shared" si="26"/>
        <v>0.92</v>
      </c>
      <c r="Z34" s="103">
        <v>0</v>
      </c>
      <c r="AA34" s="103">
        <v>0</v>
      </c>
      <c r="AB34" s="36">
        <v>0</v>
      </c>
      <c r="AC34" s="97">
        <f t="shared" si="24"/>
        <v>52389.2236750511</v>
      </c>
    </row>
    <row r="35" s="1" customFormat="1" ht="15" spans="1:29">
      <c r="A35" s="117"/>
      <c r="B35" s="118"/>
      <c r="C35" s="118"/>
      <c r="D35" s="118"/>
      <c r="E35" s="118"/>
      <c r="F35" s="118"/>
      <c r="G35" s="119"/>
      <c r="N35" s="57"/>
      <c r="O35" s="98">
        <v>1</v>
      </c>
      <c r="P35" s="89" t="s">
        <v>123</v>
      </c>
      <c r="Q35" s="49">
        <v>13.3598</v>
      </c>
      <c r="R35" s="57" t="s">
        <v>1</v>
      </c>
      <c r="S35" s="99">
        <f t="shared" si="19"/>
        <v>2317.4</v>
      </c>
      <c r="T35" s="100">
        <f t="shared" si="20"/>
        <v>1.57488888888889</v>
      </c>
      <c r="U35" s="100">
        <f t="shared" si="25"/>
        <v>1.806</v>
      </c>
      <c r="V35" s="101">
        <f t="shared" si="21"/>
        <v>2.92525</v>
      </c>
      <c r="W35" s="102">
        <f t="shared" si="22"/>
        <v>0.25</v>
      </c>
      <c r="X35" s="101">
        <f t="shared" si="23"/>
        <v>0.488431876606684</v>
      </c>
      <c r="Y35" s="57">
        <f t="shared" si="26"/>
        <v>0.92</v>
      </c>
      <c r="Z35" s="103">
        <v>0</v>
      </c>
      <c r="AA35" s="103">
        <v>0</v>
      </c>
      <c r="AB35" s="36">
        <v>0</v>
      </c>
      <c r="AC35" s="97">
        <f t="shared" si="24"/>
        <v>142742.551027665</v>
      </c>
    </row>
    <row r="36" s="1" customFormat="1" ht="15" spans="1:29">
      <c r="B36" s="120" t="s">
        <v>68</v>
      </c>
      <c r="C36" s="1" t="s">
        <v>112</v>
      </c>
      <c r="D36" s="1" t="s">
        <v>113</v>
      </c>
      <c r="E36" s="1" t="s">
        <v>114</v>
      </c>
      <c r="F36" s="1" t="s">
        <v>115</v>
      </c>
      <c r="G36" s="2"/>
      <c r="N36" s="57"/>
      <c r="O36" s="98">
        <v>1</v>
      </c>
      <c r="P36" s="89" t="s">
        <v>118</v>
      </c>
      <c r="Q36" s="49">
        <v>1.9801</v>
      </c>
      <c r="R36" s="57" t="s">
        <v>1</v>
      </c>
      <c r="S36" s="99">
        <f t="shared" si="19"/>
        <v>2317.4</v>
      </c>
      <c r="T36" s="100">
        <f t="shared" si="20"/>
        <v>1.57488888888889</v>
      </c>
      <c r="U36" s="100">
        <f t="shared" si="25"/>
        <v>1.806</v>
      </c>
      <c r="V36" s="101">
        <f t="shared" si="21"/>
        <v>2.92525</v>
      </c>
      <c r="W36" s="102">
        <f t="shared" si="22"/>
        <v>0.25</v>
      </c>
      <c r="X36" s="101">
        <f t="shared" si="23"/>
        <v>0.488431876606684</v>
      </c>
      <c r="Y36" s="57">
        <f t="shared" si="26"/>
        <v>0.92</v>
      </c>
      <c r="Z36" s="103">
        <v>0</v>
      </c>
      <c r="AA36" s="103">
        <v>0</v>
      </c>
      <c r="AB36" s="36">
        <v>0</v>
      </c>
      <c r="AC36" s="97">
        <f t="shared" si="24"/>
        <v>21156.3440537941</v>
      </c>
    </row>
    <row r="37" s="1" customFormat="1" ht="15" spans="1:29">
      <c r="B37" s="121" t="s">
        <v>156</v>
      </c>
      <c r="C37" s="122" t="s">
        <v>70</v>
      </c>
      <c r="D37" s="122" t="s">
        <v>71</v>
      </c>
      <c r="E37" s="122" t="s">
        <v>72</v>
      </c>
      <c r="F37" s="122" t="s">
        <v>73</v>
      </c>
      <c r="G37" s="2"/>
      <c r="N37" s="57"/>
      <c r="O37" s="98">
        <v>1</v>
      </c>
      <c r="P37" s="89" t="s">
        <v>124</v>
      </c>
      <c r="Q37" s="49">
        <v>1.0599</v>
      </c>
      <c r="R37" s="57" t="s">
        <v>1</v>
      </c>
      <c r="S37" s="99">
        <f t="shared" si="19"/>
        <v>2317.4</v>
      </c>
      <c r="T37" s="100">
        <f t="shared" si="20"/>
        <v>1.57488888888889</v>
      </c>
      <c r="U37" s="100">
        <f t="shared" si="25"/>
        <v>1.806</v>
      </c>
      <c r="V37" s="101">
        <f t="shared" si="21"/>
        <v>2.92525</v>
      </c>
      <c r="W37" s="102">
        <f t="shared" si="22"/>
        <v>0.25</v>
      </c>
      <c r="X37" s="101">
        <f t="shared" si="23"/>
        <v>0.488431876606684</v>
      </c>
      <c r="Y37" s="57">
        <f t="shared" si="26"/>
        <v>0.92</v>
      </c>
      <c r="Z37" s="103">
        <v>0</v>
      </c>
      <c r="AA37" s="103">
        <v>0</v>
      </c>
      <c r="AB37" s="36">
        <v>0</v>
      </c>
      <c r="AC37" s="97">
        <f t="shared" si="24"/>
        <v>11324.4831385366</v>
      </c>
    </row>
    <row r="38" s="1" customFormat="1" ht="15" spans="1:29">
      <c r="B38" s="4" t="s">
        <v>84</v>
      </c>
      <c r="C38" s="123">
        <f>SUM(AC3:AC27)</f>
        <v>6536660.20882244</v>
      </c>
      <c r="D38" s="123">
        <f t="shared" ref="D38:D41" si="27">C38/$E$38</f>
        <v>261466.408352898</v>
      </c>
      <c r="E38" s="124">
        <v>25</v>
      </c>
      <c r="F38" s="125">
        <f t="shared" ref="F38:F41" si="28">C38/$C$42</f>
        <v>0.918282616416524</v>
      </c>
      <c r="G38" s="2"/>
      <c r="O38" s="98">
        <v>0</v>
      </c>
      <c r="P38" s="89" t="s">
        <v>130</v>
      </c>
      <c r="Q38" s="49">
        <v>3.1056</v>
      </c>
      <c r="R38" s="57" t="s">
        <v>96</v>
      </c>
      <c r="S38" s="99">
        <f t="shared" si="19"/>
        <v>2317.4</v>
      </c>
      <c r="T38" s="100">
        <f t="shared" si="20"/>
        <v>1.57488888888889</v>
      </c>
      <c r="U38" s="100">
        <f t="shared" si="25"/>
        <v>1.32</v>
      </c>
      <c r="V38" s="101">
        <f t="shared" si="21"/>
        <v>2.92525</v>
      </c>
      <c r="W38" s="102">
        <f t="shared" si="22"/>
        <v>0.25</v>
      </c>
      <c r="X38" s="101">
        <f t="shared" si="23"/>
        <v>0.488431876606684</v>
      </c>
      <c r="Y38" s="57">
        <f t="shared" si="26"/>
        <v>0.92</v>
      </c>
      <c r="Z38" s="103">
        <v>0</v>
      </c>
      <c r="AA38" s="103">
        <v>0</v>
      </c>
      <c r="AB38" s="36">
        <v>0</v>
      </c>
      <c r="AC38" s="97">
        <f t="shared" si="24"/>
        <v>0</v>
      </c>
    </row>
    <row r="39" s="1" customFormat="1" ht="15" spans="1:29">
      <c r="A39" s="1" t="s">
        <v>157</v>
      </c>
      <c r="B39" s="4" t="s">
        <v>100</v>
      </c>
      <c r="C39" s="123">
        <f>SUM(AC28:AC39)</f>
        <v>380247.862125035</v>
      </c>
      <c r="D39" s="123">
        <f t="shared" si="27"/>
        <v>15209.9144850014</v>
      </c>
      <c r="E39" s="126"/>
      <c r="F39" s="125">
        <f t="shared" si="28"/>
        <v>0.053417952067891</v>
      </c>
      <c r="G39" s="2"/>
      <c r="O39" s="127">
        <v>1</v>
      </c>
      <c r="P39" s="89" t="s">
        <v>131</v>
      </c>
      <c r="Q39" s="56">
        <v>3.7804</v>
      </c>
      <c r="R39" s="128" t="s">
        <v>1</v>
      </c>
      <c r="S39" s="129">
        <f t="shared" si="19"/>
        <v>2317.4</v>
      </c>
      <c r="T39" s="130">
        <f t="shared" si="20"/>
        <v>1.57488888888889</v>
      </c>
      <c r="U39" s="130">
        <f t="shared" si="25"/>
        <v>1.806</v>
      </c>
      <c r="V39" s="131">
        <f>1+$G$22*($I$22-1+25%)</f>
        <v>3.114</v>
      </c>
      <c r="W39" s="132">
        <f t="shared" si="22"/>
        <v>0.25</v>
      </c>
      <c r="X39" s="131">
        <f t="shared" si="23"/>
        <v>0.488431876606684</v>
      </c>
      <c r="Y39" s="128">
        <f t="shared" si="26"/>
        <v>0.92</v>
      </c>
      <c r="Z39" s="133">
        <v>0</v>
      </c>
      <c r="AA39" s="133">
        <v>0</v>
      </c>
      <c r="AB39" s="53">
        <v>0</v>
      </c>
      <c r="AC39" s="97">
        <f t="shared" si="24"/>
        <v>42997.8630406196</v>
      </c>
    </row>
    <row r="40" s="1" customFormat="1" ht="15" spans="1:29">
      <c r="B40" s="4" t="s">
        <v>139</v>
      </c>
      <c r="C40" s="123">
        <f>SUM(AC44:AC49)+AC41</f>
        <v>98010.0195568733</v>
      </c>
      <c r="D40" s="123">
        <f t="shared" si="27"/>
        <v>3920.40078227493</v>
      </c>
      <c r="E40" s="134"/>
      <c r="F40" s="125">
        <f t="shared" si="28"/>
        <v>0.0137686363247469</v>
      </c>
      <c r="G40" s="2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</row>
    <row r="41" s="1" customFormat="1" ht="15" spans="1:29">
      <c r="B41" s="4" t="s">
        <v>74</v>
      </c>
      <c r="C41" s="123">
        <f>AC42</f>
        <v>103435.335732648</v>
      </c>
      <c r="D41" s="123">
        <f t="shared" si="27"/>
        <v>4137.41342930591</v>
      </c>
      <c r="E41" s="134"/>
      <c r="F41" s="125">
        <f t="shared" si="28"/>
        <v>0.0145307951908377</v>
      </c>
      <c r="G41" s="2"/>
      <c r="O41" s="34">
        <f>$O$42</f>
        <v>1.5</v>
      </c>
      <c r="P41" s="57" t="s">
        <v>67</v>
      </c>
      <c r="Q41" s="100">
        <v>2.9822</v>
      </c>
      <c r="R41" s="57" t="s">
        <v>66</v>
      </c>
      <c r="S41" s="57">
        <v>10027</v>
      </c>
      <c r="T41" s="100">
        <v>0</v>
      </c>
      <c r="U41" s="100">
        <v>0</v>
      </c>
      <c r="V41" s="101">
        <v>1</v>
      </c>
      <c r="W41" s="102">
        <v>0</v>
      </c>
      <c r="X41" s="101">
        <f t="shared" ref="X41:X49" si="29">$AH$3</f>
        <v>0.488431876606684</v>
      </c>
      <c r="Y41" s="137">
        <f>$AH$13</f>
        <v>0.8</v>
      </c>
      <c r="Z41" s="103">
        <v>0</v>
      </c>
      <c r="AA41" s="103">
        <v>0</v>
      </c>
      <c r="AB41" s="36">
        <v>0.5</v>
      </c>
      <c r="AC41" s="138">
        <f>Q41*S41*(1+T41)*(1+U41)*V41*(1+W41)*X41*Y41*(1+Z41)*(1+AA41)*(1+AB41)*O41</f>
        <v>26289.6185984576</v>
      </c>
    </row>
    <row r="42" s="1" customFormat="1" ht="15" spans="1:29">
      <c r="B42" s="4" t="s">
        <v>82</v>
      </c>
      <c r="C42" s="139">
        <f>SUM(C38:C41)</f>
        <v>7118353.426237</v>
      </c>
      <c r="D42" s="139">
        <f>C42/E38</f>
        <v>284734.13704948</v>
      </c>
      <c r="E42" s="140"/>
      <c r="F42" s="141"/>
      <c r="G42" s="2"/>
      <c r="O42" s="20">
        <v>1.5</v>
      </c>
      <c r="P42" s="137" t="s">
        <v>74</v>
      </c>
      <c r="Q42" s="145">
        <v>16</v>
      </c>
      <c r="R42" s="137" t="s">
        <v>75</v>
      </c>
      <c r="S42" s="137">
        <v>10027</v>
      </c>
      <c r="T42" s="145">
        <v>0</v>
      </c>
      <c r="U42" s="145">
        <v>0</v>
      </c>
      <c r="V42" s="146">
        <v>1</v>
      </c>
      <c r="W42" s="147">
        <v>0</v>
      </c>
      <c r="X42" s="146">
        <f t="shared" si="29"/>
        <v>0.488431876606684</v>
      </c>
      <c r="Y42" s="137">
        <f>$AH$13</f>
        <v>0.8</v>
      </c>
      <c r="Z42" s="148">
        <v>0</v>
      </c>
      <c r="AA42" s="148">
        <v>0</v>
      </c>
      <c r="AB42" s="148">
        <v>0.1</v>
      </c>
      <c r="AC42" s="149">
        <f>Q42*S42*(1+T42)*(1+U42)*V42*(1+W42)*X42*Y42*(1+Z42)*(1+AA42)*(1+AB42)*O42</f>
        <v>103435.335732648</v>
      </c>
    </row>
    <row r="43" s="1" customFormat="1" ht="17.5" spans="1:29">
      <c r="B43" s="4"/>
      <c r="C43" s="4"/>
      <c r="D43" s="4"/>
      <c r="G43" s="2"/>
      <c r="H43" s="169" t="s">
        <v>170</v>
      </c>
      <c r="I43" s="169" t="s">
        <v>171</v>
      </c>
      <c r="J43" s="169" t="s">
        <v>172</v>
      </c>
      <c r="Q43" s="2"/>
      <c r="U43" s="2"/>
      <c r="V43" s="3"/>
      <c r="AB43" s="4"/>
      <c r="AC43" s="4"/>
    </row>
    <row r="44" s="1" customFormat="1" ht="17.5" spans="1:29">
      <c r="B44" s="151" t="s">
        <v>125</v>
      </c>
      <c r="C44" s="152" t="s">
        <v>126</v>
      </c>
      <c r="D44" s="152" t="s">
        <v>128</v>
      </c>
      <c r="E44" s="152"/>
      <c r="F44" s="153"/>
      <c r="G44" s="167"/>
      <c r="H44" s="243" t="s">
        <v>169</v>
      </c>
      <c r="I44" s="142">
        <v>84385</v>
      </c>
      <c r="J44" s="170" t="s">
        <v>173</v>
      </c>
      <c r="O44" s="66">
        <v>1</v>
      </c>
      <c r="P44" s="155" t="s">
        <v>158</v>
      </c>
      <c r="Q44" s="90">
        <v>2.0279</v>
      </c>
      <c r="R44" s="91" t="s">
        <v>110</v>
      </c>
      <c r="S44" s="92">
        <f t="shared" ref="S44:S47" si="30">C$34</f>
        <v>1225</v>
      </c>
      <c r="T44" s="93">
        <f t="shared" ref="T44:T47" si="31">S44/$C$27-1</f>
        <v>0.96</v>
      </c>
      <c r="U44" s="93">
        <f t="shared" ref="U44:U47" si="32">E$30</f>
        <v>0.4</v>
      </c>
      <c r="V44" s="94">
        <f t="shared" ref="V44:V47" si="33">1+$G$32*($I$32-1)</f>
        <v>1.65392</v>
      </c>
      <c r="W44" s="95">
        <f t="shared" ref="W44:W49" si="34">K$27</f>
        <v>0.25</v>
      </c>
      <c r="X44" s="94">
        <f t="shared" si="29"/>
        <v>0.488431876606684</v>
      </c>
      <c r="Y44" s="91">
        <f t="shared" ref="Y44:Y49" si="35">$AH$14</f>
        <v>0.8</v>
      </c>
      <c r="Z44" s="96">
        <v>0</v>
      </c>
      <c r="AA44" s="96">
        <v>0</v>
      </c>
      <c r="AB44" s="39">
        <v>0</v>
      </c>
      <c r="AC44" s="155">
        <f t="shared" ref="AC44:AC47" si="36">Q44*$C$27*(1+T44)*(1+U44)*V44*(1+W44)*X44*Y44*(1+Z44)*(1+AA44)*(1+AB44)*O44</f>
        <v>2809.5007874365</v>
      </c>
    </row>
    <row r="45" s="1" customFormat="1" ht="17.5" spans="1:29">
      <c r="B45" s="156"/>
      <c r="C45" s="157" t="s">
        <v>162</v>
      </c>
      <c r="D45" s="157" t="s">
        <v>129</v>
      </c>
      <c r="E45" s="157"/>
      <c r="F45" s="158"/>
      <c r="G45" s="2"/>
      <c r="H45" s="142">
        <v>11</v>
      </c>
      <c r="I45" s="142">
        <v>94885</v>
      </c>
      <c r="J45" s="144">
        <f>I45/I44-1</f>
        <v>0.12442969722107</v>
      </c>
      <c r="O45" s="34">
        <v>1</v>
      </c>
      <c r="P45" s="155" t="s">
        <v>159</v>
      </c>
      <c r="Q45" s="49">
        <f>22.27%+16.71%*2+23.86%+23.86%+17.9%*4+41.36%+10.34%*6</f>
        <v>2.7841</v>
      </c>
      <c r="R45" s="57" t="s">
        <v>1</v>
      </c>
      <c r="S45" s="99">
        <f t="shared" si="30"/>
        <v>1225</v>
      </c>
      <c r="T45" s="100">
        <f t="shared" si="31"/>
        <v>0.96</v>
      </c>
      <c r="U45" s="100">
        <f t="shared" si="32"/>
        <v>0.4</v>
      </c>
      <c r="V45" s="101">
        <f t="shared" si="33"/>
        <v>1.65392</v>
      </c>
      <c r="W45" s="102">
        <f t="shared" si="34"/>
        <v>0.25</v>
      </c>
      <c r="X45" s="101">
        <f t="shared" si="29"/>
        <v>0.488431876606684</v>
      </c>
      <c r="Y45" s="57">
        <f t="shared" si="35"/>
        <v>0.8</v>
      </c>
      <c r="Z45" s="103">
        <v>0</v>
      </c>
      <c r="AA45" s="103">
        <v>0</v>
      </c>
      <c r="AB45" s="36">
        <v>0</v>
      </c>
      <c r="AC45" s="155">
        <f t="shared" si="36"/>
        <v>3857.15821406478</v>
      </c>
    </row>
    <row r="46" s="1" customFormat="1" ht="17.5" spans="1:29">
      <c r="B46" s="159"/>
      <c r="C46" s="159"/>
      <c r="D46" s="159"/>
      <c r="E46" s="159"/>
      <c r="F46" s="159"/>
      <c r="G46" s="2"/>
      <c r="H46" s="142">
        <v>21</v>
      </c>
      <c r="I46" s="142">
        <v>119800</v>
      </c>
      <c r="J46" s="144">
        <f t="shared" ref="J46:J52" si="37">I46/I45-1</f>
        <v>0.262581019128419</v>
      </c>
      <c r="O46" s="34">
        <v>1</v>
      </c>
      <c r="P46" s="155" t="s">
        <v>160</v>
      </c>
      <c r="Q46" s="49">
        <f>39.77%*4</f>
        <v>1.5908</v>
      </c>
      <c r="R46" s="57" t="s">
        <v>83</v>
      </c>
      <c r="S46" s="99">
        <f t="shared" si="30"/>
        <v>1225</v>
      </c>
      <c r="T46" s="100">
        <f t="shared" si="31"/>
        <v>0.96</v>
      </c>
      <c r="U46" s="100">
        <f t="shared" si="32"/>
        <v>0.4</v>
      </c>
      <c r="V46" s="101">
        <f t="shared" si="33"/>
        <v>1.65392</v>
      </c>
      <c r="W46" s="102">
        <f t="shared" si="34"/>
        <v>0.25</v>
      </c>
      <c r="X46" s="101">
        <f t="shared" si="29"/>
        <v>0.488431876606684</v>
      </c>
      <c r="Y46" s="57">
        <f t="shared" si="35"/>
        <v>0.8</v>
      </c>
      <c r="Z46" s="103">
        <v>0</v>
      </c>
      <c r="AA46" s="103">
        <v>0</v>
      </c>
      <c r="AB46" s="36">
        <v>0</v>
      </c>
      <c r="AC46" s="155">
        <f t="shared" si="36"/>
        <v>2203.93207389614</v>
      </c>
    </row>
    <row r="47" s="1" customFormat="1" ht="17.5" spans="1:29">
      <c r="B47" s="160" t="s">
        <v>132</v>
      </c>
      <c r="C47" s="161" t="s">
        <v>133</v>
      </c>
      <c r="D47" s="161" t="s">
        <v>134</v>
      </c>
      <c r="E47" s="91"/>
      <c r="F47" s="162"/>
      <c r="H47" s="142">
        <v>31</v>
      </c>
      <c r="I47" s="142">
        <v>136048</v>
      </c>
      <c r="J47" s="144">
        <f t="shared" si="37"/>
        <v>0.135626043405676</v>
      </c>
      <c r="O47" s="34">
        <v>1</v>
      </c>
      <c r="P47" s="155" t="s">
        <v>95</v>
      </c>
      <c r="Q47" s="49">
        <v>3.51</v>
      </c>
      <c r="R47" s="57" t="s">
        <v>96</v>
      </c>
      <c r="S47" s="99">
        <f t="shared" si="30"/>
        <v>1225</v>
      </c>
      <c r="T47" s="100">
        <f t="shared" si="31"/>
        <v>0.96</v>
      </c>
      <c r="U47" s="100">
        <f t="shared" si="32"/>
        <v>0.4</v>
      </c>
      <c r="V47" s="101">
        <f t="shared" si="33"/>
        <v>1.65392</v>
      </c>
      <c r="W47" s="102">
        <f t="shared" si="34"/>
        <v>0.25</v>
      </c>
      <c r="X47" s="101">
        <f t="shared" si="29"/>
        <v>0.488431876606684</v>
      </c>
      <c r="Y47" s="57">
        <f t="shared" si="35"/>
        <v>0.8</v>
      </c>
      <c r="Z47" s="103">
        <v>0</v>
      </c>
      <c r="AA47" s="103">
        <v>0</v>
      </c>
      <c r="AB47" s="36">
        <v>0</v>
      </c>
      <c r="AC47" s="155">
        <f t="shared" si="36"/>
        <v>4862.83730159383</v>
      </c>
    </row>
    <row r="48" s="1" customFormat="1" ht="17.5" spans="1:29">
      <c r="B48" s="163"/>
      <c r="C48" s="134" t="s">
        <v>164</v>
      </c>
      <c r="D48" s="134" t="s">
        <v>165</v>
      </c>
      <c r="F48" s="164"/>
      <c r="G48" s="2"/>
      <c r="H48" s="142">
        <v>41</v>
      </c>
      <c r="I48" s="142">
        <v>145565</v>
      </c>
      <c r="J48" s="144">
        <f t="shared" si="37"/>
        <v>0.0699532517934847</v>
      </c>
      <c r="O48" s="34">
        <v>1</v>
      </c>
      <c r="P48" s="155" t="s">
        <v>161</v>
      </c>
      <c r="Q48" s="49">
        <v>5.2233</v>
      </c>
      <c r="R48" s="57" t="s">
        <v>120</v>
      </c>
      <c r="S48" s="99">
        <f>A34</f>
        <v>3551.269</v>
      </c>
      <c r="T48" s="100">
        <v>0</v>
      </c>
      <c r="U48" s="100">
        <f>E$30+M30</f>
        <v>0.572</v>
      </c>
      <c r="V48" s="101">
        <f>I32+1.6</f>
        <v>3.82</v>
      </c>
      <c r="W48" s="102">
        <f t="shared" si="34"/>
        <v>0.25</v>
      </c>
      <c r="X48" s="101">
        <f t="shared" si="29"/>
        <v>0.488431876606684</v>
      </c>
      <c r="Y48" s="57">
        <f t="shared" si="35"/>
        <v>0.8</v>
      </c>
      <c r="Z48" s="103">
        <v>0</v>
      </c>
      <c r="AA48" s="103">
        <v>0</v>
      </c>
      <c r="AB48" s="36">
        <v>0</v>
      </c>
      <c r="AC48" s="155">
        <f>Q48*S48*(1+T48)*(1+U48)*V48*(1+W48)*X48*Y48*(1+Z48)*(1+AA48)*(1+AB48)*O48</f>
        <v>54406.2064020229</v>
      </c>
    </row>
    <row r="49" s="1" customFormat="1" ht="17.5" spans="2:29">
      <c r="B49" s="165"/>
      <c r="C49" s="166" t="s">
        <v>166</v>
      </c>
      <c r="D49" s="166" t="s">
        <v>167</v>
      </c>
      <c r="E49" s="128"/>
      <c r="F49" s="52"/>
      <c r="G49" s="2"/>
      <c r="H49" s="142">
        <v>61</v>
      </c>
      <c r="I49" s="142">
        <v>211184</v>
      </c>
      <c r="J49" s="144">
        <f t="shared" si="37"/>
        <v>0.450788307628894</v>
      </c>
      <c r="O49" s="51">
        <v>1</v>
      </c>
      <c r="P49" s="155" t="s">
        <v>163</v>
      </c>
      <c r="Q49" s="56">
        <f>258.46%</f>
        <v>2.5846</v>
      </c>
      <c r="R49" s="128" t="s">
        <v>83</v>
      </c>
      <c r="S49" s="129">
        <f>C$34</f>
        <v>1225</v>
      </c>
      <c r="T49" s="130">
        <f>S49/$C$27-1</f>
        <v>0.96</v>
      </c>
      <c r="U49" s="130">
        <f>E$30</f>
        <v>0.4</v>
      </c>
      <c r="V49" s="131">
        <f>1+$G$32*($I$32-1)</f>
        <v>1.65392</v>
      </c>
      <c r="W49" s="132">
        <f t="shared" si="34"/>
        <v>0.25</v>
      </c>
      <c r="X49" s="131">
        <f t="shared" si="29"/>
        <v>0.488431876606684</v>
      </c>
      <c r="Y49" s="128">
        <f t="shared" si="35"/>
        <v>0.8</v>
      </c>
      <c r="Z49" s="133">
        <v>0</v>
      </c>
      <c r="AA49" s="133">
        <v>0</v>
      </c>
      <c r="AB49" s="53">
        <v>0</v>
      </c>
      <c r="AC49" s="155">
        <f>Q49*$C$27*(1+T49)*(1+U49)*V49*(1+W49)*X49*Y49*(1+Z49)*(1+AA49)*(1+AB49)*O49</f>
        <v>3580.76617940154</v>
      </c>
    </row>
    <row r="50" s="1" customFormat="1" ht="17.5" spans="2:29">
      <c r="B50" s="4"/>
      <c r="C50" s="4"/>
      <c r="D50" s="4"/>
      <c r="F50" s="4"/>
      <c r="G50" s="2"/>
      <c r="H50" s="142">
        <v>65</v>
      </c>
      <c r="I50" s="142">
        <v>252154</v>
      </c>
      <c r="J50" s="144">
        <f t="shared" si="37"/>
        <v>0.194001439502993</v>
      </c>
      <c r="Q50" s="2"/>
      <c r="U50" s="2"/>
      <c r="V50" s="3"/>
      <c r="AB50" s="4"/>
      <c r="AC50" s="4"/>
    </row>
    <row r="51" s="1" customFormat="1" ht="17.5" spans="2:29">
      <c r="B51" s="4"/>
      <c r="C51" s="4"/>
      <c r="D51" s="4"/>
      <c r="F51" s="4"/>
      <c r="G51" s="2"/>
      <c r="H51" s="142" t="s">
        <v>174</v>
      </c>
      <c r="I51" s="142">
        <v>272203</v>
      </c>
      <c r="J51" s="144">
        <f t="shared" si="37"/>
        <v>0.0795109337944273</v>
      </c>
      <c r="Q51" s="2"/>
      <c r="U51" s="2"/>
      <c r="V51" s="3"/>
      <c r="AB51" s="4"/>
      <c r="AC51" s="4"/>
    </row>
    <row r="52" s="1" customFormat="1" ht="17.5" spans="2:29">
      <c r="G52" s="2"/>
      <c r="H52" s="142" t="s">
        <v>175</v>
      </c>
      <c r="I52" s="142">
        <v>284734</v>
      </c>
      <c r="J52" s="144">
        <f t="shared" si="37"/>
        <v>0.0460354955676463</v>
      </c>
      <c r="Q52" s="2"/>
      <c r="U52" s="2"/>
      <c r="V52" s="3"/>
      <c r="AB52" s="4"/>
      <c r="AC52" s="4"/>
    </row>
    <row r="53" s="1" customFormat="1" spans="2:29">
      <c r="B53" s="4"/>
      <c r="C53" s="4"/>
      <c r="D53" s="4"/>
      <c r="F53" s="4"/>
      <c r="G53" s="2"/>
      <c r="H53" s="1"/>
      <c r="Q53" s="2"/>
      <c r="U53" s="2"/>
      <c r="V53" s="3"/>
      <c r="AB53" s="4"/>
      <c r="AC53" s="4"/>
    </row>
    <row r="54" s="1" customFormat="1" spans="2:29">
      <c r="B54" s="4"/>
      <c r="C54" s="4"/>
      <c r="D54" s="4"/>
      <c r="F54" s="4"/>
      <c r="G54" s="2"/>
      <c r="Q54" s="2"/>
      <c r="U54" s="2"/>
      <c r="V54" s="3"/>
      <c r="AB54" s="4"/>
      <c r="AC54" s="4"/>
    </row>
    <row r="55" s="1" customFormat="1" spans="2:29">
      <c r="G55" s="2"/>
      <c r="Q55" s="2"/>
      <c r="U55" s="2"/>
      <c r="V55" s="3"/>
      <c r="AB55" s="4"/>
      <c r="AC55" s="4"/>
    </row>
    <row r="56" s="1" customFormat="1" spans="2:29">
      <c r="B56" s="4"/>
      <c r="C56" s="4"/>
      <c r="D56" s="4"/>
      <c r="F56" s="4"/>
      <c r="G56" s="2"/>
      <c r="Q56" s="2"/>
      <c r="U56" s="2"/>
      <c r="V56" s="3"/>
      <c r="AB56" s="4"/>
      <c r="AC56" s="4"/>
    </row>
    <row r="57" s="1" customFormat="1" spans="2:29">
      <c r="B57" s="4"/>
      <c r="C57" s="4"/>
      <c r="D57" s="4"/>
      <c r="G57" s="2"/>
      <c r="Q57" s="2"/>
      <c r="U57" s="2"/>
      <c r="V57" s="3"/>
      <c r="AB57" s="4"/>
      <c r="AC57" s="4"/>
    </row>
    <row r="59" s="1" customFormat="1" spans="2:29">
      <c r="B59" s="4"/>
      <c r="C59" s="4"/>
      <c r="D59" s="4"/>
      <c r="G59" s="2"/>
      <c r="Q59" s="2"/>
      <c r="U59" s="2"/>
      <c r="V59" s="3"/>
      <c r="AB59" s="4"/>
      <c r="AC59" s="4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5:M25"/>
    <mergeCell ref="B26:C26"/>
    <mergeCell ref="D26:E26"/>
    <mergeCell ref="F26:G26"/>
    <mergeCell ref="H26:I26"/>
    <mergeCell ref="J26:K26"/>
    <mergeCell ref="L26:M26"/>
  </mergeCells>
  <conditionalFormatting sqref="J45:J52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{4d5dec46-2fe4-459f-a7a5-a1e825bf60f9}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5dec46-2fe4-459f-a7a5-a1e825bf60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J45:J52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9"/>
  <sheetViews>
    <sheetView topLeftCell="B19" workbookViewId="0">
      <selection activeCell="H42" sqref="H42:I43"/>
    </sheetView>
  </sheetViews>
  <sheetFormatPr defaultColWidth="9.69090909090909" defaultRowHeight="14"/>
  <cols>
    <col min="1" max="1" width="7.54545454545455" style="1" customWidth="1"/>
    <col min="2" max="2" width="15" style="1" customWidth="1"/>
    <col min="3" max="3" width="15.3636363636364" style="1" customWidth="1"/>
    <col min="4" max="4" width="13.9090909090909" style="1" customWidth="1"/>
    <col min="5" max="5" width="9.54545454545454" style="1" customWidth="1"/>
    <col min="6" max="6" width="13.9090909090909" style="1" customWidth="1"/>
    <col min="7" max="7" width="8.45454545454546" style="2" customWidth="1"/>
    <col min="8" max="8" width="13.9090909090909" style="1" customWidth="1"/>
    <col min="9" max="9" width="8.45454545454546" style="1" customWidth="1"/>
    <col min="10" max="10" width="11.6363636363636" style="1" customWidth="1"/>
    <col min="11" max="11" width="4.72727272727273" style="1" customWidth="1"/>
    <col min="12" max="12" width="9.54545454545454" style="1" customWidth="1"/>
    <col min="13" max="13" width="7.36363636363636" style="1" customWidth="1"/>
    <col min="14" max="14" width="5.54545454545455" style="1" customWidth="1"/>
    <col min="15" max="15" width="6.09090909090909" style="1" customWidth="1"/>
    <col min="16" max="16" width="17.2727272727273" style="1" customWidth="1"/>
    <col min="17" max="17" width="9.54545454545454" style="2" customWidth="1"/>
    <col min="18" max="18" width="6.09090909090909" style="1" customWidth="1"/>
    <col min="19" max="19" width="10.4545454545455" style="1" customWidth="1"/>
    <col min="20" max="20" width="8.45454545454546" style="1" customWidth="1"/>
    <col min="21" max="21" width="8.45454545454546" style="2" customWidth="1"/>
    <col min="22" max="22" width="8.27272727272727" style="3" customWidth="1"/>
    <col min="23" max="25" width="8.27272727272727" style="1" customWidth="1"/>
    <col min="26" max="26" width="10.4545454545455" style="1" customWidth="1"/>
    <col min="27" max="27" width="8.27272727272727" style="1" customWidth="1"/>
    <col min="28" max="28" width="10.4545454545455" style="4" customWidth="1"/>
    <col min="29" max="29" width="9.45454545454546" style="4" customWidth="1"/>
    <col min="30" max="31" width="5.90909090909091" style="1" customWidth="1"/>
    <col min="32" max="32" width="9.54545454545454" style="1" customWidth="1"/>
    <col min="33" max="33" width="5.90909090909091" style="1" customWidth="1"/>
    <col min="34" max="34" width="8" style="1" customWidth="1"/>
    <col min="35" max="35" width="9.54545454545454" style="1" customWidth="1"/>
    <col min="36" max="16384" width="9.69090909090909" style="1"/>
  </cols>
  <sheetData>
    <row r="1" s="1" customFormat="1" ht="14.75" spans="2:35">
      <c r="B1" s="5" t="s">
        <v>0</v>
      </c>
      <c r="C1" s="5" t="s">
        <v>83</v>
      </c>
      <c r="D1" s="6" t="s">
        <v>2</v>
      </c>
      <c r="E1" s="6">
        <v>2</v>
      </c>
      <c r="Q1" s="2"/>
      <c r="U1" s="2"/>
      <c r="V1" s="3"/>
      <c r="AB1" s="4"/>
      <c r="AC1" s="4"/>
    </row>
    <row r="2" s="1" customFormat="1" ht="15" spans="2:35">
      <c r="B2" s="7" t="s">
        <v>84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4</v>
      </c>
      <c r="P2" s="11" t="s">
        <v>5</v>
      </c>
      <c r="Q2" s="12" t="s">
        <v>6</v>
      </c>
      <c r="R2" s="11" t="s">
        <v>7</v>
      </c>
      <c r="S2" s="11" t="s">
        <v>8</v>
      </c>
      <c r="T2" s="13" t="s">
        <v>9</v>
      </c>
      <c r="U2" s="12" t="s">
        <v>10</v>
      </c>
      <c r="V2" s="14" t="s">
        <v>11</v>
      </c>
      <c r="W2" s="11" t="s">
        <v>12</v>
      </c>
      <c r="X2" s="11" t="s">
        <v>13</v>
      </c>
      <c r="Y2" s="11" t="s">
        <v>14</v>
      </c>
      <c r="Z2" s="11" t="s">
        <v>15</v>
      </c>
      <c r="AA2" s="11" t="s">
        <v>16</v>
      </c>
      <c r="AB2" s="15" t="s">
        <v>17</v>
      </c>
      <c r="AC2" s="16" t="s">
        <v>18</v>
      </c>
      <c r="AD2" s="17" t="s">
        <v>85</v>
      </c>
      <c r="AE2" s="17" t="s">
        <v>86</v>
      </c>
      <c r="AF2" s="18" t="s">
        <v>21</v>
      </c>
      <c r="AG2" s="18" t="s">
        <v>22</v>
      </c>
      <c r="AH2" s="19" t="s">
        <v>13</v>
      </c>
      <c r="AI2" s="19" t="s">
        <v>23</v>
      </c>
    </row>
    <row r="3" s="1" customFormat="1" ht="15" spans="2:35">
      <c r="B3" s="20" t="s">
        <v>24</v>
      </c>
      <c r="C3" s="21"/>
      <c r="D3" s="20" t="s">
        <v>10</v>
      </c>
      <c r="E3" s="21"/>
      <c r="F3" s="20" t="s">
        <v>25</v>
      </c>
      <c r="G3" s="21"/>
      <c r="H3" s="20" t="s">
        <v>26</v>
      </c>
      <c r="I3" s="21"/>
      <c r="J3" s="20" t="s">
        <v>12</v>
      </c>
      <c r="K3" s="21"/>
      <c r="L3" s="20" t="s">
        <v>27</v>
      </c>
      <c r="M3" s="21"/>
      <c r="O3" s="22">
        <v>1</v>
      </c>
      <c r="P3" s="23" t="s">
        <v>87</v>
      </c>
      <c r="Q3" s="24">
        <v>5.9643</v>
      </c>
      <c r="R3" s="25" t="s">
        <v>83</v>
      </c>
      <c r="S3" s="26">
        <f t="shared" ref="S3:S18" si="0">$C$4*(1+C$5+C$6+C$7+C$8)+C$9</f>
        <v>2764.592</v>
      </c>
      <c r="T3" s="27">
        <f t="shared" ref="T3:T27" si="1">S3/$C$4-1</f>
        <v>1.699796875</v>
      </c>
      <c r="U3" s="27">
        <f t="shared" ref="U3:U7" si="2">IF(R3=$C$1,SUM($E$4:$E$9),SUM($E$4:$E$8))</f>
        <v>1.912</v>
      </c>
      <c r="V3" s="28">
        <f t="shared" ref="V3:V27" si="3">1+$G$10*($I$10-1+AD3*2.5%+AE3*1%)</f>
        <v>3.8362</v>
      </c>
      <c r="W3" s="29">
        <f t="shared" ref="W3:W7" si="4">IF(R3=$C$1,$K$4+$K$5,$K$4)</f>
        <v>0.7</v>
      </c>
      <c r="X3" s="28">
        <f t="shared" ref="X3:X27" si="5">$AH$4</f>
        <v>0.509274150316286</v>
      </c>
      <c r="Y3" s="25">
        <f t="shared" ref="Y3:Y30" si="6">$AH$11</f>
        <v>0.8</v>
      </c>
      <c r="Z3" s="30">
        <v>0</v>
      </c>
      <c r="AA3" s="30">
        <v>0</v>
      </c>
      <c r="AB3" s="31">
        <v>0</v>
      </c>
      <c r="AC3" s="23">
        <f t="shared" ref="AC3:AC27" si="7">Q3*$C$4*(1+T3)*(1+U3)*V3*(1+W3)*X3*Y3*(1+Z3)*(1+AA3)*(1+AB3)*O3</f>
        <v>127577.380253276</v>
      </c>
      <c r="AD3" s="32">
        <v>24</v>
      </c>
      <c r="AE3" s="32">
        <v>23</v>
      </c>
      <c r="AF3" s="18">
        <v>0</v>
      </c>
      <c r="AG3" s="18">
        <v>0</v>
      </c>
      <c r="AH3" s="19">
        <f t="shared" ref="AH3:AH8" si="8">1520/(1520+(792+8*AI3)*(1-AG3/100))</f>
        <v>0.488431876606684</v>
      </c>
      <c r="AI3" s="33">
        <v>100</v>
      </c>
    </row>
    <row r="4" s="1" customFormat="1" ht="15" spans="2:35">
      <c r="B4" s="34" t="s">
        <v>28</v>
      </c>
      <c r="C4" s="35">
        <f>437+587</f>
        <v>1024</v>
      </c>
      <c r="D4" s="34" t="s">
        <v>29</v>
      </c>
      <c r="E4" s="36">
        <f>E1*30%</f>
        <v>0.6</v>
      </c>
      <c r="F4" s="34" t="s">
        <v>30</v>
      </c>
      <c r="G4" s="37">
        <v>0.13</v>
      </c>
      <c r="H4" s="34" t="s">
        <v>30</v>
      </c>
      <c r="I4" s="37">
        <v>1.5</v>
      </c>
      <c r="J4" s="38" t="s">
        <v>31</v>
      </c>
      <c r="K4" s="39">
        <f>25%+20%</f>
        <v>0.45</v>
      </c>
      <c r="L4" s="34" t="s">
        <v>32</v>
      </c>
      <c r="M4" s="37">
        <f>8.6%*3</f>
        <v>0.258</v>
      </c>
      <c r="O4" s="40">
        <v>1</v>
      </c>
      <c r="P4" s="23" t="s">
        <v>88</v>
      </c>
      <c r="Q4" s="41">
        <f>39.23%+26.15%*2</f>
        <v>0.9153</v>
      </c>
      <c r="R4" s="42" t="s">
        <v>1</v>
      </c>
      <c r="S4" s="43">
        <f t="shared" si="0"/>
        <v>2764.592</v>
      </c>
      <c r="T4" s="44">
        <f t="shared" si="1"/>
        <v>1.699796875</v>
      </c>
      <c r="U4" s="44">
        <f t="shared" si="2"/>
        <v>1.42</v>
      </c>
      <c r="V4" s="28">
        <f t="shared" si="3"/>
        <v>3.8362</v>
      </c>
      <c r="W4" s="45">
        <f t="shared" si="4"/>
        <v>0.45</v>
      </c>
      <c r="X4" s="46">
        <f t="shared" si="5"/>
        <v>0.509274150316286</v>
      </c>
      <c r="Y4" s="42">
        <f t="shared" si="6"/>
        <v>0.8</v>
      </c>
      <c r="Z4" s="47">
        <v>0</v>
      </c>
      <c r="AA4" s="47">
        <v>0</v>
      </c>
      <c r="AB4" s="48">
        <v>0</v>
      </c>
      <c r="AC4" s="23">
        <f t="shared" si="7"/>
        <v>13877.8036435304</v>
      </c>
      <c r="AD4" s="32">
        <v>24</v>
      </c>
      <c r="AE4" s="32">
        <v>23</v>
      </c>
      <c r="AF4" s="18">
        <v>8</v>
      </c>
      <c r="AG4" s="18">
        <v>0</v>
      </c>
      <c r="AH4" s="19">
        <f>1520/(1520+(792+8*AI4)*(1-AG4/100)*(1-AF4/100))</f>
        <v>0.509274150316286</v>
      </c>
      <c r="AI4" s="33">
        <v>100</v>
      </c>
    </row>
    <row r="5" s="1" customFormat="1" ht="15" spans="2:35">
      <c r="B5" s="34" t="s">
        <v>33</v>
      </c>
      <c r="C5" s="37">
        <f>12%+12%</f>
        <v>0.24</v>
      </c>
      <c r="D5" s="34" t="s">
        <v>34</v>
      </c>
      <c r="E5" s="36">
        <f>12%+10%</f>
        <v>0.22</v>
      </c>
      <c r="F5" s="34" t="s">
        <v>35</v>
      </c>
      <c r="G5" s="37">
        <v>0.243</v>
      </c>
      <c r="H5" s="34" t="s">
        <v>35</v>
      </c>
      <c r="I5" s="37">
        <v>0</v>
      </c>
      <c r="J5" s="49" t="s">
        <v>89</v>
      </c>
      <c r="K5" s="36">
        <v>0.25</v>
      </c>
      <c r="L5" s="34" t="s">
        <v>37</v>
      </c>
      <c r="M5" s="37">
        <f>8.6%*2</f>
        <v>0.172</v>
      </c>
      <c r="O5" s="40">
        <v>1</v>
      </c>
      <c r="P5" s="23" t="s">
        <v>168</v>
      </c>
      <c r="Q5" s="41">
        <v>2.1642</v>
      </c>
      <c r="R5" s="42" t="s">
        <v>96</v>
      </c>
      <c r="S5" s="43">
        <f t="shared" si="0"/>
        <v>2764.592</v>
      </c>
      <c r="T5" s="44">
        <f t="shared" si="1"/>
        <v>1.699796875</v>
      </c>
      <c r="U5" s="44">
        <f>IF(R5=$C$1,SUM($E$4:$E$9),SUM($E$4:$E$8))+$E$10</f>
        <v>1.97</v>
      </c>
      <c r="V5" s="28">
        <f t="shared" si="3"/>
        <v>3.91444</v>
      </c>
      <c r="W5" s="45">
        <f>IF(R5=$C$1,$K$4+$K$5,$K$4)+$K$6</f>
        <v>1.57</v>
      </c>
      <c r="X5" s="46">
        <f t="shared" si="5"/>
        <v>0.509274150316286</v>
      </c>
      <c r="Y5" s="42">
        <f t="shared" si="6"/>
        <v>0.8</v>
      </c>
      <c r="Z5" s="47">
        <v>0</v>
      </c>
      <c r="AA5" s="47">
        <v>0</v>
      </c>
      <c r="AB5" s="48">
        <v>0</v>
      </c>
      <c r="AC5" s="23">
        <f t="shared" si="7"/>
        <v>72833.1800873271</v>
      </c>
      <c r="AD5" s="32">
        <v>24</v>
      </c>
      <c r="AE5" s="32">
        <v>31</v>
      </c>
      <c r="AF5" s="18">
        <v>0</v>
      </c>
      <c r="AG5" s="18">
        <v>30</v>
      </c>
      <c r="AH5" s="19">
        <f t="shared" si="8"/>
        <v>0.57698147585788</v>
      </c>
      <c r="AI5" s="33">
        <v>100</v>
      </c>
    </row>
    <row r="6" s="1" customFormat="1" ht="15" spans="2:35">
      <c r="B6" s="34" t="s">
        <v>39</v>
      </c>
      <c r="C6" s="37">
        <f>18%+18%+M4+(2-E1)*30%</f>
        <v>0.618</v>
      </c>
      <c r="D6" s="34" t="s">
        <v>40</v>
      </c>
      <c r="E6" s="36"/>
      <c r="F6" s="34" t="s">
        <v>41</v>
      </c>
      <c r="G6" s="37">
        <v>0.2</v>
      </c>
      <c r="H6" s="34" t="s">
        <v>41</v>
      </c>
      <c r="I6" s="37">
        <v>0</v>
      </c>
      <c r="J6" s="49" t="s">
        <v>91</v>
      </c>
      <c r="K6" s="36">
        <f>32%+80%</f>
        <v>1.12</v>
      </c>
      <c r="L6" s="34" t="s">
        <v>25</v>
      </c>
      <c r="M6" s="37">
        <f>8.1*5%</f>
        <v>0.405</v>
      </c>
      <c r="O6" s="40">
        <v>1</v>
      </c>
      <c r="P6" s="23" t="s">
        <v>90</v>
      </c>
      <c r="Q6" s="41">
        <f>37.88%*4+117.88%*3</f>
        <v>5.0516</v>
      </c>
      <c r="R6" s="42" t="s">
        <v>83</v>
      </c>
      <c r="S6" s="43">
        <f t="shared" si="0"/>
        <v>2764.592</v>
      </c>
      <c r="T6" s="44">
        <f t="shared" si="1"/>
        <v>1.699796875</v>
      </c>
      <c r="U6" s="44">
        <f t="shared" si="2"/>
        <v>1.912</v>
      </c>
      <c r="V6" s="28">
        <f t="shared" si="3"/>
        <v>3.91444</v>
      </c>
      <c r="W6" s="45">
        <f t="shared" si="4"/>
        <v>0.7</v>
      </c>
      <c r="X6" s="46">
        <f t="shared" si="5"/>
        <v>0.509274150316286</v>
      </c>
      <c r="Y6" s="42">
        <f t="shared" si="6"/>
        <v>0.8</v>
      </c>
      <c r="Z6" s="47">
        <v>0.8</v>
      </c>
      <c r="AA6" s="47">
        <v>0</v>
      </c>
      <c r="AB6" s="48">
        <v>0</v>
      </c>
      <c r="AC6" s="23">
        <f t="shared" si="7"/>
        <v>198465.059708232</v>
      </c>
      <c r="AD6" s="32">
        <v>24</v>
      </c>
      <c r="AE6" s="32">
        <v>31</v>
      </c>
      <c r="AF6" s="18">
        <v>0</v>
      </c>
      <c r="AG6" s="18">
        <v>21.6</v>
      </c>
      <c r="AH6" s="19">
        <f t="shared" si="8"/>
        <v>0.549107555719967</v>
      </c>
      <c r="AI6" s="33">
        <v>100</v>
      </c>
    </row>
    <row r="7" s="1" customFormat="1" ht="15" spans="2:35">
      <c r="B7" s="34" t="s">
        <v>43</v>
      </c>
      <c r="C7" s="37"/>
      <c r="D7" s="34" t="s">
        <v>44</v>
      </c>
      <c r="E7" s="36">
        <f>40%</f>
        <v>0.4</v>
      </c>
      <c r="F7" s="34" t="s">
        <v>39</v>
      </c>
      <c r="G7" s="37">
        <f>M6</f>
        <v>0.405</v>
      </c>
      <c r="H7" s="34" t="s">
        <v>39</v>
      </c>
      <c r="I7" s="37">
        <f>M7+44%</f>
        <v>1.25</v>
      </c>
      <c r="J7" s="49"/>
      <c r="K7" s="36"/>
      <c r="L7" s="34" t="s">
        <v>45</v>
      </c>
      <c r="M7" s="36">
        <f>16.2%*5</f>
        <v>0.81</v>
      </c>
      <c r="O7" s="40">
        <v>1</v>
      </c>
      <c r="P7" s="23" t="s">
        <v>83</v>
      </c>
      <c r="Q7" s="41">
        <f>105.97%*2</f>
        <v>2.1194</v>
      </c>
      <c r="R7" s="42" t="s">
        <v>83</v>
      </c>
      <c r="S7" s="43">
        <f t="shared" si="0"/>
        <v>2764.592</v>
      </c>
      <c r="T7" s="44">
        <f t="shared" si="1"/>
        <v>1.699796875</v>
      </c>
      <c r="U7" s="44">
        <f t="shared" si="2"/>
        <v>1.912</v>
      </c>
      <c r="V7" s="28">
        <f t="shared" si="3"/>
        <v>3.91444</v>
      </c>
      <c r="W7" s="45">
        <f t="shared" si="4"/>
        <v>0.7</v>
      </c>
      <c r="X7" s="46">
        <f t="shared" si="5"/>
        <v>0.509274150316286</v>
      </c>
      <c r="Y7" s="42">
        <f t="shared" si="6"/>
        <v>0.8</v>
      </c>
      <c r="Z7" s="47">
        <v>0</v>
      </c>
      <c r="AA7" s="47">
        <v>0</v>
      </c>
      <c r="AB7" s="48">
        <v>0</v>
      </c>
      <c r="AC7" s="23">
        <f t="shared" si="7"/>
        <v>46258.9242952316</v>
      </c>
      <c r="AD7" s="32">
        <v>24</v>
      </c>
      <c r="AE7" s="32">
        <v>31</v>
      </c>
      <c r="AF7" s="18">
        <v>0</v>
      </c>
      <c r="AG7" s="18">
        <v>28.8</v>
      </c>
      <c r="AH7" s="19">
        <f t="shared" si="8"/>
        <v>0.572827476423627</v>
      </c>
      <c r="AI7" s="33">
        <v>100</v>
      </c>
    </row>
    <row r="8" s="1" customFormat="1" ht="15" spans="2:35">
      <c r="B8" s="34" t="s">
        <v>46</v>
      </c>
      <c r="C8" s="37">
        <f>25%+25%</f>
        <v>0.5</v>
      </c>
      <c r="D8" s="34" t="s">
        <v>47</v>
      </c>
      <c r="E8" s="50">
        <v>0.2</v>
      </c>
      <c r="F8" s="34" t="s">
        <v>48</v>
      </c>
      <c r="G8" s="37">
        <v>0</v>
      </c>
      <c r="H8" s="34" t="s">
        <v>48</v>
      </c>
      <c r="I8" s="37">
        <v>0</v>
      </c>
      <c r="J8" s="49"/>
      <c r="K8" s="36"/>
      <c r="L8" s="34"/>
      <c r="M8" s="35"/>
      <c r="O8" s="40">
        <v>1</v>
      </c>
      <c r="P8" s="23" t="s">
        <v>168</v>
      </c>
      <c r="Q8" s="41">
        <v>2.1642</v>
      </c>
      <c r="R8" s="42" t="s">
        <v>96</v>
      </c>
      <c r="S8" s="43">
        <f t="shared" si="0"/>
        <v>2764.592</v>
      </c>
      <c r="T8" s="44">
        <f t="shared" si="1"/>
        <v>1.699796875</v>
      </c>
      <c r="U8" s="44">
        <f>IF(R8=$C$1,SUM($E$4:$E$9),SUM($E$4:$E$8))+$E$10</f>
        <v>1.97</v>
      </c>
      <c r="V8" s="28">
        <f t="shared" si="3"/>
        <v>3.99268</v>
      </c>
      <c r="W8" s="45">
        <f>IF(R8=$C$1,$K$4+$K$5,$K$4)+$K$6</f>
        <v>1.57</v>
      </c>
      <c r="X8" s="46">
        <f t="shared" si="5"/>
        <v>0.509274150316286</v>
      </c>
      <c r="Y8" s="42">
        <f t="shared" si="6"/>
        <v>0.8</v>
      </c>
      <c r="Z8" s="47">
        <v>0</v>
      </c>
      <c r="AA8" s="47">
        <v>0</v>
      </c>
      <c r="AB8" s="48">
        <v>0</v>
      </c>
      <c r="AC8" s="23">
        <f t="shared" si="7"/>
        <v>74288.9357024425</v>
      </c>
      <c r="AD8" s="32">
        <v>24</v>
      </c>
      <c r="AE8" s="32">
        <v>39</v>
      </c>
      <c r="AF8" s="18">
        <v>0</v>
      </c>
      <c r="AG8" s="18">
        <v>36</v>
      </c>
      <c r="AH8" s="19">
        <f t="shared" si="8"/>
        <v>0.598689185782707</v>
      </c>
      <c r="AI8" s="33">
        <v>100</v>
      </c>
    </row>
    <row r="9" s="1" customFormat="1" ht="15" spans="2:35">
      <c r="B9" s="34" t="s">
        <v>49</v>
      </c>
      <c r="C9" s="35">
        <v>350</v>
      </c>
      <c r="D9" s="34" t="s">
        <v>93</v>
      </c>
      <c r="E9" s="36">
        <f>32%+M5</f>
        <v>0.492</v>
      </c>
      <c r="F9" s="34" t="s">
        <v>51</v>
      </c>
      <c r="G9" s="37"/>
      <c r="H9" s="34" t="s">
        <v>51</v>
      </c>
      <c r="I9" s="37">
        <v>0.32</v>
      </c>
      <c r="J9" s="49"/>
      <c r="K9" s="36"/>
      <c r="L9" s="34"/>
      <c r="M9" s="35"/>
      <c r="O9" s="40">
        <v>1</v>
      </c>
      <c r="P9" s="23" t="s">
        <v>90</v>
      </c>
      <c r="Q9" s="41">
        <f>37.88%*4+117.88%*3</f>
        <v>5.0516</v>
      </c>
      <c r="R9" s="42" t="s">
        <v>83</v>
      </c>
      <c r="S9" s="43">
        <f t="shared" si="0"/>
        <v>2764.592</v>
      </c>
      <c r="T9" s="44">
        <f t="shared" si="1"/>
        <v>1.699796875</v>
      </c>
      <c r="U9" s="44">
        <f t="shared" ref="U9:U13" si="9">IF(R9=$C$1,SUM($E$4:$E$9),SUM($E$4:$E$8))</f>
        <v>1.912</v>
      </c>
      <c r="V9" s="28">
        <f t="shared" si="3"/>
        <v>3.99268</v>
      </c>
      <c r="W9" s="45">
        <f t="shared" ref="W9:W13" si="10">IF(R9=$C$1,$K$4+$K$5,$K$4)</f>
        <v>0.7</v>
      </c>
      <c r="X9" s="46">
        <f t="shared" si="5"/>
        <v>0.509274150316286</v>
      </c>
      <c r="Y9" s="42">
        <f t="shared" si="6"/>
        <v>0.8</v>
      </c>
      <c r="Z9" s="47">
        <v>0.8</v>
      </c>
      <c r="AA9" s="47">
        <v>0</v>
      </c>
      <c r="AB9" s="48">
        <v>0</v>
      </c>
      <c r="AC9" s="23">
        <f t="shared" si="7"/>
        <v>202431.886705598</v>
      </c>
      <c r="AD9" s="32">
        <v>24</v>
      </c>
      <c r="AE9" s="32">
        <v>39</v>
      </c>
    </row>
    <row r="10" s="1" customFormat="1" ht="15" spans="2:35">
      <c r="B10" s="51" t="s">
        <v>52</v>
      </c>
      <c r="C10" s="52"/>
      <c r="D10" s="51" t="s">
        <v>94</v>
      </c>
      <c r="E10" s="53">
        <f>20%+35%</f>
        <v>0.55</v>
      </c>
      <c r="F10" s="54" t="s">
        <v>53</v>
      </c>
      <c r="G10" s="55">
        <f>MIN(100%,SUM(G4:G9))</f>
        <v>0.978</v>
      </c>
      <c r="H10" s="54" t="s">
        <v>54</v>
      </c>
      <c r="I10" s="55">
        <f>SUM(I4:I9)</f>
        <v>3.07</v>
      </c>
      <c r="J10" s="56"/>
      <c r="K10" s="53"/>
      <c r="L10" s="51"/>
      <c r="M10" s="52"/>
      <c r="O10" s="40">
        <v>1</v>
      </c>
      <c r="P10" s="23" t="s">
        <v>92</v>
      </c>
      <c r="Q10" s="41">
        <f>53.45%*2+95.43%+39.23%+26.15%*2</f>
        <v>2.9386</v>
      </c>
      <c r="R10" s="42" t="s">
        <v>1</v>
      </c>
      <c r="S10" s="43">
        <f t="shared" si="0"/>
        <v>2764.592</v>
      </c>
      <c r="T10" s="44">
        <f t="shared" si="1"/>
        <v>1.699796875</v>
      </c>
      <c r="U10" s="44">
        <f t="shared" si="9"/>
        <v>1.42</v>
      </c>
      <c r="V10" s="28">
        <f t="shared" si="3"/>
        <v>3.99268</v>
      </c>
      <c r="W10" s="45">
        <f t="shared" si="10"/>
        <v>0.45</v>
      </c>
      <c r="X10" s="46">
        <f t="shared" si="5"/>
        <v>0.509274150316286</v>
      </c>
      <c r="Y10" s="42">
        <f t="shared" si="6"/>
        <v>0.8</v>
      </c>
      <c r="Z10" s="47">
        <v>0</v>
      </c>
      <c r="AA10" s="47">
        <v>0</v>
      </c>
      <c r="AB10" s="48">
        <v>0</v>
      </c>
      <c r="AC10" s="23">
        <f t="shared" si="7"/>
        <v>46372.5537861049</v>
      </c>
      <c r="AD10" s="32">
        <v>24</v>
      </c>
      <c r="AE10" s="32">
        <v>39</v>
      </c>
    </row>
    <row r="11" s="1" customFormat="1" ht="15" spans="2:35">
      <c r="B11" s="57"/>
      <c r="C11" s="57"/>
      <c r="E11" s="58"/>
      <c r="F11" s="20" t="s">
        <v>55</v>
      </c>
      <c r="G11" s="59">
        <f>MAX(0,SUM(G4:G9)-1)</f>
        <v>0</v>
      </c>
      <c r="J11" s="2"/>
      <c r="K11" s="2"/>
      <c r="O11" s="40">
        <v>1</v>
      </c>
      <c r="P11" s="23" t="s">
        <v>168</v>
      </c>
      <c r="Q11" s="41">
        <v>2.1642</v>
      </c>
      <c r="R11" s="42" t="s">
        <v>96</v>
      </c>
      <c r="S11" s="43">
        <f t="shared" si="0"/>
        <v>2764.592</v>
      </c>
      <c r="T11" s="44">
        <f t="shared" si="1"/>
        <v>1.699796875</v>
      </c>
      <c r="U11" s="44">
        <f t="shared" ref="U11:U15" si="11">IF(R11=$C$1,SUM($E$4:$E$9),SUM($E$4:$E$8))+$E$10</f>
        <v>1.97</v>
      </c>
      <c r="V11" s="28">
        <f t="shared" si="3"/>
        <v>4.07092</v>
      </c>
      <c r="W11" s="45">
        <f t="shared" ref="W11:W15" si="12">IF(R11=$C$1,$K$4+$K$5,$K$4)+$K$6</f>
        <v>1.57</v>
      </c>
      <c r="X11" s="46">
        <f t="shared" si="5"/>
        <v>0.509274150316286</v>
      </c>
      <c r="Y11" s="42">
        <f t="shared" si="6"/>
        <v>0.8</v>
      </c>
      <c r="Z11" s="47">
        <v>0</v>
      </c>
      <c r="AA11" s="47">
        <v>0</v>
      </c>
      <c r="AB11" s="48">
        <v>0</v>
      </c>
      <c r="AC11" s="23">
        <f t="shared" si="7"/>
        <v>75744.691317558</v>
      </c>
      <c r="AD11" s="32">
        <v>24</v>
      </c>
      <c r="AE11" s="32">
        <v>47</v>
      </c>
      <c r="AG11" s="60" t="s">
        <v>97</v>
      </c>
      <c r="AH11" s="60">
        <v>0.8</v>
      </c>
    </row>
    <row r="12" s="1" customFormat="1" ht="15" spans="2:35">
      <c r="B12" s="57"/>
      <c r="C12" s="57"/>
      <c r="E12" s="58"/>
      <c r="G12" s="61"/>
      <c r="J12" s="2"/>
      <c r="K12" s="2"/>
      <c r="O12" s="40">
        <v>1</v>
      </c>
      <c r="P12" s="23" t="s">
        <v>90</v>
      </c>
      <c r="Q12" s="41">
        <f>37.88%*4+117.88%*3</f>
        <v>5.0516</v>
      </c>
      <c r="R12" s="42" t="s">
        <v>83</v>
      </c>
      <c r="S12" s="43">
        <f t="shared" si="0"/>
        <v>2764.592</v>
      </c>
      <c r="T12" s="44">
        <f t="shared" si="1"/>
        <v>1.699796875</v>
      </c>
      <c r="U12" s="44">
        <f t="shared" si="9"/>
        <v>1.912</v>
      </c>
      <c r="V12" s="28">
        <f t="shared" si="3"/>
        <v>4.07092</v>
      </c>
      <c r="W12" s="45">
        <f t="shared" si="10"/>
        <v>0.7</v>
      </c>
      <c r="X12" s="46">
        <f t="shared" si="5"/>
        <v>0.509274150316286</v>
      </c>
      <c r="Y12" s="42">
        <f t="shared" si="6"/>
        <v>0.8</v>
      </c>
      <c r="Z12" s="47">
        <v>0.8</v>
      </c>
      <c r="AA12" s="47">
        <v>0</v>
      </c>
      <c r="AB12" s="48">
        <v>0</v>
      </c>
      <c r="AC12" s="23">
        <f t="shared" si="7"/>
        <v>206398.713702965</v>
      </c>
      <c r="AD12" s="32">
        <v>24</v>
      </c>
      <c r="AE12" s="32">
        <v>47</v>
      </c>
      <c r="AG12" s="62" t="s">
        <v>98</v>
      </c>
      <c r="AH12" s="62">
        <v>0.8</v>
      </c>
    </row>
    <row r="13" s="1" customFormat="1" ht="15" spans="2:35">
      <c r="B13" s="5" t="s">
        <v>0</v>
      </c>
      <c r="C13" s="5" t="s">
        <v>1</v>
      </c>
      <c r="D13" s="6" t="s">
        <v>2</v>
      </c>
      <c r="E13" s="6">
        <v>2</v>
      </c>
      <c r="O13" s="40">
        <v>1</v>
      </c>
      <c r="P13" s="23" t="s">
        <v>92</v>
      </c>
      <c r="Q13" s="41">
        <f>53.45%*2+95.43%+39.23%+26.15%*2</f>
        <v>2.9386</v>
      </c>
      <c r="R13" s="42" t="s">
        <v>1</v>
      </c>
      <c r="S13" s="43">
        <f t="shared" si="0"/>
        <v>2764.592</v>
      </c>
      <c r="T13" s="44">
        <f t="shared" si="1"/>
        <v>1.699796875</v>
      </c>
      <c r="U13" s="44">
        <f t="shared" si="9"/>
        <v>1.42</v>
      </c>
      <c r="V13" s="28">
        <f t="shared" si="3"/>
        <v>4.07092</v>
      </c>
      <c r="W13" s="45">
        <f t="shared" si="10"/>
        <v>0.45</v>
      </c>
      <c r="X13" s="46">
        <f t="shared" si="5"/>
        <v>0.509274150316286</v>
      </c>
      <c r="Y13" s="42">
        <f t="shared" si="6"/>
        <v>0.8</v>
      </c>
      <c r="Z13" s="47">
        <v>0</v>
      </c>
      <c r="AA13" s="47">
        <v>0</v>
      </c>
      <c r="AB13" s="48">
        <v>0</v>
      </c>
      <c r="AC13" s="23">
        <f t="shared" si="7"/>
        <v>47281.2638776286</v>
      </c>
      <c r="AD13" s="32">
        <v>24</v>
      </c>
      <c r="AE13" s="32">
        <v>47</v>
      </c>
      <c r="AG13" s="1" t="s">
        <v>63</v>
      </c>
      <c r="AH13" s="1">
        <v>0.8</v>
      </c>
    </row>
    <row r="14" s="1" customFormat="1" ht="15" spans="2:35">
      <c r="B14" s="63" t="s">
        <v>100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O14" s="40">
        <v>1</v>
      </c>
      <c r="P14" s="23" t="s">
        <v>95</v>
      </c>
      <c r="Q14" s="41">
        <f>152.39%*3</f>
        <v>4.5717</v>
      </c>
      <c r="R14" s="42" t="s">
        <v>96</v>
      </c>
      <c r="S14" s="43">
        <f t="shared" si="0"/>
        <v>2764.592</v>
      </c>
      <c r="T14" s="44">
        <f t="shared" si="1"/>
        <v>1.699796875</v>
      </c>
      <c r="U14" s="44">
        <f t="shared" si="11"/>
        <v>1.97</v>
      </c>
      <c r="V14" s="28">
        <f t="shared" si="3"/>
        <v>4.07092</v>
      </c>
      <c r="W14" s="45">
        <f t="shared" si="12"/>
        <v>1.57</v>
      </c>
      <c r="X14" s="46">
        <f t="shared" si="5"/>
        <v>0.509274150316286</v>
      </c>
      <c r="Y14" s="42">
        <f t="shared" si="6"/>
        <v>0.8</v>
      </c>
      <c r="Z14" s="47">
        <v>0</v>
      </c>
      <c r="AA14" s="47">
        <v>0</v>
      </c>
      <c r="AB14" s="48">
        <v>0</v>
      </c>
      <c r="AC14" s="23">
        <f t="shared" si="7"/>
        <v>160004.623092357</v>
      </c>
      <c r="AD14" s="32">
        <v>24</v>
      </c>
      <c r="AE14" s="32">
        <v>47</v>
      </c>
      <c r="AG14" s="64" t="s">
        <v>137</v>
      </c>
      <c r="AH14" s="64">
        <v>0.8</v>
      </c>
    </row>
    <row r="15" s="1" customFormat="1" ht="15" spans="2:35">
      <c r="B15" s="65" t="s">
        <v>24</v>
      </c>
      <c r="C15" s="65"/>
      <c r="D15" s="65" t="s">
        <v>10</v>
      </c>
      <c r="E15" s="65"/>
      <c r="F15" s="65" t="s">
        <v>25</v>
      </c>
      <c r="G15" s="65"/>
      <c r="H15" s="65" t="s">
        <v>26</v>
      </c>
      <c r="I15" s="65"/>
      <c r="J15" s="65" t="s">
        <v>12</v>
      </c>
      <c r="K15" s="65"/>
      <c r="L15" s="65" t="s">
        <v>27</v>
      </c>
      <c r="M15" s="65"/>
      <c r="O15" s="40">
        <v>1</v>
      </c>
      <c r="P15" s="23" t="s">
        <v>168</v>
      </c>
      <c r="Q15" s="41">
        <v>2.1642</v>
      </c>
      <c r="R15" s="42" t="s">
        <v>96</v>
      </c>
      <c r="S15" s="43">
        <f t="shared" si="0"/>
        <v>2764.592</v>
      </c>
      <c r="T15" s="44">
        <f t="shared" si="1"/>
        <v>1.699796875</v>
      </c>
      <c r="U15" s="44">
        <f t="shared" si="11"/>
        <v>1.97</v>
      </c>
      <c r="V15" s="28">
        <f t="shared" si="3"/>
        <v>4.14916</v>
      </c>
      <c r="W15" s="45">
        <f t="shared" si="12"/>
        <v>1.57</v>
      </c>
      <c r="X15" s="46">
        <f t="shared" si="5"/>
        <v>0.509274150316286</v>
      </c>
      <c r="Y15" s="42">
        <f t="shared" si="6"/>
        <v>0.8</v>
      </c>
      <c r="Z15" s="47">
        <v>0</v>
      </c>
      <c r="AA15" s="47">
        <v>0</v>
      </c>
      <c r="AB15" s="48">
        <v>0</v>
      </c>
      <c r="AC15" s="23">
        <f t="shared" si="7"/>
        <v>77200.4469326734</v>
      </c>
      <c r="AD15" s="32">
        <v>24</v>
      </c>
      <c r="AE15" s="32">
        <v>55</v>
      </c>
    </row>
    <row r="16" s="1" customFormat="1" ht="15" spans="2:35">
      <c r="B16" s="66" t="s">
        <v>28</v>
      </c>
      <c r="C16" s="67">
        <f>400+500</f>
        <v>900</v>
      </c>
      <c r="D16" s="66" t="s">
        <v>29</v>
      </c>
      <c r="E16" s="39">
        <f>E13*30%</f>
        <v>0.6</v>
      </c>
      <c r="F16" s="66" t="s">
        <v>30</v>
      </c>
      <c r="G16" s="68">
        <v>0.13</v>
      </c>
      <c r="H16" s="66" t="s">
        <v>30</v>
      </c>
      <c r="I16" s="68">
        <v>1.5</v>
      </c>
      <c r="J16" s="38" t="s">
        <v>31</v>
      </c>
      <c r="K16" s="39">
        <v>0.25</v>
      </c>
      <c r="L16" s="66" t="s">
        <v>32</v>
      </c>
      <c r="M16" s="68">
        <v>0.086</v>
      </c>
      <c r="O16" s="40">
        <v>1</v>
      </c>
      <c r="P16" s="23" t="s">
        <v>90</v>
      </c>
      <c r="Q16" s="41">
        <f>37.88%*4+117.88%*3</f>
        <v>5.0516</v>
      </c>
      <c r="R16" s="42" t="s">
        <v>83</v>
      </c>
      <c r="S16" s="43">
        <f t="shared" si="0"/>
        <v>2764.592</v>
      </c>
      <c r="T16" s="44">
        <f t="shared" si="1"/>
        <v>1.699796875</v>
      </c>
      <c r="U16" s="44">
        <f t="shared" ref="U16:U18" si="13">IF(R16=$C$1,SUM($E$4:$E$9),SUM($E$4:$E$8))</f>
        <v>1.912</v>
      </c>
      <c r="V16" s="28">
        <f t="shared" si="3"/>
        <v>4.14916</v>
      </c>
      <c r="W16" s="45">
        <f t="shared" ref="W16:W18" si="14">IF(R16=$C$1,$K$4+$K$5,$K$4)</f>
        <v>0.7</v>
      </c>
      <c r="X16" s="46">
        <f t="shared" si="5"/>
        <v>0.509274150316286</v>
      </c>
      <c r="Y16" s="42">
        <f t="shared" si="6"/>
        <v>0.8</v>
      </c>
      <c r="Z16" s="47">
        <v>0.8</v>
      </c>
      <c r="AA16" s="47">
        <v>0</v>
      </c>
      <c r="AB16" s="48">
        <v>0</v>
      </c>
      <c r="AC16" s="23">
        <f t="shared" si="7"/>
        <v>210365.540700332</v>
      </c>
      <c r="AD16" s="32">
        <v>24</v>
      </c>
      <c r="AE16" s="32">
        <v>55</v>
      </c>
    </row>
    <row r="17" s="1" customFormat="1" ht="15" spans="1:31">
      <c r="B17" s="34" t="s">
        <v>33</v>
      </c>
      <c r="C17" s="36">
        <f>12%+53.9%</f>
        <v>0.659</v>
      </c>
      <c r="D17" s="34" t="s">
        <v>34</v>
      </c>
      <c r="E17" s="36"/>
      <c r="F17" s="34" t="s">
        <v>35</v>
      </c>
      <c r="G17" s="37"/>
      <c r="H17" s="34" t="s">
        <v>35</v>
      </c>
      <c r="I17" s="37"/>
      <c r="J17" s="49" t="s">
        <v>36</v>
      </c>
      <c r="K17" s="36"/>
      <c r="L17" s="34" t="s">
        <v>104</v>
      </c>
      <c r="M17" s="37">
        <f>2*8.6%</f>
        <v>0.172</v>
      </c>
      <c r="O17" s="40">
        <v>1</v>
      </c>
      <c r="P17" s="23" t="s">
        <v>99</v>
      </c>
      <c r="Q17" s="41">
        <f>33.01%*2+12.38%*8+495.1%</f>
        <v>6.6016</v>
      </c>
      <c r="R17" s="42" t="s">
        <v>83</v>
      </c>
      <c r="S17" s="43">
        <f t="shared" si="0"/>
        <v>2764.592</v>
      </c>
      <c r="T17" s="44">
        <f t="shared" si="1"/>
        <v>1.699796875</v>
      </c>
      <c r="U17" s="44">
        <f t="shared" si="13"/>
        <v>1.912</v>
      </c>
      <c r="V17" s="28">
        <f t="shared" si="3"/>
        <v>4.28608</v>
      </c>
      <c r="W17" s="45">
        <f t="shared" si="14"/>
        <v>0.7</v>
      </c>
      <c r="X17" s="46">
        <f t="shared" si="5"/>
        <v>0.509274150316286</v>
      </c>
      <c r="Y17" s="42">
        <f t="shared" si="6"/>
        <v>0.8</v>
      </c>
      <c r="Z17" s="47">
        <v>0.75</v>
      </c>
      <c r="AA17" s="47">
        <v>0</v>
      </c>
      <c r="AB17" s="48">
        <v>0</v>
      </c>
      <c r="AC17" s="23">
        <f t="shared" si="7"/>
        <v>276096.23647726</v>
      </c>
      <c r="AD17" s="32">
        <v>24</v>
      </c>
      <c r="AE17" s="32">
        <v>69</v>
      </c>
    </row>
    <row r="18" s="1" customFormat="1" ht="15" spans="1:31">
      <c r="B18" s="34" t="s">
        <v>39</v>
      </c>
      <c r="C18" s="36">
        <f>18%+18%+M16+(2-E13)*30%</f>
        <v>0.446</v>
      </c>
      <c r="D18" s="34" t="s">
        <v>40</v>
      </c>
      <c r="E18" s="36">
        <v>0.12</v>
      </c>
      <c r="F18" s="34" t="s">
        <v>176</v>
      </c>
      <c r="G18" s="37">
        <v>0.22</v>
      </c>
      <c r="H18" s="34" t="s">
        <v>41</v>
      </c>
      <c r="I18" s="37">
        <v>0</v>
      </c>
      <c r="J18" s="49"/>
      <c r="K18" s="37"/>
      <c r="L18" s="34" t="s">
        <v>25</v>
      </c>
      <c r="M18" s="37">
        <f>8.1*5%</f>
        <v>0.405</v>
      </c>
      <c r="O18" s="40">
        <v>1</v>
      </c>
      <c r="P18" s="23" t="s">
        <v>101</v>
      </c>
      <c r="Q18" s="41">
        <f>82.55%*AD18</f>
        <v>19.812</v>
      </c>
      <c r="R18" s="42" t="s">
        <v>83</v>
      </c>
      <c r="S18" s="43">
        <f t="shared" si="0"/>
        <v>2764.592</v>
      </c>
      <c r="T18" s="44">
        <f t="shared" si="1"/>
        <v>1.699796875</v>
      </c>
      <c r="U18" s="44">
        <f t="shared" si="13"/>
        <v>1.912</v>
      </c>
      <c r="V18" s="28">
        <f t="shared" si="3"/>
        <v>4.28608</v>
      </c>
      <c r="W18" s="45">
        <f t="shared" si="14"/>
        <v>0.7</v>
      </c>
      <c r="X18" s="46">
        <f t="shared" si="5"/>
        <v>0.509274150316286</v>
      </c>
      <c r="Y18" s="42">
        <f t="shared" si="6"/>
        <v>0.8</v>
      </c>
      <c r="Z18" s="47">
        <v>0.75</v>
      </c>
      <c r="AA18" s="47">
        <v>0</v>
      </c>
      <c r="AB18" s="48">
        <v>0</v>
      </c>
      <c r="AC18" s="23">
        <f t="shared" si="7"/>
        <v>828589.83232663</v>
      </c>
      <c r="AD18" s="32">
        <v>24</v>
      </c>
      <c r="AE18" s="32">
        <v>69</v>
      </c>
    </row>
    <row r="19" s="1" customFormat="1" ht="15" spans="1:31">
      <c r="B19" s="34" t="s">
        <v>43</v>
      </c>
      <c r="C19" s="69"/>
      <c r="D19" s="34" t="s">
        <v>44</v>
      </c>
      <c r="E19" s="36">
        <v>0.4</v>
      </c>
      <c r="F19" s="34" t="s">
        <v>39</v>
      </c>
      <c r="G19" s="37">
        <f>M18</f>
        <v>0.405</v>
      </c>
      <c r="H19" s="34" t="s">
        <v>39</v>
      </c>
      <c r="I19" s="37">
        <f>M19</f>
        <v>0.81</v>
      </c>
      <c r="J19" s="49"/>
      <c r="K19" s="37"/>
      <c r="L19" s="34" t="s">
        <v>45</v>
      </c>
      <c r="M19" s="36">
        <f>16.2%*5</f>
        <v>0.81</v>
      </c>
      <c r="O19" s="40">
        <v>1</v>
      </c>
      <c r="P19" s="23" t="s">
        <v>102</v>
      </c>
      <c r="Q19" s="41">
        <f t="shared" ref="Q19:Q26" si="15">104.38%+243.55%</f>
        <v>3.4793</v>
      </c>
      <c r="R19" s="42" t="s">
        <v>96</v>
      </c>
      <c r="S19" s="43">
        <f t="shared" ref="S19:S27" si="16">$C$4*(1+C$5+C$6+C$7+C$8+120%)+C$9</f>
        <v>3993.392</v>
      </c>
      <c r="T19" s="44">
        <f t="shared" si="1"/>
        <v>2.899796875</v>
      </c>
      <c r="U19" s="44">
        <f t="shared" ref="U19:U27" si="17">IF(R19=$C$1,SUM($E$4:$E$9),SUM($E$4:$E$8))+$E$10</f>
        <v>1.97</v>
      </c>
      <c r="V19" s="28">
        <f t="shared" si="3"/>
        <v>4.28608</v>
      </c>
      <c r="W19" s="45">
        <f t="shared" ref="W19:W27" si="18">IF(R19=$C$1,$K$4+$K$5,$K$4)+$K$6-20%</f>
        <v>1.37</v>
      </c>
      <c r="X19" s="46">
        <f t="shared" si="5"/>
        <v>0.509274150316286</v>
      </c>
      <c r="Y19" s="42">
        <f t="shared" si="6"/>
        <v>0.8</v>
      </c>
      <c r="Z19" s="47">
        <v>0.24</v>
      </c>
      <c r="AA19" s="47">
        <v>0</v>
      </c>
      <c r="AB19" s="48">
        <v>0.4</v>
      </c>
      <c r="AC19" s="23">
        <f t="shared" si="7"/>
        <v>296476.468986001</v>
      </c>
      <c r="AD19" s="32">
        <v>24</v>
      </c>
      <c r="AE19" s="32">
        <v>69</v>
      </c>
    </row>
    <row r="20" s="1" customFormat="1" ht="15" spans="1:31">
      <c r="B20" s="34" t="s">
        <v>46</v>
      </c>
      <c r="C20" s="69">
        <f>25%+25%</f>
        <v>0.5</v>
      </c>
      <c r="D20" s="34" t="s">
        <v>47</v>
      </c>
      <c r="E20" s="50">
        <v>0.2</v>
      </c>
      <c r="F20" s="34" t="s">
        <v>48</v>
      </c>
      <c r="G20" s="37">
        <v>0</v>
      </c>
      <c r="H20" s="34" t="s">
        <v>48</v>
      </c>
      <c r="I20" s="37">
        <v>0</v>
      </c>
      <c r="J20" s="49"/>
      <c r="K20" s="37"/>
      <c r="L20" s="34"/>
      <c r="M20" s="35"/>
      <c r="O20" s="40">
        <v>1</v>
      </c>
      <c r="P20" s="23" t="s">
        <v>103</v>
      </c>
      <c r="Q20" s="41">
        <f t="shared" si="15"/>
        <v>3.4793</v>
      </c>
      <c r="R20" s="42" t="s">
        <v>96</v>
      </c>
      <c r="S20" s="43">
        <f t="shared" si="16"/>
        <v>3993.392</v>
      </c>
      <c r="T20" s="44">
        <f t="shared" si="1"/>
        <v>2.899796875</v>
      </c>
      <c r="U20" s="44">
        <f t="shared" si="17"/>
        <v>1.97</v>
      </c>
      <c r="V20" s="28">
        <f t="shared" si="3"/>
        <v>4.29586</v>
      </c>
      <c r="W20" s="45">
        <f t="shared" si="18"/>
        <v>1.37</v>
      </c>
      <c r="X20" s="46">
        <f t="shared" si="5"/>
        <v>0.509274150316286</v>
      </c>
      <c r="Y20" s="42">
        <f t="shared" si="6"/>
        <v>0.8</v>
      </c>
      <c r="Z20" s="47">
        <v>0.24</v>
      </c>
      <c r="AA20" s="47">
        <v>0</v>
      </c>
      <c r="AB20" s="48">
        <v>0.4</v>
      </c>
      <c r="AC20" s="23">
        <f t="shared" si="7"/>
        <v>297152.970560093</v>
      </c>
      <c r="AD20" s="32">
        <v>24</v>
      </c>
      <c r="AE20" s="32">
        <v>70</v>
      </c>
    </row>
    <row r="21" s="1" customFormat="1" ht="15" spans="1:31">
      <c r="B21" s="34" t="s">
        <v>49</v>
      </c>
      <c r="C21" s="35">
        <v>350</v>
      </c>
      <c r="D21" s="34" t="s">
        <v>107</v>
      </c>
      <c r="E21" s="36">
        <f>M17+16%</f>
        <v>0.332</v>
      </c>
      <c r="F21" s="34" t="s">
        <v>51</v>
      </c>
      <c r="G21" s="37"/>
      <c r="H21" s="34" t="s">
        <v>51</v>
      </c>
      <c r="I21" s="37">
        <v>0.32</v>
      </c>
      <c r="J21" s="49"/>
      <c r="K21" s="37"/>
      <c r="L21" s="34"/>
      <c r="M21" s="35"/>
      <c r="O21" s="40">
        <v>1</v>
      </c>
      <c r="P21" s="23" t="s">
        <v>103</v>
      </c>
      <c r="Q21" s="41">
        <f>99.16%+231.37%</f>
        <v>3.3053</v>
      </c>
      <c r="R21" s="42" t="s">
        <v>96</v>
      </c>
      <c r="S21" s="43">
        <f t="shared" si="16"/>
        <v>3993.392</v>
      </c>
      <c r="T21" s="44">
        <f t="shared" si="1"/>
        <v>2.899796875</v>
      </c>
      <c r="U21" s="44">
        <f t="shared" si="17"/>
        <v>1.97</v>
      </c>
      <c r="V21" s="28">
        <f t="shared" si="3"/>
        <v>4.30564</v>
      </c>
      <c r="W21" s="45">
        <f t="shared" si="18"/>
        <v>1.37</v>
      </c>
      <c r="X21" s="46">
        <f t="shared" si="5"/>
        <v>0.509274150316286</v>
      </c>
      <c r="Y21" s="42">
        <f t="shared" si="6"/>
        <v>0.8</v>
      </c>
      <c r="Z21" s="47">
        <v>0.24</v>
      </c>
      <c r="AA21" s="47">
        <v>0</v>
      </c>
      <c r="AB21" s="70">
        <v>0.4</v>
      </c>
      <c r="AC21" s="23">
        <f t="shared" si="7"/>
        <v>282935.002513471</v>
      </c>
      <c r="AD21" s="32">
        <v>24</v>
      </c>
      <c r="AE21" s="32">
        <v>71</v>
      </c>
    </row>
    <row r="22" s="1" customFormat="1" ht="15" spans="1:31">
      <c r="B22" s="51" t="s">
        <v>52</v>
      </c>
      <c r="C22" s="52"/>
      <c r="D22" s="51"/>
      <c r="E22" s="53"/>
      <c r="F22" s="54" t="s">
        <v>53</v>
      </c>
      <c r="G22" s="55">
        <f>MIN(100%,SUM(G16:G21))</f>
        <v>0.755</v>
      </c>
      <c r="H22" s="54" t="s">
        <v>54</v>
      </c>
      <c r="I22" s="55">
        <f>SUM(I16:I21)</f>
        <v>2.63</v>
      </c>
      <c r="J22" s="56"/>
      <c r="K22" s="71"/>
      <c r="L22" s="51"/>
      <c r="M22" s="52"/>
      <c r="O22" s="40">
        <v>1</v>
      </c>
      <c r="P22" s="23" t="s">
        <v>138</v>
      </c>
      <c r="Q22" s="41">
        <f>99.16%+231.37%</f>
        <v>3.3053</v>
      </c>
      <c r="R22" s="42" t="s">
        <v>96</v>
      </c>
      <c r="S22" s="43">
        <f t="shared" si="16"/>
        <v>3993.392</v>
      </c>
      <c r="T22" s="44">
        <f t="shared" si="1"/>
        <v>2.899796875</v>
      </c>
      <c r="U22" s="44">
        <f t="shared" si="17"/>
        <v>1.97</v>
      </c>
      <c r="V22" s="28">
        <f t="shared" si="3"/>
        <v>4.31542</v>
      </c>
      <c r="W22" s="45">
        <f t="shared" si="18"/>
        <v>1.37</v>
      </c>
      <c r="X22" s="46">
        <f t="shared" si="5"/>
        <v>0.509274150316286</v>
      </c>
      <c r="Y22" s="42">
        <f t="shared" si="6"/>
        <v>0.8</v>
      </c>
      <c r="Z22" s="47">
        <v>0.24</v>
      </c>
      <c r="AA22" s="47">
        <v>0</v>
      </c>
      <c r="AB22" s="48">
        <v>0.4</v>
      </c>
      <c r="AC22" s="23">
        <f t="shared" si="7"/>
        <v>283577.672203594</v>
      </c>
      <c r="AD22" s="32">
        <v>24</v>
      </c>
      <c r="AE22" s="32">
        <v>72</v>
      </c>
    </row>
    <row r="23" s="1" customFormat="1" ht="15" spans="1:31">
      <c r="B23" s="57"/>
      <c r="C23" s="57"/>
      <c r="E23" s="58"/>
      <c r="F23" s="20" t="s">
        <v>55</v>
      </c>
      <c r="G23" s="59">
        <f>MAX(0,SUM(G16:G21)-1)</f>
        <v>0</v>
      </c>
      <c r="J23" s="2"/>
      <c r="K23" s="2"/>
      <c r="O23" s="40">
        <v>1</v>
      </c>
      <c r="P23" s="23" t="s">
        <v>106</v>
      </c>
      <c r="Q23" s="41">
        <f t="shared" si="15"/>
        <v>3.4793</v>
      </c>
      <c r="R23" s="42" t="s">
        <v>96</v>
      </c>
      <c r="S23" s="43">
        <f t="shared" si="16"/>
        <v>3993.392</v>
      </c>
      <c r="T23" s="44">
        <f t="shared" si="1"/>
        <v>2.899796875</v>
      </c>
      <c r="U23" s="44">
        <f t="shared" si="17"/>
        <v>1.97</v>
      </c>
      <c r="V23" s="28">
        <f t="shared" si="3"/>
        <v>4.3252</v>
      </c>
      <c r="W23" s="45">
        <f t="shared" si="18"/>
        <v>1.37</v>
      </c>
      <c r="X23" s="46">
        <f t="shared" si="5"/>
        <v>0.509274150316286</v>
      </c>
      <c r="Y23" s="42">
        <f t="shared" si="6"/>
        <v>0.8</v>
      </c>
      <c r="Z23" s="47">
        <v>0.24</v>
      </c>
      <c r="AA23" s="47">
        <v>0</v>
      </c>
      <c r="AB23" s="48">
        <v>0.4</v>
      </c>
      <c r="AC23" s="23">
        <f t="shared" si="7"/>
        <v>299182.475282368</v>
      </c>
      <c r="AD23" s="32">
        <v>24</v>
      </c>
      <c r="AE23" s="32">
        <v>73</v>
      </c>
    </row>
    <row r="24" s="1" customFormat="1" ht="15" spans="1:31">
      <c r="B24" s="57"/>
      <c r="C24" s="57"/>
      <c r="E24" s="58"/>
      <c r="J24" s="2"/>
      <c r="K24" s="2"/>
      <c r="O24" s="40">
        <v>1</v>
      </c>
      <c r="P24" s="23" t="s">
        <v>106</v>
      </c>
      <c r="Q24" s="41">
        <f t="shared" si="15"/>
        <v>3.4793</v>
      </c>
      <c r="R24" s="42" t="s">
        <v>96</v>
      </c>
      <c r="S24" s="43">
        <f t="shared" si="16"/>
        <v>3993.392</v>
      </c>
      <c r="T24" s="44">
        <f t="shared" si="1"/>
        <v>2.899796875</v>
      </c>
      <c r="U24" s="44">
        <f t="shared" si="17"/>
        <v>1.97</v>
      </c>
      <c r="V24" s="28">
        <f t="shared" si="3"/>
        <v>4.33498</v>
      </c>
      <c r="W24" s="45">
        <f t="shared" si="18"/>
        <v>1.37</v>
      </c>
      <c r="X24" s="46">
        <f t="shared" si="5"/>
        <v>0.509274150316286</v>
      </c>
      <c r="Y24" s="42">
        <f t="shared" si="6"/>
        <v>0.8</v>
      </c>
      <c r="Z24" s="47">
        <v>0.24</v>
      </c>
      <c r="AA24" s="47">
        <v>0</v>
      </c>
      <c r="AB24" s="70">
        <v>0.4</v>
      </c>
      <c r="AC24" s="23">
        <f t="shared" si="7"/>
        <v>299858.97685646</v>
      </c>
      <c r="AD24" s="32">
        <v>24</v>
      </c>
      <c r="AE24" s="32">
        <v>74</v>
      </c>
    </row>
    <row r="25" s="1" customFormat="1" ht="15" spans="1:31">
      <c r="A25" s="72"/>
      <c r="B25" s="73" t="s">
        <v>137</v>
      </c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O25" s="40">
        <v>1</v>
      </c>
      <c r="P25" s="23" t="s">
        <v>106</v>
      </c>
      <c r="Q25" s="41">
        <f t="shared" si="15"/>
        <v>3.4793</v>
      </c>
      <c r="R25" s="42" t="s">
        <v>96</v>
      </c>
      <c r="S25" s="43">
        <f t="shared" si="16"/>
        <v>3993.392</v>
      </c>
      <c r="T25" s="44">
        <f t="shared" si="1"/>
        <v>2.899796875</v>
      </c>
      <c r="U25" s="44">
        <f t="shared" si="17"/>
        <v>1.97</v>
      </c>
      <c r="V25" s="28">
        <f t="shared" si="3"/>
        <v>4.34476</v>
      </c>
      <c r="W25" s="45">
        <f t="shared" si="18"/>
        <v>1.37</v>
      </c>
      <c r="X25" s="46">
        <f t="shared" si="5"/>
        <v>0.509274150316286</v>
      </c>
      <c r="Y25" s="42">
        <f t="shared" si="6"/>
        <v>0.8</v>
      </c>
      <c r="Z25" s="47">
        <v>0.24</v>
      </c>
      <c r="AA25" s="47">
        <v>0</v>
      </c>
      <c r="AB25" s="48">
        <v>0.4</v>
      </c>
      <c r="AC25" s="23">
        <f t="shared" si="7"/>
        <v>300535.478430551</v>
      </c>
      <c r="AD25" s="32">
        <v>24</v>
      </c>
      <c r="AE25" s="32">
        <v>75</v>
      </c>
    </row>
    <row r="26" s="1" customFormat="1" ht="15" spans="1:31">
      <c r="A26" s="72" t="s">
        <v>140</v>
      </c>
      <c r="B26" s="74" t="s">
        <v>24</v>
      </c>
      <c r="C26" s="75"/>
      <c r="D26" s="74" t="s">
        <v>10</v>
      </c>
      <c r="E26" s="75"/>
      <c r="F26" s="74" t="s">
        <v>25</v>
      </c>
      <c r="G26" s="75"/>
      <c r="H26" s="74" t="s">
        <v>26</v>
      </c>
      <c r="I26" s="75"/>
      <c r="J26" s="74" t="s">
        <v>12</v>
      </c>
      <c r="K26" s="75"/>
      <c r="L26" s="74" t="s">
        <v>141</v>
      </c>
      <c r="M26" s="75"/>
      <c r="O26" s="40">
        <v>1</v>
      </c>
      <c r="P26" s="23" t="s">
        <v>106</v>
      </c>
      <c r="Q26" s="41">
        <f t="shared" si="15"/>
        <v>3.4793</v>
      </c>
      <c r="R26" s="42" t="s">
        <v>96</v>
      </c>
      <c r="S26" s="43">
        <f t="shared" si="16"/>
        <v>3993.392</v>
      </c>
      <c r="T26" s="44">
        <f t="shared" si="1"/>
        <v>2.899796875</v>
      </c>
      <c r="U26" s="44">
        <f t="shared" si="17"/>
        <v>1.97</v>
      </c>
      <c r="V26" s="28">
        <f t="shared" si="3"/>
        <v>4.35454</v>
      </c>
      <c r="W26" s="45">
        <f t="shared" si="18"/>
        <v>1.37</v>
      </c>
      <c r="X26" s="46">
        <f t="shared" si="5"/>
        <v>0.509274150316286</v>
      </c>
      <c r="Y26" s="42">
        <f t="shared" si="6"/>
        <v>0.8</v>
      </c>
      <c r="Z26" s="47">
        <v>0.24</v>
      </c>
      <c r="AA26" s="47">
        <v>0</v>
      </c>
      <c r="AB26" s="48">
        <v>0.4</v>
      </c>
      <c r="AC26" s="23">
        <f t="shared" si="7"/>
        <v>301211.980004643</v>
      </c>
      <c r="AD26" s="32">
        <v>24</v>
      </c>
      <c r="AE26" s="32">
        <v>76</v>
      </c>
    </row>
    <row r="27" s="1" customFormat="1" ht="15" spans="1:31">
      <c r="A27" s="72">
        <v>1357</v>
      </c>
      <c r="B27" s="76" t="s">
        <v>28</v>
      </c>
      <c r="C27" s="77">
        <f>288+337</f>
        <v>625</v>
      </c>
      <c r="D27" s="76" t="s">
        <v>29</v>
      </c>
      <c r="E27" s="78"/>
      <c r="F27" s="76" t="s">
        <v>142</v>
      </c>
      <c r="G27" s="79">
        <v>0.05</v>
      </c>
      <c r="H27" s="76" t="s">
        <v>142</v>
      </c>
      <c r="I27" s="78">
        <v>1.5</v>
      </c>
      <c r="J27" s="80" t="s">
        <v>31</v>
      </c>
      <c r="K27" s="78">
        <f>25%</f>
        <v>0.25</v>
      </c>
      <c r="L27" s="76" t="s">
        <v>140</v>
      </c>
      <c r="M27" s="79">
        <f>10.9%*3</f>
        <v>0.327</v>
      </c>
      <c r="O27" s="34">
        <v>1</v>
      </c>
      <c r="P27" s="23" t="s">
        <v>108</v>
      </c>
      <c r="Q27" s="81">
        <f>(27.84%+13.92%*2)*3</f>
        <v>1.6704</v>
      </c>
      <c r="R27" s="82" t="s">
        <v>96</v>
      </c>
      <c r="S27" s="43">
        <f t="shared" si="16"/>
        <v>3993.392</v>
      </c>
      <c r="T27" s="83">
        <f t="shared" si="1"/>
        <v>2.899796875</v>
      </c>
      <c r="U27" s="44">
        <f t="shared" si="17"/>
        <v>1.97</v>
      </c>
      <c r="V27" s="28">
        <f t="shared" si="3"/>
        <v>4.3252</v>
      </c>
      <c r="W27" s="84">
        <f t="shared" si="18"/>
        <v>1.37</v>
      </c>
      <c r="X27" s="85">
        <f t="shared" si="5"/>
        <v>0.509274150316286</v>
      </c>
      <c r="Y27" s="82">
        <f t="shared" si="6"/>
        <v>0.8</v>
      </c>
      <c r="Z27" s="86">
        <v>0</v>
      </c>
      <c r="AA27" s="86">
        <v>0</v>
      </c>
      <c r="AB27" s="70">
        <v>0.4</v>
      </c>
      <c r="AC27" s="23">
        <f t="shared" si="7"/>
        <v>115835.871396005</v>
      </c>
      <c r="AD27" s="32">
        <v>24</v>
      </c>
      <c r="AE27" s="32">
        <v>73</v>
      </c>
    </row>
    <row r="28" s="1" customFormat="1" ht="15" spans="1:31">
      <c r="A28" s="87">
        <f>16%+7.6*2%</f>
        <v>0.312</v>
      </c>
      <c r="B28" s="76" t="s">
        <v>143</v>
      </c>
      <c r="C28" s="78"/>
      <c r="D28" s="76" t="s">
        <v>144</v>
      </c>
      <c r="E28" s="78"/>
      <c r="F28" s="76" t="s">
        <v>35</v>
      </c>
      <c r="G28" s="79"/>
      <c r="H28" s="76" t="s">
        <v>145</v>
      </c>
      <c r="I28" s="79">
        <v>0.2</v>
      </c>
      <c r="J28" s="88" t="s">
        <v>146</v>
      </c>
      <c r="K28" s="79"/>
      <c r="L28" s="76" t="s">
        <v>25</v>
      </c>
      <c r="M28" s="79">
        <f>2*8.1%</f>
        <v>0.162</v>
      </c>
      <c r="O28" s="65">
        <v>1</v>
      </c>
      <c r="P28" s="89" t="s">
        <v>109</v>
      </c>
      <c r="Q28" s="90">
        <v>1.69</v>
      </c>
      <c r="R28" s="91" t="s">
        <v>110</v>
      </c>
      <c r="S28" s="92">
        <f t="shared" ref="S28:S39" si="19">$C$16*(1+$C$17+$C$18+$C$19+$C$20)+($C$21+$C$22)</f>
        <v>2694.5</v>
      </c>
      <c r="T28" s="93">
        <f t="shared" ref="T28:T39" si="20">($C$17+$C$18+$C$19+$C$20)+($C$21+$C$22)/$C$16</f>
        <v>1.99388888888889</v>
      </c>
      <c r="U28" s="93">
        <f>IF(R28=$C$13,SUM($E$16:$E$21),SUM($E$16:$E$20))-12%</f>
        <v>1.2</v>
      </c>
      <c r="V28" s="94">
        <f t="shared" ref="V28:V38" si="21">1+$G$22*($I$22-1)</f>
        <v>2.23065</v>
      </c>
      <c r="W28" s="95">
        <f t="shared" ref="W28:W39" si="22">IF(R28=$C$1,$K$16+$K$17,$K$16)</f>
        <v>0.25</v>
      </c>
      <c r="X28" s="94">
        <f t="shared" ref="X28:X39" si="23">$AH$3</f>
        <v>0.488431876606684</v>
      </c>
      <c r="Y28" s="91">
        <f t="shared" si="6"/>
        <v>0.8</v>
      </c>
      <c r="Z28" s="96">
        <v>0</v>
      </c>
      <c r="AA28" s="96">
        <v>0</v>
      </c>
      <c r="AB28" s="39">
        <v>0</v>
      </c>
      <c r="AC28" s="97">
        <f t="shared" ref="AC28:AC39" si="24">Q28*$C$16*(1+T28)*(1+U28)*V28*(1+W28)*X28*Y28*(1+Z28)*(1+AA28)*(1+AB28)*O28</f>
        <v>10914.9815433123</v>
      </c>
    </row>
    <row r="29" s="1" customFormat="1" ht="15" spans="1:31">
      <c r="A29" s="87">
        <f>36%+M27</f>
        <v>0.687</v>
      </c>
      <c r="B29" s="76" t="s">
        <v>147</v>
      </c>
      <c r="C29" s="78"/>
      <c r="D29" s="76" t="s">
        <v>148</v>
      </c>
      <c r="E29" s="78"/>
      <c r="F29" s="76" t="s">
        <v>41</v>
      </c>
      <c r="G29" s="79"/>
      <c r="H29" s="76" t="s">
        <v>149</v>
      </c>
      <c r="I29" s="79"/>
      <c r="J29" s="88" t="s">
        <v>150</v>
      </c>
      <c r="K29" s="79"/>
      <c r="L29" s="76" t="s">
        <v>45</v>
      </c>
      <c r="M29" s="79">
        <f>3*16.2%</f>
        <v>0.486</v>
      </c>
      <c r="O29" s="98">
        <v>1</v>
      </c>
      <c r="P29" s="89" t="s">
        <v>111</v>
      </c>
      <c r="Q29" s="49">
        <v>1.472</v>
      </c>
      <c r="R29" s="57" t="s">
        <v>83</v>
      </c>
      <c r="S29" s="99">
        <f t="shared" si="19"/>
        <v>2694.5</v>
      </c>
      <c r="T29" s="100">
        <f t="shared" si="20"/>
        <v>1.99388888888889</v>
      </c>
      <c r="U29" s="100">
        <f>IF(R29=$C$13,SUM($E$16:$E$21),SUM($E$16:$E$20))-12%</f>
        <v>1.2</v>
      </c>
      <c r="V29" s="101">
        <f t="shared" si="21"/>
        <v>2.23065</v>
      </c>
      <c r="W29" s="102">
        <f t="shared" si="22"/>
        <v>0.25</v>
      </c>
      <c r="X29" s="101">
        <f t="shared" si="23"/>
        <v>0.488431876606684</v>
      </c>
      <c r="Y29" s="57">
        <f t="shared" si="6"/>
        <v>0.8</v>
      </c>
      <c r="Z29" s="103">
        <v>0</v>
      </c>
      <c r="AA29" s="103">
        <v>0</v>
      </c>
      <c r="AB29" s="36">
        <v>0</v>
      </c>
      <c r="AC29" s="97">
        <f t="shared" si="24"/>
        <v>9507.01350991465</v>
      </c>
    </row>
    <row r="30" s="1" customFormat="1" ht="15" spans="1:31">
      <c r="A30" s="87">
        <v>0.418</v>
      </c>
      <c r="B30" s="76" t="s">
        <v>145</v>
      </c>
      <c r="C30" s="104">
        <f>25%+15%</f>
        <v>0.4</v>
      </c>
      <c r="D30" s="76" t="s">
        <v>151</v>
      </c>
      <c r="E30" s="78">
        <f>40%</f>
        <v>0.4</v>
      </c>
      <c r="F30" s="76" t="s">
        <v>145</v>
      </c>
      <c r="G30" s="79">
        <f>M29</f>
        <v>0.486</v>
      </c>
      <c r="H30" s="76"/>
      <c r="I30" s="79"/>
      <c r="J30" s="88"/>
      <c r="K30" s="79"/>
      <c r="L30" s="76" t="s">
        <v>152</v>
      </c>
      <c r="M30" s="79">
        <f>8.6%*2</f>
        <v>0.172</v>
      </c>
      <c r="O30" s="98">
        <v>1</v>
      </c>
      <c r="P30" s="89" t="s">
        <v>42</v>
      </c>
      <c r="Q30" s="49">
        <v>1.061</v>
      </c>
      <c r="R30" s="57" t="s">
        <v>42</v>
      </c>
      <c r="S30" s="99">
        <f t="shared" si="19"/>
        <v>2694.5</v>
      </c>
      <c r="T30" s="100">
        <f t="shared" si="20"/>
        <v>1.99388888888889</v>
      </c>
      <c r="U30" s="100">
        <f>IF(R30=$C$13,SUM($E$16:$E$21),SUM($E$16:$E$20))-6%</f>
        <v>1.26</v>
      </c>
      <c r="V30" s="101">
        <f t="shared" si="21"/>
        <v>2.23065</v>
      </c>
      <c r="W30" s="102">
        <f t="shared" si="22"/>
        <v>0.25</v>
      </c>
      <c r="X30" s="101">
        <f t="shared" si="23"/>
        <v>0.488431876606684</v>
      </c>
      <c r="Y30" s="57">
        <f t="shared" si="6"/>
        <v>0.8</v>
      </c>
      <c r="Z30" s="103">
        <v>0</v>
      </c>
      <c r="AA30" s="103">
        <v>0</v>
      </c>
      <c r="AB30" s="36">
        <v>0</v>
      </c>
      <c r="AC30" s="97">
        <f t="shared" si="24"/>
        <v>7039.42916714549</v>
      </c>
    </row>
    <row r="31" s="1" customFormat="1" ht="15" spans="1:31">
      <c r="A31" s="105">
        <v>0.2</v>
      </c>
      <c r="B31" s="76" t="s">
        <v>153</v>
      </c>
      <c r="C31" s="104"/>
      <c r="D31" s="76" t="s">
        <v>154</v>
      </c>
      <c r="E31" s="78">
        <v>0.2</v>
      </c>
      <c r="F31" s="76" t="s">
        <v>121</v>
      </c>
      <c r="G31" s="79"/>
      <c r="H31" s="76" t="s">
        <v>121</v>
      </c>
      <c r="I31" s="79">
        <v>0.32</v>
      </c>
      <c r="J31" s="88"/>
      <c r="K31" s="79"/>
      <c r="L31" s="76"/>
      <c r="M31" s="79"/>
      <c r="O31" s="98">
        <v>1</v>
      </c>
      <c r="P31" s="89" t="s">
        <v>117</v>
      </c>
      <c r="Q31" s="49">
        <v>1.9623</v>
      </c>
      <c r="R31" s="57" t="s">
        <v>83</v>
      </c>
      <c r="S31" s="99">
        <f t="shared" si="19"/>
        <v>2694.5</v>
      </c>
      <c r="T31" s="100">
        <f t="shared" si="20"/>
        <v>1.99388888888889</v>
      </c>
      <c r="U31" s="100">
        <f t="shared" ref="U31:U39" si="25">IF(R31=$C$13,SUM($E$16:$E$21),SUM($E$16:$E$20))</f>
        <v>1.32</v>
      </c>
      <c r="V31" s="101">
        <f t="shared" si="21"/>
        <v>2.23065</v>
      </c>
      <c r="W31" s="102">
        <f t="shared" si="22"/>
        <v>0.25</v>
      </c>
      <c r="X31" s="101">
        <f t="shared" si="23"/>
        <v>0.488431876606684</v>
      </c>
      <c r="Y31" s="57">
        <f t="shared" ref="Y31:Y39" si="26">$AH$12</f>
        <v>0.8</v>
      </c>
      <c r="Z31" s="103">
        <v>0</v>
      </c>
      <c r="AA31" s="103">
        <v>0</v>
      </c>
      <c r="AB31" s="36">
        <v>0</v>
      </c>
      <c r="AC31" s="97">
        <f t="shared" si="24"/>
        <v>13364.9398642456</v>
      </c>
    </row>
    <row r="32" s="1" customFormat="1" ht="15" spans="1:31">
      <c r="A32" s="72"/>
      <c r="B32" s="76" t="s">
        <v>49</v>
      </c>
      <c r="C32" s="77">
        <v>350</v>
      </c>
      <c r="D32" s="76" t="s">
        <v>93</v>
      </c>
      <c r="E32" s="78"/>
      <c r="F32" s="106" t="s">
        <v>53</v>
      </c>
      <c r="G32" s="107">
        <f>MIN(100%,SUM(G27:G31))</f>
        <v>0.536</v>
      </c>
      <c r="H32" s="106" t="s">
        <v>54</v>
      </c>
      <c r="I32" s="108">
        <f>SUM(I27:I31)</f>
        <v>2.02</v>
      </c>
      <c r="J32" s="88"/>
      <c r="K32" s="79"/>
      <c r="L32" s="76"/>
      <c r="M32" s="77"/>
      <c r="O32" s="98">
        <v>1</v>
      </c>
      <c r="P32" s="89" t="s">
        <v>118</v>
      </c>
      <c r="Q32" s="49">
        <v>1.9801</v>
      </c>
      <c r="R32" s="57" t="s">
        <v>1</v>
      </c>
      <c r="S32" s="99">
        <f t="shared" si="19"/>
        <v>2694.5</v>
      </c>
      <c r="T32" s="100">
        <f t="shared" si="20"/>
        <v>1.99388888888889</v>
      </c>
      <c r="U32" s="100">
        <f t="shared" si="25"/>
        <v>1.652</v>
      </c>
      <c r="V32" s="101">
        <f t="shared" si="21"/>
        <v>2.23065</v>
      </c>
      <c r="W32" s="102">
        <f t="shared" si="22"/>
        <v>0.25</v>
      </c>
      <c r="X32" s="101">
        <f t="shared" si="23"/>
        <v>0.488431876606684</v>
      </c>
      <c r="Y32" s="57">
        <f t="shared" si="26"/>
        <v>0.8</v>
      </c>
      <c r="Z32" s="103">
        <v>0</v>
      </c>
      <c r="AA32" s="103">
        <v>0</v>
      </c>
      <c r="AB32" s="36">
        <v>0</v>
      </c>
      <c r="AC32" s="97">
        <f t="shared" si="24"/>
        <v>15416.0909461476</v>
      </c>
    </row>
    <row r="33" s="1" customFormat="1" ht="15" spans="1:29">
      <c r="A33" s="72"/>
      <c r="B33" s="109" t="s">
        <v>52</v>
      </c>
      <c r="C33" s="110"/>
      <c r="D33" s="109" t="s">
        <v>94</v>
      </c>
      <c r="E33" s="111"/>
      <c r="F33" s="109"/>
      <c r="G33" s="112"/>
      <c r="H33" s="109"/>
      <c r="I33" s="110"/>
      <c r="J33" s="113"/>
      <c r="K33" s="112"/>
      <c r="L33" s="109"/>
      <c r="M33" s="110"/>
      <c r="N33" s="114"/>
      <c r="O33" s="98">
        <v>1</v>
      </c>
      <c r="P33" s="89" t="s">
        <v>120</v>
      </c>
      <c r="Q33" s="49">
        <v>3.76</v>
      </c>
      <c r="R33" s="57" t="s">
        <v>1</v>
      </c>
      <c r="S33" s="99">
        <f t="shared" si="19"/>
        <v>2694.5</v>
      </c>
      <c r="T33" s="100">
        <f t="shared" si="20"/>
        <v>1.99388888888889</v>
      </c>
      <c r="U33" s="100">
        <f t="shared" si="25"/>
        <v>1.652</v>
      </c>
      <c r="V33" s="101">
        <f t="shared" si="21"/>
        <v>2.23065</v>
      </c>
      <c r="W33" s="102">
        <f t="shared" si="22"/>
        <v>0.25</v>
      </c>
      <c r="X33" s="101">
        <f t="shared" si="23"/>
        <v>0.488431876606684</v>
      </c>
      <c r="Y33" s="57">
        <f t="shared" si="26"/>
        <v>0.8</v>
      </c>
      <c r="Z33" s="103">
        <v>0</v>
      </c>
      <c r="AA33" s="103">
        <v>0</v>
      </c>
      <c r="AB33" s="36">
        <v>0</v>
      </c>
      <c r="AC33" s="97">
        <f t="shared" si="24"/>
        <v>29273.5225279101</v>
      </c>
    </row>
    <row r="34" s="1" customFormat="1" ht="15" spans="1:29">
      <c r="A34" s="72">
        <f>A27*(1+A28+A29+A30+A31)</f>
        <v>3551.269</v>
      </c>
      <c r="B34" s="115"/>
      <c r="C34" s="115">
        <f>C27*(1+C30)+C32</f>
        <v>1225</v>
      </c>
      <c r="D34" s="115"/>
      <c r="E34" s="115"/>
      <c r="F34" s="115" t="s">
        <v>155</v>
      </c>
      <c r="G34" s="116"/>
      <c r="H34" s="115"/>
      <c r="I34" s="115"/>
      <c r="J34" s="115"/>
      <c r="K34" s="115"/>
      <c r="L34" s="115"/>
      <c r="M34" s="115"/>
      <c r="N34" s="57"/>
      <c r="O34" s="98">
        <v>1</v>
      </c>
      <c r="P34" s="89" t="s">
        <v>122</v>
      </c>
      <c r="Q34" s="49">
        <v>4.9033</v>
      </c>
      <c r="R34" s="57" t="s">
        <v>1</v>
      </c>
      <c r="S34" s="99">
        <f t="shared" si="19"/>
        <v>2694.5</v>
      </c>
      <c r="T34" s="100">
        <f t="shared" si="20"/>
        <v>1.99388888888889</v>
      </c>
      <c r="U34" s="100">
        <f t="shared" si="25"/>
        <v>1.652</v>
      </c>
      <c r="V34" s="101">
        <f t="shared" si="21"/>
        <v>2.23065</v>
      </c>
      <c r="W34" s="102">
        <f t="shared" si="22"/>
        <v>0.25</v>
      </c>
      <c r="X34" s="101">
        <f t="shared" si="23"/>
        <v>0.488431876606684</v>
      </c>
      <c r="Y34" s="57">
        <f t="shared" si="26"/>
        <v>0.8</v>
      </c>
      <c r="Z34" s="103">
        <v>0</v>
      </c>
      <c r="AA34" s="103">
        <v>0</v>
      </c>
      <c r="AB34" s="36">
        <v>0</v>
      </c>
      <c r="AC34" s="97">
        <f t="shared" si="24"/>
        <v>38174.6976093356</v>
      </c>
    </row>
    <row r="35" s="1" customFormat="1" ht="15" spans="1:29">
      <c r="A35" s="117"/>
      <c r="B35" s="118"/>
      <c r="C35" s="118"/>
      <c r="D35" s="118"/>
      <c r="E35" s="118"/>
      <c r="F35" s="118"/>
      <c r="G35" s="119"/>
      <c r="N35" s="57"/>
      <c r="O35" s="98">
        <v>1</v>
      </c>
      <c r="P35" s="89" t="s">
        <v>123</v>
      </c>
      <c r="Q35" s="49">
        <v>13.3598</v>
      </c>
      <c r="R35" s="57" t="s">
        <v>1</v>
      </c>
      <c r="S35" s="99">
        <f t="shared" si="19"/>
        <v>2694.5</v>
      </c>
      <c r="T35" s="100">
        <f t="shared" si="20"/>
        <v>1.99388888888889</v>
      </c>
      <c r="U35" s="100">
        <f t="shared" si="25"/>
        <v>1.652</v>
      </c>
      <c r="V35" s="101">
        <f t="shared" si="21"/>
        <v>2.23065</v>
      </c>
      <c r="W35" s="102">
        <f t="shared" si="22"/>
        <v>0.25</v>
      </c>
      <c r="X35" s="101">
        <f t="shared" si="23"/>
        <v>0.488431876606684</v>
      </c>
      <c r="Y35" s="57">
        <f t="shared" si="26"/>
        <v>0.8</v>
      </c>
      <c r="Z35" s="103">
        <v>0</v>
      </c>
      <c r="AA35" s="103">
        <v>0</v>
      </c>
      <c r="AB35" s="36">
        <v>0</v>
      </c>
      <c r="AC35" s="97">
        <f t="shared" si="24"/>
        <v>104012.874007546</v>
      </c>
    </row>
    <row r="36" s="1" customFormat="1" ht="15" spans="1:29">
      <c r="B36" s="120" t="s">
        <v>68</v>
      </c>
      <c r="C36" s="1" t="s">
        <v>112</v>
      </c>
      <c r="D36" s="1" t="s">
        <v>113</v>
      </c>
      <c r="E36" s="1" t="s">
        <v>114</v>
      </c>
      <c r="F36" s="1" t="s">
        <v>115</v>
      </c>
      <c r="G36" s="2"/>
      <c r="N36" s="57"/>
      <c r="O36" s="98">
        <v>1</v>
      </c>
      <c r="P36" s="89" t="s">
        <v>118</v>
      </c>
      <c r="Q36" s="49">
        <v>1.9801</v>
      </c>
      <c r="R36" s="57" t="s">
        <v>1</v>
      </c>
      <c r="S36" s="99">
        <f t="shared" si="19"/>
        <v>2694.5</v>
      </c>
      <c r="T36" s="100">
        <f t="shared" si="20"/>
        <v>1.99388888888889</v>
      </c>
      <c r="U36" s="100">
        <f t="shared" si="25"/>
        <v>1.652</v>
      </c>
      <c r="V36" s="101">
        <f t="shared" si="21"/>
        <v>2.23065</v>
      </c>
      <c r="W36" s="102">
        <f t="shared" si="22"/>
        <v>0.25</v>
      </c>
      <c r="X36" s="101">
        <f t="shared" si="23"/>
        <v>0.488431876606684</v>
      </c>
      <c r="Y36" s="57">
        <f t="shared" si="26"/>
        <v>0.8</v>
      </c>
      <c r="Z36" s="103">
        <v>0</v>
      </c>
      <c r="AA36" s="103">
        <v>0</v>
      </c>
      <c r="AB36" s="36">
        <v>0</v>
      </c>
      <c r="AC36" s="97">
        <f t="shared" si="24"/>
        <v>15416.0909461476</v>
      </c>
    </row>
    <row r="37" s="1" customFormat="1" ht="15" spans="1:29">
      <c r="B37" s="121" t="s">
        <v>156</v>
      </c>
      <c r="C37" s="122" t="s">
        <v>70</v>
      </c>
      <c r="D37" s="122" t="s">
        <v>71</v>
      </c>
      <c r="E37" s="122" t="s">
        <v>72</v>
      </c>
      <c r="F37" s="122" t="s">
        <v>73</v>
      </c>
      <c r="G37" s="2"/>
      <c r="N37" s="57"/>
      <c r="O37" s="98">
        <v>1</v>
      </c>
      <c r="P37" s="89" t="s">
        <v>124</v>
      </c>
      <c r="Q37" s="49">
        <v>1.0599</v>
      </c>
      <c r="R37" s="57" t="s">
        <v>1</v>
      </c>
      <c r="S37" s="99">
        <f t="shared" si="19"/>
        <v>2694.5</v>
      </c>
      <c r="T37" s="100">
        <f t="shared" si="20"/>
        <v>1.99388888888889</v>
      </c>
      <c r="U37" s="100">
        <f t="shared" si="25"/>
        <v>1.652</v>
      </c>
      <c r="V37" s="101">
        <f t="shared" si="21"/>
        <v>2.23065</v>
      </c>
      <c r="W37" s="102">
        <f t="shared" si="22"/>
        <v>0.25</v>
      </c>
      <c r="X37" s="101">
        <f t="shared" si="23"/>
        <v>0.488431876606684</v>
      </c>
      <c r="Y37" s="57">
        <f t="shared" si="26"/>
        <v>0.8</v>
      </c>
      <c r="Z37" s="103">
        <v>0</v>
      </c>
      <c r="AA37" s="103">
        <v>0</v>
      </c>
      <c r="AB37" s="36">
        <v>0</v>
      </c>
      <c r="AC37" s="97">
        <f t="shared" si="24"/>
        <v>8251.8634381202</v>
      </c>
    </row>
    <row r="38" s="1" customFormat="1" ht="15" spans="1:29">
      <c r="B38" s="4" t="s">
        <v>84</v>
      </c>
      <c r="C38" s="123">
        <f>SUM(AC3:AC27)</f>
        <v>5140553.96884233</v>
      </c>
      <c r="D38" s="123">
        <f t="shared" ref="D38:D41" si="27">C38/$E$38</f>
        <v>205622.158753693</v>
      </c>
      <c r="E38" s="124">
        <v>25</v>
      </c>
      <c r="F38" s="125">
        <f t="shared" ref="F38:F41" si="28">C38/$C$42</f>
        <v>0.914474056439142</v>
      </c>
      <c r="G38" s="2"/>
      <c r="O38" s="98">
        <v>0</v>
      </c>
      <c r="P38" s="89" t="s">
        <v>130</v>
      </c>
      <c r="Q38" s="49">
        <v>3.1056</v>
      </c>
      <c r="R38" s="57" t="s">
        <v>96</v>
      </c>
      <c r="S38" s="99">
        <f t="shared" si="19"/>
        <v>2694.5</v>
      </c>
      <c r="T38" s="100">
        <f t="shared" si="20"/>
        <v>1.99388888888889</v>
      </c>
      <c r="U38" s="100">
        <f t="shared" si="25"/>
        <v>1.32</v>
      </c>
      <c r="V38" s="101">
        <f t="shared" si="21"/>
        <v>2.23065</v>
      </c>
      <c r="W38" s="102">
        <f t="shared" si="22"/>
        <v>0.25</v>
      </c>
      <c r="X38" s="101">
        <f t="shared" si="23"/>
        <v>0.488431876606684</v>
      </c>
      <c r="Y38" s="57">
        <f t="shared" si="26"/>
        <v>0.8</v>
      </c>
      <c r="Z38" s="103">
        <v>0</v>
      </c>
      <c r="AA38" s="103">
        <v>0</v>
      </c>
      <c r="AB38" s="36">
        <v>0</v>
      </c>
      <c r="AC38" s="97">
        <f t="shared" si="24"/>
        <v>0</v>
      </c>
    </row>
    <row r="39" s="1" customFormat="1" ht="15" spans="1:29">
      <c r="A39" s="1" t="s">
        <v>157</v>
      </c>
      <c r="B39" s="4" t="s">
        <v>100</v>
      </c>
      <c r="C39" s="123">
        <f>SUM(AC28:AC39)</f>
        <v>283294.315400208</v>
      </c>
      <c r="D39" s="123">
        <f t="shared" si="27"/>
        <v>11331.7726160083</v>
      </c>
      <c r="E39" s="126"/>
      <c r="F39" s="125">
        <f t="shared" si="28"/>
        <v>0.0503963781608775</v>
      </c>
      <c r="G39" s="2"/>
      <c r="O39" s="127">
        <v>1</v>
      </c>
      <c r="P39" s="89" t="s">
        <v>131</v>
      </c>
      <c r="Q39" s="56">
        <v>3.7804</v>
      </c>
      <c r="R39" s="128" t="s">
        <v>1</v>
      </c>
      <c r="S39" s="129">
        <f t="shared" si="19"/>
        <v>2694.5</v>
      </c>
      <c r="T39" s="130">
        <f t="shared" si="20"/>
        <v>1.99388888888889</v>
      </c>
      <c r="U39" s="130">
        <f t="shared" si="25"/>
        <v>1.652</v>
      </c>
      <c r="V39" s="131">
        <f>1+$G$22*($I$22-1+25%)</f>
        <v>2.4194</v>
      </c>
      <c r="W39" s="132">
        <f t="shared" si="22"/>
        <v>0.25</v>
      </c>
      <c r="X39" s="131">
        <f t="shared" si="23"/>
        <v>0.488431876606684</v>
      </c>
      <c r="Y39" s="128">
        <f t="shared" si="26"/>
        <v>0.8</v>
      </c>
      <c r="Z39" s="133">
        <v>0</v>
      </c>
      <c r="AA39" s="133">
        <v>0</v>
      </c>
      <c r="AB39" s="53">
        <v>0</v>
      </c>
      <c r="AC39" s="97">
        <f t="shared" si="24"/>
        <v>31922.8118403827</v>
      </c>
    </row>
    <row r="40" s="1" customFormat="1" ht="15" spans="1:29">
      <c r="B40" s="4" t="s">
        <v>139</v>
      </c>
      <c r="C40" s="123">
        <f>SUM(AC44:AC49)+AC41</f>
        <v>94039.2952522437</v>
      </c>
      <c r="D40" s="123">
        <f t="shared" si="27"/>
        <v>3761.57181008975</v>
      </c>
      <c r="E40" s="134"/>
      <c r="F40" s="125">
        <f t="shared" si="28"/>
        <v>0.0167290327686928</v>
      </c>
      <c r="G40" s="2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</row>
    <row r="41" s="1" customFormat="1" ht="15" spans="1:29">
      <c r="B41" s="4" t="s">
        <v>74</v>
      </c>
      <c r="C41" s="123">
        <f>AC42</f>
        <v>103435.335732648</v>
      </c>
      <c r="D41" s="123">
        <f t="shared" si="27"/>
        <v>4137.41342930591</v>
      </c>
      <c r="E41" s="134"/>
      <c r="F41" s="125">
        <f t="shared" si="28"/>
        <v>0.0184005326312877</v>
      </c>
      <c r="G41" s="2"/>
      <c r="O41" s="34">
        <f>$O$42</f>
        <v>1.5</v>
      </c>
      <c r="P41" s="57" t="s">
        <v>67</v>
      </c>
      <c r="Q41" s="100">
        <v>2.9822</v>
      </c>
      <c r="R41" s="57" t="s">
        <v>66</v>
      </c>
      <c r="S41" s="57">
        <v>10027</v>
      </c>
      <c r="T41" s="100">
        <v>0</v>
      </c>
      <c r="U41" s="100">
        <v>0</v>
      </c>
      <c r="V41" s="101">
        <v>1</v>
      </c>
      <c r="W41" s="102">
        <v>0</v>
      </c>
      <c r="X41" s="101">
        <f t="shared" ref="X41:X49" si="29">$AH$3</f>
        <v>0.488431876606684</v>
      </c>
      <c r="Y41" s="137">
        <f>$AH$13</f>
        <v>0.8</v>
      </c>
      <c r="Z41" s="103">
        <v>0</v>
      </c>
      <c r="AA41" s="103">
        <v>0</v>
      </c>
      <c r="AB41" s="36">
        <v>0.5</v>
      </c>
      <c r="AC41" s="138">
        <f>Q41*S41*(1+T41)*(1+U41)*V41*(1+W41)*X41*Y41*(1+Z41)*(1+AA41)*(1+AB41)*O41</f>
        <v>26289.6185984576</v>
      </c>
    </row>
    <row r="42" s="1" customFormat="1" ht="15" spans="1:29">
      <c r="B42" s="4" t="s">
        <v>82</v>
      </c>
      <c r="C42" s="139">
        <f>SUM(C38:C41)</f>
        <v>5621322.91522743</v>
      </c>
      <c r="D42" s="139">
        <f>C42/E38</f>
        <v>224852.916609097</v>
      </c>
      <c r="E42" s="140"/>
      <c r="F42" s="141"/>
      <c r="G42" s="2"/>
      <c r="H42" s="1"/>
      <c r="I42" s="1"/>
      <c r="O42" s="20">
        <v>1.5</v>
      </c>
      <c r="P42" s="137" t="s">
        <v>74</v>
      </c>
      <c r="Q42" s="145">
        <v>16</v>
      </c>
      <c r="R42" s="137" t="s">
        <v>75</v>
      </c>
      <c r="S42" s="137">
        <v>10027</v>
      </c>
      <c r="T42" s="145">
        <v>0</v>
      </c>
      <c r="U42" s="145">
        <v>0</v>
      </c>
      <c r="V42" s="146">
        <v>1</v>
      </c>
      <c r="W42" s="147">
        <v>0</v>
      </c>
      <c r="X42" s="146">
        <f t="shared" si="29"/>
        <v>0.488431876606684</v>
      </c>
      <c r="Y42" s="137">
        <f>$AH$13</f>
        <v>0.8</v>
      </c>
      <c r="Z42" s="148">
        <v>0</v>
      </c>
      <c r="AA42" s="148">
        <v>0</v>
      </c>
      <c r="AB42" s="148">
        <v>0.1</v>
      </c>
      <c r="AC42" s="149">
        <f>Q42*S42*(1+T42)*(1+U42)*V42*(1+W42)*X42*Y42*(1+Z42)*(1+AA42)*(1+AB42)*O42</f>
        <v>103435.335732648</v>
      </c>
    </row>
    <row r="43" s="1" customFormat="1" spans="1:29">
      <c r="B43" s="4"/>
      <c r="C43" s="4"/>
      <c r="D43" s="4"/>
      <c r="G43" s="2"/>
      <c r="H43" s="168"/>
      <c r="I43" s="1"/>
      <c r="Q43" s="2"/>
      <c r="U43" s="2"/>
      <c r="V43" s="3"/>
      <c r="AB43" s="4"/>
      <c r="AC43" s="4"/>
    </row>
    <row r="44" s="1" customFormat="1" ht="15" spans="1:29">
      <c r="B44" s="151" t="s">
        <v>125</v>
      </c>
      <c r="C44" s="152" t="s">
        <v>126</v>
      </c>
      <c r="D44" s="152" t="s">
        <v>128</v>
      </c>
      <c r="E44" s="152"/>
      <c r="F44" s="153"/>
      <c r="G44" s="167"/>
      <c r="H44" s="1"/>
      <c r="I44" s="1"/>
      <c r="O44" s="66">
        <v>1</v>
      </c>
      <c r="P44" s="155" t="s">
        <v>158</v>
      </c>
      <c r="Q44" s="90">
        <v>2.0279</v>
      </c>
      <c r="R44" s="91" t="s">
        <v>110</v>
      </c>
      <c r="S44" s="92">
        <f t="shared" ref="S44:S47" si="30">C$34</f>
        <v>1225</v>
      </c>
      <c r="T44" s="93">
        <f t="shared" ref="T44:T47" si="31">S44/$C$27-1</f>
        <v>0.96</v>
      </c>
      <c r="U44" s="93">
        <f t="shared" ref="U44:U47" si="32">E$30</f>
        <v>0.4</v>
      </c>
      <c r="V44" s="94">
        <f t="shared" ref="V44:V47" si="33">1+$G$32*($I$32-1)</f>
        <v>1.54672</v>
      </c>
      <c r="W44" s="95">
        <f t="shared" ref="W44:W49" si="34">K$27</f>
        <v>0.25</v>
      </c>
      <c r="X44" s="94">
        <f t="shared" si="29"/>
        <v>0.488431876606684</v>
      </c>
      <c r="Y44" s="91">
        <f t="shared" ref="Y44:Y49" si="35">$AH$14</f>
        <v>0.8</v>
      </c>
      <c r="Z44" s="96">
        <v>0</v>
      </c>
      <c r="AA44" s="96">
        <v>0</v>
      </c>
      <c r="AB44" s="39">
        <v>0</v>
      </c>
      <c r="AC44" s="155">
        <f t="shared" ref="AC44:AC47" si="36">Q44*$C$27*(1+T44)*(1+U44)*V44*(1+W44)*X44*Y44*(1+Z44)*(1+AA44)*(1+AB44)*O44</f>
        <v>2627.40099759589</v>
      </c>
    </row>
    <row r="45" s="1" customFormat="1" ht="15" spans="1:29">
      <c r="B45" s="156"/>
      <c r="C45" s="157" t="s">
        <v>162</v>
      </c>
      <c r="D45" s="157" t="s">
        <v>129</v>
      </c>
      <c r="E45" s="157"/>
      <c r="F45" s="158"/>
      <c r="G45" s="2"/>
      <c r="H45" s="1"/>
      <c r="I45" s="1"/>
      <c r="O45" s="34">
        <v>1</v>
      </c>
      <c r="P45" s="155" t="s">
        <v>159</v>
      </c>
      <c r="Q45" s="49">
        <f>22.27%+16.71%*2+23.86%+23.86%+17.9%*4+41.36%+10.34%*6</f>
        <v>2.7841</v>
      </c>
      <c r="R45" s="57" t="s">
        <v>1</v>
      </c>
      <c r="S45" s="99">
        <f t="shared" si="30"/>
        <v>1225</v>
      </c>
      <c r="T45" s="100">
        <f t="shared" si="31"/>
        <v>0.96</v>
      </c>
      <c r="U45" s="100">
        <f t="shared" si="32"/>
        <v>0.4</v>
      </c>
      <c r="V45" s="101">
        <f t="shared" si="33"/>
        <v>1.54672</v>
      </c>
      <c r="W45" s="102">
        <f t="shared" si="34"/>
        <v>0.25</v>
      </c>
      <c r="X45" s="101">
        <f t="shared" si="29"/>
        <v>0.488431876606684</v>
      </c>
      <c r="Y45" s="57">
        <f t="shared" si="35"/>
        <v>0.8</v>
      </c>
      <c r="Z45" s="103">
        <v>0</v>
      </c>
      <c r="AA45" s="103">
        <v>0</v>
      </c>
      <c r="AB45" s="36">
        <v>0</v>
      </c>
      <c r="AC45" s="155">
        <f t="shared" si="36"/>
        <v>3607.15376369974</v>
      </c>
    </row>
    <row r="46" s="1" customFormat="1" ht="15" spans="1:29">
      <c r="B46" s="159"/>
      <c r="C46" s="159"/>
      <c r="D46" s="159"/>
      <c r="E46" s="159"/>
      <c r="F46" s="159"/>
      <c r="G46" s="2"/>
      <c r="H46" s="1"/>
      <c r="I46" s="1"/>
      <c r="O46" s="34">
        <v>1</v>
      </c>
      <c r="P46" s="155" t="s">
        <v>160</v>
      </c>
      <c r="Q46" s="49">
        <f>39.77%*4</f>
        <v>1.5908</v>
      </c>
      <c r="R46" s="57" t="s">
        <v>83</v>
      </c>
      <c r="S46" s="99">
        <f t="shared" si="30"/>
        <v>1225</v>
      </c>
      <c r="T46" s="100">
        <f t="shared" si="31"/>
        <v>0.96</v>
      </c>
      <c r="U46" s="100">
        <f t="shared" si="32"/>
        <v>0.4</v>
      </c>
      <c r="V46" s="101">
        <f t="shared" si="33"/>
        <v>1.54672</v>
      </c>
      <c r="W46" s="102">
        <f t="shared" si="34"/>
        <v>0.25</v>
      </c>
      <c r="X46" s="101">
        <f t="shared" si="29"/>
        <v>0.488431876606684</v>
      </c>
      <c r="Y46" s="57">
        <f t="shared" si="35"/>
        <v>0.8</v>
      </c>
      <c r="Z46" s="103">
        <v>0</v>
      </c>
      <c r="AA46" s="103">
        <v>0</v>
      </c>
      <c r="AB46" s="36">
        <v>0</v>
      </c>
      <c r="AC46" s="155">
        <f t="shared" si="36"/>
        <v>2061.08265051311</v>
      </c>
    </row>
    <row r="47" s="1" customFormat="1" ht="15" spans="1:29">
      <c r="B47" s="160" t="s">
        <v>132</v>
      </c>
      <c r="C47" s="161" t="s">
        <v>133</v>
      </c>
      <c r="D47" s="161" t="s">
        <v>134</v>
      </c>
      <c r="E47" s="91"/>
      <c r="F47" s="162"/>
      <c r="O47" s="34">
        <v>1</v>
      </c>
      <c r="P47" s="155" t="s">
        <v>95</v>
      </c>
      <c r="Q47" s="49">
        <v>3.51</v>
      </c>
      <c r="R47" s="57" t="s">
        <v>96</v>
      </c>
      <c r="S47" s="99">
        <f t="shared" si="30"/>
        <v>1225</v>
      </c>
      <c r="T47" s="100">
        <f t="shared" si="31"/>
        <v>0.96</v>
      </c>
      <c r="U47" s="100">
        <f t="shared" si="32"/>
        <v>0.4</v>
      </c>
      <c r="V47" s="101">
        <f t="shared" si="33"/>
        <v>1.54672</v>
      </c>
      <c r="W47" s="102">
        <f t="shared" si="34"/>
        <v>0.25</v>
      </c>
      <c r="X47" s="101">
        <f t="shared" si="29"/>
        <v>0.488431876606684</v>
      </c>
      <c r="Y47" s="57">
        <f t="shared" si="35"/>
        <v>0.8</v>
      </c>
      <c r="Z47" s="103">
        <v>0</v>
      </c>
      <c r="AA47" s="103">
        <v>0</v>
      </c>
      <c r="AB47" s="36">
        <v>0</v>
      </c>
      <c r="AC47" s="155">
        <f t="shared" si="36"/>
        <v>4547.64904658098</v>
      </c>
    </row>
    <row r="48" s="1" customFormat="1" ht="15" spans="1:29">
      <c r="B48" s="163"/>
      <c r="C48" s="134" t="s">
        <v>164</v>
      </c>
      <c r="D48" s="134" t="s">
        <v>165</v>
      </c>
      <c r="F48" s="164"/>
      <c r="G48" s="2"/>
      <c r="H48" s="1"/>
      <c r="I48" s="1"/>
      <c r="O48" s="34">
        <v>1</v>
      </c>
      <c r="P48" s="155" t="s">
        <v>161</v>
      </c>
      <c r="Q48" s="49">
        <v>5.2233</v>
      </c>
      <c r="R48" s="57" t="s">
        <v>120</v>
      </c>
      <c r="S48" s="99">
        <f>A34</f>
        <v>3551.269</v>
      </c>
      <c r="T48" s="100">
        <v>0</v>
      </c>
      <c r="U48" s="100">
        <f>E$30+M30</f>
        <v>0.572</v>
      </c>
      <c r="V48" s="101">
        <f>I32+1.6</f>
        <v>3.62</v>
      </c>
      <c r="W48" s="102">
        <f t="shared" si="34"/>
        <v>0.25</v>
      </c>
      <c r="X48" s="101">
        <f t="shared" si="29"/>
        <v>0.488431876606684</v>
      </c>
      <c r="Y48" s="57">
        <f t="shared" si="35"/>
        <v>0.8</v>
      </c>
      <c r="Z48" s="103">
        <v>0</v>
      </c>
      <c r="AA48" s="103">
        <v>0</v>
      </c>
      <c r="AB48" s="36">
        <v>0</v>
      </c>
      <c r="AC48" s="155">
        <f>Q48*S48*(1+T48)*(1+U48)*V48*(1+W48)*X48*Y48*(1+Z48)*(1+AA48)*(1+AB48)*O48</f>
        <v>51557.7139202416</v>
      </c>
    </row>
    <row r="49" s="1" customFormat="1" ht="15" spans="2:29">
      <c r="B49" s="165"/>
      <c r="C49" s="166" t="s">
        <v>177</v>
      </c>
      <c r="D49" s="166" t="s">
        <v>178</v>
      </c>
      <c r="E49" s="128"/>
      <c r="F49" s="52"/>
      <c r="G49" s="2"/>
      <c r="H49" s="1"/>
      <c r="I49" s="1"/>
      <c r="O49" s="51">
        <v>1</v>
      </c>
      <c r="P49" s="155" t="s">
        <v>163</v>
      </c>
      <c r="Q49" s="56">
        <f>258.46%</f>
        <v>2.5846</v>
      </c>
      <c r="R49" s="128" t="s">
        <v>83</v>
      </c>
      <c r="S49" s="129">
        <f>C$34</f>
        <v>1225</v>
      </c>
      <c r="T49" s="130">
        <f>S49/$C$27-1</f>
        <v>0.96</v>
      </c>
      <c r="U49" s="130">
        <f>E$30</f>
        <v>0.4</v>
      </c>
      <c r="V49" s="131">
        <f>1+$G$32*($I$32-1)</f>
        <v>1.54672</v>
      </c>
      <c r="W49" s="132">
        <f t="shared" si="34"/>
        <v>0.25</v>
      </c>
      <c r="X49" s="131">
        <f t="shared" si="29"/>
        <v>0.488431876606684</v>
      </c>
      <c r="Y49" s="128">
        <f t="shared" si="35"/>
        <v>0.8</v>
      </c>
      <c r="Z49" s="133">
        <v>0</v>
      </c>
      <c r="AA49" s="133">
        <v>0</v>
      </c>
      <c r="AB49" s="53">
        <v>0</v>
      </c>
      <c r="AC49" s="155">
        <f>Q49*$C$27*(1+T49)*(1+U49)*V49*(1+W49)*X49*Y49*(1+Z49)*(1+AA49)*(1+AB49)*O49</f>
        <v>3348.67627515476</v>
      </c>
    </row>
    <row r="50" s="1" customFormat="1" spans="2:29">
      <c r="B50" s="4"/>
      <c r="C50" s="4"/>
      <c r="D50" s="4"/>
      <c r="F50" s="4"/>
      <c r="G50" s="2"/>
      <c r="H50" s="1"/>
      <c r="Q50" s="2"/>
      <c r="U50" s="2"/>
      <c r="V50" s="3"/>
      <c r="AB50" s="4"/>
      <c r="AC50" s="4"/>
    </row>
    <row r="51" s="1" customFormat="1" spans="2:29">
      <c r="B51" s="4"/>
      <c r="C51" s="4"/>
      <c r="D51" s="4"/>
      <c r="F51" s="4"/>
      <c r="G51" s="2"/>
      <c r="Q51" s="2"/>
      <c r="U51" s="2"/>
      <c r="V51" s="3"/>
      <c r="AB51" s="4"/>
      <c r="AC51" s="4"/>
    </row>
    <row r="52" s="1" customFormat="1" spans="2:29">
      <c r="G52" s="2"/>
      <c r="Q52" s="2"/>
      <c r="U52" s="2"/>
      <c r="V52" s="3"/>
      <c r="AB52" s="4"/>
      <c r="AC52" s="4"/>
    </row>
    <row r="53" s="1" customFormat="1" spans="2:29">
      <c r="B53" s="4"/>
      <c r="C53" s="4"/>
      <c r="D53" s="4"/>
      <c r="F53" s="4"/>
      <c r="G53" s="2"/>
      <c r="Q53" s="2"/>
      <c r="U53" s="2"/>
      <c r="V53" s="3"/>
      <c r="AB53" s="4"/>
      <c r="AC53" s="4"/>
    </row>
    <row r="54" s="1" customFormat="1" spans="2:29">
      <c r="B54" s="4"/>
      <c r="C54" s="4"/>
      <c r="D54" s="4"/>
      <c r="F54" s="4"/>
      <c r="G54" s="2"/>
      <c r="Q54" s="2"/>
      <c r="U54" s="2"/>
      <c r="V54" s="3"/>
      <c r="AB54" s="4"/>
      <c r="AC54" s="4"/>
    </row>
    <row r="55" s="1" customFormat="1" spans="2:29">
      <c r="G55" s="2"/>
      <c r="Q55" s="2"/>
      <c r="U55" s="2"/>
      <c r="V55" s="3"/>
      <c r="AB55" s="4"/>
      <c r="AC55" s="4"/>
    </row>
    <row r="56" s="1" customFormat="1" spans="2:29">
      <c r="B56" s="4"/>
      <c r="C56" s="4"/>
      <c r="D56" s="4"/>
      <c r="F56" s="4"/>
      <c r="G56" s="2"/>
      <c r="Q56" s="2"/>
      <c r="U56" s="2"/>
      <c r="V56" s="3"/>
      <c r="AB56" s="4"/>
      <c r="AC56" s="4"/>
    </row>
    <row r="57" s="1" customFormat="1" spans="2:29">
      <c r="B57" s="4"/>
      <c r="C57" s="4"/>
      <c r="D57" s="4"/>
      <c r="G57" s="2"/>
      <c r="Q57" s="2"/>
      <c r="U57" s="2"/>
      <c r="V57" s="3"/>
      <c r="AB57" s="4"/>
      <c r="AC57" s="4"/>
    </row>
    <row r="59" s="1" customFormat="1" spans="2:29">
      <c r="B59" s="4"/>
      <c r="C59" s="4"/>
      <c r="D59" s="4"/>
      <c r="G59" s="2"/>
      <c r="Q59" s="2"/>
      <c r="U59" s="2"/>
      <c r="V59" s="3"/>
      <c r="AB59" s="4"/>
      <c r="AC59" s="4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5:M25"/>
    <mergeCell ref="B26:C26"/>
    <mergeCell ref="D26:E26"/>
    <mergeCell ref="F26:G26"/>
    <mergeCell ref="H26:I26"/>
    <mergeCell ref="J26:K26"/>
    <mergeCell ref="L26:M26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9"/>
  <sheetViews>
    <sheetView topLeftCell="A16" workbookViewId="0">
      <selection activeCell="J34" sqref="J34"/>
    </sheetView>
  </sheetViews>
  <sheetFormatPr defaultColWidth="9.69090909090909" defaultRowHeight="14"/>
  <cols>
    <col min="1" max="1" width="7.54545454545455" style="1" customWidth="1"/>
    <col min="2" max="2" width="15" style="1" customWidth="1"/>
    <col min="3" max="3" width="15.3636363636364" style="1" customWidth="1"/>
    <col min="4" max="4" width="13.9090909090909" style="1" customWidth="1"/>
    <col min="5" max="5" width="9.54545454545454" style="1" customWidth="1"/>
    <col min="6" max="6" width="13.9090909090909" style="1" customWidth="1"/>
    <col min="7" max="7" width="8.45454545454546" style="2" customWidth="1"/>
    <col min="8" max="8" width="13.9090909090909" style="1" customWidth="1"/>
    <col min="9" max="9" width="8.45454545454546" style="1" customWidth="1"/>
    <col min="10" max="10" width="11.6363636363636" style="1" customWidth="1"/>
    <col min="11" max="11" width="4.72727272727273" style="1" customWidth="1"/>
    <col min="12" max="12" width="9.54545454545454" style="1" customWidth="1"/>
    <col min="13" max="13" width="7.36363636363636" style="1" customWidth="1"/>
    <col min="14" max="14" width="5.54545454545455" style="1" customWidth="1"/>
    <col min="15" max="15" width="6.09090909090909" style="1" customWidth="1"/>
    <col min="16" max="16" width="17.2727272727273" style="1" customWidth="1"/>
    <col min="17" max="17" width="9.54545454545454" style="2" customWidth="1"/>
    <col min="18" max="18" width="6.09090909090909" style="1" customWidth="1"/>
    <col min="19" max="19" width="10.4545454545455" style="1" customWidth="1"/>
    <col min="20" max="20" width="8.45454545454546" style="1" customWidth="1"/>
    <col min="21" max="21" width="8.45454545454546" style="2" customWidth="1"/>
    <col min="22" max="22" width="8.27272727272727" style="3" customWidth="1"/>
    <col min="23" max="25" width="8.27272727272727" style="1" customWidth="1"/>
    <col min="26" max="26" width="10.4545454545455" style="1" customWidth="1"/>
    <col min="27" max="27" width="8.27272727272727" style="1" customWidth="1"/>
    <col min="28" max="28" width="10.4545454545455" style="4" customWidth="1"/>
    <col min="29" max="29" width="9.45454545454546" style="4" customWidth="1"/>
    <col min="30" max="31" width="5.90909090909091" style="1" customWidth="1"/>
    <col min="32" max="32" width="9.54545454545454" style="1" customWidth="1"/>
    <col min="33" max="33" width="5.90909090909091" style="1" customWidth="1"/>
    <col min="34" max="34" width="8" style="1" customWidth="1"/>
    <col min="35" max="35" width="9.54545454545454" style="1" customWidth="1"/>
    <col min="36" max="16384" width="9.69090909090909" style="1"/>
  </cols>
  <sheetData>
    <row r="1" s="1" customFormat="1" ht="14.75" spans="2:35">
      <c r="B1" s="5" t="s">
        <v>0</v>
      </c>
      <c r="C1" s="5" t="s">
        <v>83</v>
      </c>
      <c r="D1" s="6" t="s">
        <v>2</v>
      </c>
      <c r="E1" s="6">
        <v>2</v>
      </c>
      <c r="Q1" s="2"/>
      <c r="U1" s="2"/>
      <c r="V1" s="3"/>
      <c r="AB1" s="4"/>
      <c r="AC1" s="4"/>
    </row>
    <row r="2" s="1" customFormat="1" ht="15" spans="2:35">
      <c r="B2" s="7" t="s">
        <v>84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4</v>
      </c>
      <c r="P2" s="11" t="s">
        <v>5</v>
      </c>
      <c r="Q2" s="12" t="s">
        <v>6</v>
      </c>
      <c r="R2" s="11" t="s">
        <v>7</v>
      </c>
      <c r="S2" s="11" t="s">
        <v>8</v>
      </c>
      <c r="T2" s="13" t="s">
        <v>9</v>
      </c>
      <c r="U2" s="12" t="s">
        <v>10</v>
      </c>
      <c r="V2" s="14" t="s">
        <v>11</v>
      </c>
      <c r="W2" s="11" t="s">
        <v>12</v>
      </c>
      <c r="X2" s="11" t="s">
        <v>13</v>
      </c>
      <c r="Y2" s="11" t="s">
        <v>14</v>
      </c>
      <c r="Z2" s="11" t="s">
        <v>15</v>
      </c>
      <c r="AA2" s="11" t="s">
        <v>16</v>
      </c>
      <c r="AB2" s="15" t="s">
        <v>17</v>
      </c>
      <c r="AC2" s="16" t="s">
        <v>18</v>
      </c>
      <c r="AD2" s="17" t="s">
        <v>85</v>
      </c>
      <c r="AE2" s="17" t="s">
        <v>86</v>
      </c>
      <c r="AF2" s="18" t="s">
        <v>21</v>
      </c>
      <c r="AG2" s="18" t="s">
        <v>22</v>
      </c>
      <c r="AH2" s="19" t="s">
        <v>13</v>
      </c>
      <c r="AI2" s="19" t="s">
        <v>23</v>
      </c>
    </row>
    <row r="3" s="1" customFormat="1" ht="15" spans="2:35">
      <c r="B3" s="20" t="s">
        <v>24</v>
      </c>
      <c r="C3" s="21"/>
      <c r="D3" s="20" t="s">
        <v>10</v>
      </c>
      <c r="E3" s="21"/>
      <c r="F3" s="20" t="s">
        <v>25</v>
      </c>
      <c r="G3" s="21"/>
      <c r="H3" s="20" t="s">
        <v>26</v>
      </c>
      <c r="I3" s="21"/>
      <c r="J3" s="20" t="s">
        <v>12</v>
      </c>
      <c r="K3" s="21"/>
      <c r="L3" s="20" t="s">
        <v>27</v>
      </c>
      <c r="M3" s="21"/>
      <c r="O3" s="22">
        <v>1</v>
      </c>
      <c r="P3" s="23" t="s">
        <v>87</v>
      </c>
      <c r="Q3" s="24">
        <v>5.9643</v>
      </c>
      <c r="R3" s="25" t="s">
        <v>83</v>
      </c>
      <c r="S3" s="26">
        <f t="shared" ref="S3:S18" si="0">$C$4*(1+C$5+C$6+C$7+C$8)+C$9</f>
        <v>2764.592</v>
      </c>
      <c r="T3" s="27">
        <f t="shared" ref="T3:T27" si="1">S3/$C$4-1</f>
        <v>1.699796875</v>
      </c>
      <c r="U3" s="27">
        <f t="shared" ref="U3:U7" si="2">IF(R3=$C$1,SUM($E$4:$E$9),SUM($E$4:$E$8))</f>
        <v>1.912</v>
      </c>
      <c r="V3" s="28">
        <f t="shared" ref="V3:V27" si="3">1+$G$10*($I$10-1+AD3*2.5%+AE3*1%)</f>
        <v>4.0318</v>
      </c>
      <c r="W3" s="29">
        <f t="shared" ref="W3:W7" si="4">IF(R3=$C$1,$K$4+$K$5,$K$4)</f>
        <v>0.7</v>
      </c>
      <c r="X3" s="28">
        <f t="shared" ref="X3:X27" si="5">$AH$4</f>
        <v>0.509274150316286</v>
      </c>
      <c r="Y3" s="25">
        <f t="shared" ref="Y3:Y30" si="6">$AH$11</f>
        <v>0.8</v>
      </c>
      <c r="Z3" s="30">
        <v>0</v>
      </c>
      <c r="AA3" s="30">
        <v>0</v>
      </c>
      <c r="AB3" s="31">
        <v>0</v>
      </c>
      <c r="AC3" s="23">
        <f t="shared" ref="AC3:AC27" si="7">Q3*$C$4*(1+T3)*(1+U3)*V3*(1+W3)*X3*Y3*(1+Z3)*(1+AA3)*(1+AB3)*O3</f>
        <v>134082.290210406</v>
      </c>
      <c r="AD3" s="32">
        <v>24</v>
      </c>
      <c r="AE3" s="32">
        <v>23</v>
      </c>
      <c r="AF3" s="18">
        <v>0</v>
      </c>
      <c r="AG3" s="18">
        <v>0</v>
      </c>
      <c r="AH3" s="19">
        <f t="shared" ref="AH3:AH8" si="8">1520/(1520+(792+8*AI3)*(1-AG3/100))</f>
        <v>0.488431876606684</v>
      </c>
      <c r="AI3" s="33">
        <v>100</v>
      </c>
    </row>
    <row r="4" s="1" customFormat="1" ht="15" spans="2:35">
      <c r="B4" s="34" t="s">
        <v>28</v>
      </c>
      <c r="C4" s="35">
        <f>437+587</f>
        <v>1024</v>
      </c>
      <c r="D4" s="34" t="s">
        <v>29</v>
      </c>
      <c r="E4" s="36">
        <f>E1*30%</f>
        <v>0.6</v>
      </c>
      <c r="F4" s="34" t="s">
        <v>30</v>
      </c>
      <c r="G4" s="37">
        <v>0.13</v>
      </c>
      <c r="H4" s="34" t="s">
        <v>30</v>
      </c>
      <c r="I4" s="37">
        <v>1.5</v>
      </c>
      <c r="J4" s="38" t="s">
        <v>31</v>
      </c>
      <c r="K4" s="39">
        <f>25%+20%</f>
        <v>0.45</v>
      </c>
      <c r="L4" s="34" t="s">
        <v>32</v>
      </c>
      <c r="M4" s="37">
        <f>8.6%*3</f>
        <v>0.258</v>
      </c>
      <c r="O4" s="40">
        <v>1</v>
      </c>
      <c r="P4" s="23" t="s">
        <v>88</v>
      </c>
      <c r="Q4" s="41">
        <f>39.23%+26.15%*2</f>
        <v>0.9153</v>
      </c>
      <c r="R4" s="42" t="s">
        <v>1</v>
      </c>
      <c r="S4" s="43">
        <f t="shared" si="0"/>
        <v>2764.592</v>
      </c>
      <c r="T4" s="44">
        <f t="shared" si="1"/>
        <v>1.699796875</v>
      </c>
      <c r="U4" s="44">
        <f t="shared" si="2"/>
        <v>1.42</v>
      </c>
      <c r="V4" s="28">
        <f t="shared" si="3"/>
        <v>4.0318</v>
      </c>
      <c r="W4" s="45">
        <f t="shared" si="4"/>
        <v>0.45</v>
      </c>
      <c r="X4" s="46">
        <f t="shared" si="5"/>
        <v>0.509274150316286</v>
      </c>
      <c r="Y4" s="42">
        <f t="shared" si="6"/>
        <v>0.8</v>
      </c>
      <c r="Z4" s="47">
        <v>0</v>
      </c>
      <c r="AA4" s="47">
        <v>0</v>
      </c>
      <c r="AB4" s="48">
        <v>0</v>
      </c>
      <c r="AC4" s="23">
        <f t="shared" si="7"/>
        <v>14585.4044966336</v>
      </c>
      <c r="AD4" s="32">
        <v>24</v>
      </c>
      <c r="AE4" s="32">
        <v>23</v>
      </c>
      <c r="AF4" s="18">
        <v>8</v>
      </c>
      <c r="AG4" s="18">
        <v>0</v>
      </c>
      <c r="AH4" s="19">
        <f>1520/(1520+(792+8*AI4)*(1-AG4/100)*(1-AF4/100))</f>
        <v>0.509274150316286</v>
      </c>
      <c r="AI4" s="33">
        <v>100</v>
      </c>
    </row>
    <row r="5" s="1" customFormat="1" ht="15" spans="2:35">
      <c r="B5" s="34" t="s">
        <v>33</v>
      </c>
      <c r="C5" s="37">
        <f>12%+12%</f>
        <v>0.24</v>
      </c>
      <c r="D5" s="34" t="s">
        <v>34</v>
      </c>
      <c r="E5" s="36">
        <f>12%+10%</f>
        <v>0.22</v>
      </c>
      <c r="F5" s="34" t="s">
        <v>35</v>
      </c>
      <c r="G5" s="37">
        <v>0.243</v>
      </c>
      <c r="H5" s="34" t="s">
        <v>35</v>
      </c>
      <c r="I5" s="37">
        <v>0</v>
      </c>
      <c r="J5" s="49" t="s">
        <v>89</v>
      </c>
      <c r="K5" s="36">
        <v>0.25</v>
      </c>
      <c r="L5" s="34" t="s">
        <v>37</v>
      </c>
      <c r="M5" s="37">
        <f>8.6%*2</f>
        <v>0.172</v>
      </c>
      <c r="O5" s="40">
        <v>1</v>
      </c>
      <c r="P5" s="23" t="s">
        <v>168</v>
      </c>
      <c r="Q5" s="41">
        <v>2.1642</v>
      </c>
      <c r="R5" s="42" t="s">
        <v>96</v>
      </c>
      <c r="S5" s="43">
        <f t="shared" si="0"/>
        <v>2764.592</v>
      </c>
      <c r="T5" s="44">
        <f t="shared" si="1"/>
        <v>1.699796875</v>
      </c>
      <c r="U5" s="44">
        <f>IF(R5=$C$1,SUM($E$4:$E$9),SUM($E$4:$E$8))+$E$10</f>
        <v>1.97</v>
      </c>
      <c r="V5" s="28">
        <f t="shared" si="3"/>
        <v>4.11004</v>
      </c>
      <c r="W5" s="45">
        <f>IF(R5=$C$1,$K$4+$K$5,$K$4)+$K$6</f>
        <v>1.57</v>
      </c>
      <c r="X5" s="46">
        <f t="shared" si="5"/>
        <v>0.509274150316286</v>
      </c>
      <c r="Y5" s="42">
        <f t="shared" si="6"/>
        <v>0.8</v>
      </c>
      <c r="Z5" s="47">
        <v>0</v>
      </c>
      <c r="AA5" s="47">
        <v>0</v>
      </c>
      <c r="AB5" s="48">
        <v>0</v>
      </c>
      <c r="AC5" s="23">
        <f t="shared" si="7"/>
        <v>76472.5691251157</v>
      </c>
      <c r="AD5" s="32">
        <v>24</v>
      </c>
      <c r="AE5" s="32">
        <v>31</v>
      </c>
      <c r="AF5" s="18">
        <v>0</v>
      </c>
      <c r="AG5" s="18">
        <v>30</v>
      </c>
      <c r="AH5" s="19">
        <f t="shared" si="8"/>
        <v>0.57698147585788</v>
      </c>
      <c r="AI5" s="33">
        <v>100</v>
      </c>
    </row>
    <row r="6" s="1" customFormat="1" ht="15" spans="2:35">
      <c r="B6" s="34" t="s">
        <v>39</v>
      </c>
      <c r="C6" s="37">
        <f>18%+18%+M4+(2-E1)*30%</f>
        <v>0.618</v>
      </c>
      <c r="D6" s="34" t="s">
        <v>40</v>
      </c>
      <c r="E6" s="36"/>
      <c r="F6" s="34" t="s">
        <v>41</v>
      </c>
      <c r="G6" s="37">
        <v>0.2</v>
      </c>
      <c r="H6" s="34" t="s">
        <v>41</v>
      </c>
      <c r="I6" s="37">
        <v>0</v>
      </c>
      <c r="J6" s="49" t="s">
        <v>91</v>
      </c>
      <c r="K6" s="36">
        <f>32%+80%</f>
        <v>1.12</v>
      </c>
      <c r="L6" s="34" t="s">
        <v>25</v>
      </c>
      <c r="M6" s="37">
        <f>8.1*5%</f>
        <v>0.405</v>
      </c>
      <c r="O6" s="40">
        <v>1</v>
      </c>
      <c r="P6" s="23" t="s">
        <v>90</v>
      </c>
      <c r="Q6" s="41">
        <f>37.88%*4+117.88%*3</f>
        <v>5.0516</v>
      </c>
      <c r="R6" s="42" t="s">
        <v>83</v>
      </c>
      <c r="S6" s="43">
        <f t="shared" si="0"/>
        <v>2764.592</v>
      </c>
      <c r="T6" s="44">
        <f t="shared" si="1"/>
        <v>1.699796875</v>
      </c>
      <c r="U6" s="44">
        <f t="shared" si="2"/>
        <v>1.912</v>
      </c>
      <c r="V6" s="28">
        <f t="shared" si="3"/>
        <v>4.11004</v>
      </c>
      <c r="W6" s="45">
        <f t="shared" si="4"/>
        <v>0.7</v>
      </c>
      <c r="X6" s="46">
        <f t="shared" si="5"/>
        <v>0.509274150316286</v>
      </c>
      <c r="Y6" s="42">
        <f t="shared" si="6"/>
        <v>0.8</v>
      </c>
      <c r="Z6" s="47">
        <v>0.8</v>
      </c>
      <c r="AA6" s="47">
        <v>0</v>
      </c>
      <c r="AB6" s="48">
        <v>0</v>
      </c>
      <c r="AC6" s="23">
        <f t="shared" si="7"/>
        <v>208382.127201648</v>
      </c>
      <c r="AD6" s="32">
        <v>24</v>
      </c>
      <c r="AE6" s="32">
        <v>31</v>
      </c>
      <c r="AF6" s="18">
        <v>0</v>
      </c>
      <c r="AG6" s="18">
        <v>21.6</v>
      </c>
      <c r="AH6" s="19">
        <f t="shared" si="8"/>
        <v>0.549107555719967</v>
      </c>
      <c r="AI6" s="33">
        <v>100</v>
      </c>
    </row>
    <row r="7" s="1" customFormat="1" ht="15" spans="2:35">
      <c r="B7" s="34" t="s">
        <v>43</v>
      </c>
      <c r="C7" s="37"/>
      <c r="D7" s="34" t="s">
        <v>44</v>
      </c>
      <c r="E7" s="36">
        <f>40%</f>
        <v>0.4</v>
      </c>
      <c r="F7" s="34" t="s">
        <v>39</v>
      </c>
      <c r="G7" s="37">
        <f>M6</f>
        <v>0.405</v>
      </c>
      <c r="H7" s="34" t="s">
        <v>39</v>
      </c>
      <c r="I7" s="37">
        <f>M7+44%</f>
        <v>1.25</v>
      </c>
      <c r="J7" s="49"/>
      <c r="K7" s="36"/>
      <c r="L7" s="34" t="s">
        <v>45</v>
      </c>
      <c r="M7" s="36">
        <f>16.2%*5</f>
        <v>0.81</v>
      </c>
      <c r="O7" s="40">
        <v>1</v>
      </c>
      <c r="P7" s="23" t="s">
        <v>83</v>
      </c>
      <c r="Q7" s="41">
        <f>105.97%*2</f>
        <v>2.1194</v>
      </c>
      <c r="R7" s="42" t="s">
        <v>83</v>
      </c>
      <c r="S7" s="43">
        <f t="shared" si="0"/>
        <v>2764.592</v>
      </c>
      <c r="T7" s="44">
        <f t="shared" si="1"/>
        <v>1.699796875</v>
      </c>
      <c r="U7" s="44">
        <f t="shared" si="2"/>
        <v>1.912</v>
      </c>
      <c r="V7" s="28">
        <f t="shared" si="3"/>
        <v>4.11004</v>
      </c>
      <c r="W7" s="45">
        <f t="shared" si="4"/>
        <v>0.7</v>
      </c>
      <c r="X7" s="46">
        <f t="shared" si="5"/>
        <v>0.509274150316286</v>
      </c>
      <c r="Y7" s="42">
        <f t="shared" si="6"/>
        <v>0.8</v>
      </c>
      <c r="Z7" s="47">
        <v>0</v>
      </c>
      <c r="AA7" s="47">
        <v>0</v>
      </c>
      <c r="AB7" s="48">
        <v>0</v>
      </c>
      <c r="AC7" s="23">
        <f t="shared" si="7"/>
        <v>48570.4287740708</v>
      </c>
      <c r="AD7" s="32">
        <v>24</v>
      </c>
      <c r="AE7" s="32">
        <v>31</v>
      </c>
      <c r="AF7" s="18">
        <v>0</v>
      </c>
      <c r="AG7" s="18">
        <v>28.8</v>
      </c>
      <c r="AH7" s="19">
        <f t="shared" si="8"/>
        <v>0.572827476423627</v>
      </c>
      <c r="AI7" s="33">
        <v>100</v>
      </c>
    </row>
    <row r="8" s="1" customFormat="1" ht="15" spans="2:35">
      <c r="B8" s="34" t="s">
        <v>46</v>
      </c>
      <c r="C8" s="37">
        <f>25%+25%</f>
        <v>0.5</v>
      </c>
      <c r="D8" s="34" t="s">
        <v>47</v>
      </c>
      <c r="E8" s="50">
        <v>0.2</v>
      </c>
      <c r="F8" s="34" t="s">
        <v>48</v>
      </c>
      <c r="G8" s="37">
        <v>0</v>
      </c>
      <c r="H8" s="34" t="s">
        <v>48</v>
      </c>
      <c r="I8" s="37">
        <v>0</v>
      </c>
      <c r="J8" s="49"/>
      <c r="K8" s="36"/>
      <c r="L8" s="34"/>
      <c r="M8" s="35"/>
      <c r="O8" s="40">
        <v>1</v>
      </c>
      <c r="P8" s="23" t="s">
        <v>168</v>
      </c>
      <c r="Q8" s="41">
        <v>2.1642</v>
      </c>
      <c r="R8" s="42" t="s">
        <v>96</v>
      </c>
      <c r="S8" s="43">
        <f t="shared" si="0"/>
        <v>2764.592</v>
      </c>
      <c r="T8" s="44">
        <f t="shared" si="1"/>
        <v>1.699796875</v>
      </c>
      <c r="U8" s="44">
        <f>IF(R8=$C$1,SUM($E$4:$E$9),SUM($E$4:$E$8))+$E$10</f>
        <v>1.97</v>
      </c>
      <c r="V8" s="28">
        <f t="shared" si="3"/>
        <v>4.18828</v>
      </c>
      <c r="W8" s="45">
        <f>IF(R8=$C$1,$K$4+$K$5,$K$4)+$K$6</f>
        <v>1.57</v>
      </c>
      <c r="X8" s="46">
        <f t="shared" si="5"/>
        <v>0.509274150316286</v>
      </c>
      <c r="Y8" s="42">
        <f t="shared" si="6"/>
        <v>0.8</v>
      </c>
      <c r="Z8" s="47">
        <v>0</v>
      </c>
      <c r="AA8" s="47">
        <v>0</v>
      </c>
      <c r="AB8" s="48">
        <v>0</v>
      </c>
      <c r="AC8" s="23">
        <f t="shared" si="7"/>
        <v>77928.3247402311</v>
      </c>
      <c r="AD8" s="32">
        <v>24</v>
      </c>
      <c r="AE8" s="32">
        <v>39</v>
      </c>
      <c r="AF8" s="18">
        <v>0</v>
      </c>
      <c r="AG8" s="18">
        <v>36</v>
      </c>
      <c r="AH8" s="19">
        <f t="shared" si="8"/>
        <v>0.598689185782707</v>
      </c>
      <c r="AI8" s="33">
        <v>100</v>
      </c>
    </row>
    <row r="9" s="1" customFormat="1" ht="15" spans="2:35">
      <c r="B9" s="34" t="s">
        <v>49</v>
      </c>
      <c r="C9" s="35">
        <v>350</v>
      </c>
      <c r="D9" s="34" t="s">
        <v>93</v>
      </c>
      <c r="E9" s="36">
        <f>32%+M5</f>
        <v>0.492</v>
      </c>
      <c r="F9" s="34" t="s">
        <v>51</v>
      </c>
      <c r="G9" s="37"/>
      <c r="H9" s="34" t="s">
        <v>51</v>
      </c>
      <c r="I9" s="37">
        <v>0.52</v>
      </c>
      <c r="J9" s="49"/>
      <c r="K9" s="36"/>
      <c r="L9" s="34"/>
      <c r="M9" s="35"/>
      <c r="O9" s="40">
        <v>1</v>
      </c>
      <c r="P9" s="23" t="s">
        <v>90</v>
      </c>
      <c r="Q9" s="41">
        <f>37.88%*4+117.88%*3</f>
        <v>5.0516</v>
      </c>
      <c r="R9" s="42" t="s">
        <v>83</v>
      </c>
      <c r="S9" s="43">
        <f t="shared" si="0"/>
        <v>2764.592</v>
      </c>
      <c r="T9" s="44">
        <f t="shared" si="1"/>
        <v>1.699796875</v>
      </c>
      <c r="U9" s="44">
        <f t="shared" ref="U9:U13" si="9">IF(R9=$C$1,SUM($E$4:$E$9),SUM($E$4:$E$8))</f>
        <v>1.912</v>
      </c>
      <c r="V9" s="28">
        <f t="shared" si="3"/>
        <v>4.18828</v>
      </c>
      <c r="W9" s="45">
        <f t="shared" ref="W9:W13" si="10">IF(R9=$C$1,$K$4+$K$5,$K$4)</f>
        <v>0.7</v>
      </c>
      <c r="X9" s="46">
        <f t="shared" si="5"/>
        <v>0.509274150316286</v>
      </c>
      <c r="Y9" s="42">
        <f t="shared" si="6"/>
        <v>0.8</v>
      </c>
      <c r="Z9" s="47">
        <v>0.8</v>
      </c>
      <c r="AA9" s="47">
        <v>0</v>
      </c>
      <c r="AB9" s="48">
        <v>0</v>
      </c>
      <c r="AC9" s="23">
        <f t="shared" si="7"/>
        <v>212348.954199015</v>
      </c>
      <c r="AD9" s="32">
        <v>24</v>
      </c>
      <c r="AE9" s="32">
        <v>39</v>
      </c>
    </row>
    <row r="10" s="1" customFormat="1" ht="15" spans="2:35">
      <c r="B10" s="51" t="s">
        <v>52</v>
      </c>
      <c r="C10" s="52"/>
      <c r="D10" s="51" t="s">
        <v>94</v>
      </c>
      <c r="E10" s="53">
        <f>20%+35%</f>
        <v>0.55</v>
      </c>
      <c r="F10" s="54" t="s">
        <v>53</v>
      </c>
      <c r="G10" s="55">
        <f>MIN(100%,SUM(G4:G9))</f>
        <v>0.978</v>
      </c>
      <c r="H10" s="54" t="s">
        <v>54</v>
      </c>
      <c r="I10" s="55">
        <f>SUM(I4:I9)</f>
        <v>3.27</v>
      </c>
      <c r="J10" s="56"/>
      <c r="K10" s="53"/>
      <c r="L10" s="51"/>
      <c r="M10" s="52"/>
      <c r="O10" s="40">
        <v>1</v>
      </c>
      <c r="P10" s="23" t="s">
        <v>92</v>
      </c>
      <c r="Q10" s="41">
        <f>53.45%*2+95.43%+39.23%+26.15%*2</f>
        <v>2.9386</v>
      </c>
      <c r="R10" s="42" t="s">
        <v>1</v>
      </c>
      <c r="S10" s="43">
        <f t="shared" si="0"/>
        <v>2764.592</v>
      </c>
      <c r="T10" s="44">
        <f t="shared" si="1"/>
        <v>1.699796875</v>
      </c>
      <c r="U10" s="44">
        <f t="shared" si="9"/>
        <v>1.42</v>
      </c>
      <c r="V10" s="28">
        <f t="shared" si="3"/>
        <v>4.18828</v>
      </c>
      <c r="W10" s="45">
        <f t="shared" si="10"/>
        <v>0.45</v>
      </c>
      <c r="X10" s="46">
        <f t="shared" si="5"/>
        <v>0.509274150316286</v>
      </c>
      <c r="Y10" s="42">
        <f t="shared" si="6"/>
        <v>0.8</v>
      </c>
      <c r="Z10" s="47">
        <v>0</v>
      </c>
      <c r="AA10" s="47">
        <v>0</v>
      </c>
      <c r="AB10" s="48">
        <v>0</v>
      </c>
      <c r="AC10" s="23">
        <f t="shared" si="7"/>
        <v>48644.3290149141</v>
      </c>
      <c r="AD10" s="32">
        <v>24</v>
      </c>
      <c r="AE10" s="32">
        <v>39</v>
      </c>
    </row>
    <row r="11" s="1" customFormat="1" ht="15" spans="2:35">
      <c r="B11" s="57"/>
      <c r="C11" s="57"/>
      <c r="E11" s="58"/>
      <c r="F11" s="20" t="s">
        <v>55</v>
      </c>
      <c r="G11" s="59">
        <f>MAX(0,SUM(G4:G9)-1)</f>
        <v>0</v>
      </c>
      <c r="J11" s="2"/>
      <c r="K11" s="2"/>
      <c r="O11" s="40">
        <v>1</v>
      </c>
      <c r="P11" s="23" t="s">
        <v>168</v>
      </c>
      <c r="Q11" s="41">
        <v>2.1642</v>
      </c>
      <c r="R11" s="42" t="s">
        <v>96</v>
      </c>
      <c r="S11" s="43">
        <f t="shared" si="0"/>
        <v>2764.592</v>
      </c>
      <c r="T11" s="44">
        <f t="shared" si="1"/>
        <v>1.699796875</v>
      </c>
      <c r="U11" s="44">
        <f t="shared" ref="U11:U15" si="11">IF(R11=$C$1,SUM($E$4:$E$9),SUM($E$4:$E$8))+$E$10</f>
        <v>1.97</v>
      </c>
      <c r="V11" s="28">
        <f t="shared" si="3"/>
        <v>4.26652</v>
      </c>
      <c r="W11" s="45">
        <f t="shared" ref="W11:W15" si="12">IF(R11=$C$1,$K$4+$K$5,$K$4)+$K$6</f>
        <v>1.57</v>
      </c>
      <c r="X11" s="46">
        <f t="shared" si="5"/>
        <v>0.509274150316286</v>
      </c>
      <c r="Y11" s="42">
        <f t="shared" si="6"/>
        <v>0.8</v>
      </c>
      <c r="Z11" s="47">
        <v>0</v>
      </c>
      <c r="AA11" s="47">
        <v>0</v>
      </c>
      <c r="AB11" s="48">
        <v>0</v>
      </c>
      <c r="AC11" s="23">
        <f t="shared" si="7"/>
        <v>79384.0803553465</v>
      </c>
      <c r="AD11" s="32">
        <v>24</v>
      </c>
      <c r="AE11" s="32">
        <v>47</v>
      </c>
      <c r="AG11" s="60" t="s">
        <v>97</v>
      </c>
      <c r="AH11" s="60">
        <v>0.8</v>
      </c>
    </row>
    <row r="12" s="1" customFormat="1" ht="15" spans="2:35">
      <c r="B12" s="57"/>
      <c r="C12" s="57"/>
      <c r="E12" s="58"/>
      <c r="G12" s="61"/>
      <c r="J12" s="2"/>
      <c r="K12" s="2"/>
      <c r="O12" s="40">
        <v>1</v>
      </c>
      <c r="P12" s="23" t="s">
        <v>90</v>
      </c>
      <c r="Q12" s="41">
        <f>37.88%*4+117.88%*3</f>
        <v>5.0516</v>
      </c>
      <c r="R12" s="42" t="s">
        <v>83</v>
      </c>
      <c r="S12" s="43">
        <f t="shared" si="0"/>
        <v>2764.592</v>
      </c>
      <c r="T12" s="44">
        <f t="shared" si="1"/>
        <v>1.699796875</v>
      </c>
      <c r="U12" s="44">
        <f t="shared" si="9"/>
        <v>1.912</v>
      </c>
      <c r="V12" s="28">
        <f t="shared" si="3"/>
        <v>4.26652</v>
      </c>
      <c r="W12" s="45">
        <f t="shared" si="10"/>
        <v>0.7</v>
      </c>
      <c r="X12" s="46">
        <f t="shared" si="5"/>
        <v>0.509274150316286</v>
      </c>
      <c r="Y12" s="42">
        <f t="shared" si="6"/>
        <v>0.8</v>
      </c>
      <c r="Z12" s="47">
        <v>0.8</v>
      </c>
      <c r="AA12" s="47">
        <v>0</v>
      </c>
      <c r="AB12" s="48">
        <v>0</v>
      </c>
      <c r="AC12" s="23">
        <f t="shared" si="7"/>
        <v>216315.781196382</v>
      </c>
      <c r="AD12" s="32">
        <v>24</v>
      </c>
      <c r="AE12" s="32">
        <v>47</v>
      </c>
      <c r="AG12" s="62" t="s">
        <v>98</v>
      </c>
      <c r="AH12" s="62">
        <v>0.8</v>
      </c>
    </row>
    <row r="13" s="1" customFormat="1" ht="15" spans="2:35">
      <c r="B13" s="5" t="s">
        <v>0</v>
      </c>
      <c r="C13" s="5" t="s">
        <v>1</v>
      </c>
      <c r="D13" s="6" t="s">
        <v>2</v>
      </c>
      <c r="E13" s="6">
        <v>2</v>
      </c>
      <c r="O13" s="40">
        <v>1</v>
      </c>
      <c r="P13" s="23" t="s">
        <v>92</v>
      </c>
      <c r="Q13" s="41">
        <f>53.45%*2+95.43%+39.23%+26.15%*2</f>
        <v>2.9386</v>
      </c>
      <c r="R13" s="42" t="s">
        <v>1</v>
      </c>
      <c r="S13" s="43">
        <f t="shared" si="0"/>
        <v>2764.592</v>
      </c>
      <c r="T13" s="44">
        <f t="shared" si="1"/>
        <v>1.699796875</v>
      </c>
      <c r="U13" s="44">
        <f t="shared" si="9"/>
        <v>1.42</v>
      </c>
      <c r="V13" s="28">
        <f t="shared" si="3"/>
        <v>4.26652</v>
      </c>
      <c r="W13" s="45">
        <f t="shared" si="10"/>
        <v>0.45</v>
      </c>
      <c r="X13" s="46">
        <f t="shared" si="5"/>
        <v>0.509274150316286</v>
      </c>
      <c r="Y13" s="42">
        <f t="shared" si="6"/>
        <v>0.8</v>
      </c>
      <c r="Z13" s="47">
        <v>0</v>
      </c>
      <c r="AA13" s="47">
        <v>0</v>
      </c>
      <c r="AB13" s="48">
        <v>0</v>
      </c>
      <c r="AC13" s="23">
        <f t="shared" si="7"/>
        <v>49553.0391064378</v>
      </c>
      <c r="AD13" s="32">
        <v>24</v>
      </c>
      <c r="AE13" s="32">
        <v>47</v>
      </c>
      <c r="AG13" s="1" t="s">
        <v>63</v>
      </c>
      <c r="AH13" s="1">
        <v>0.8</v>
      </c>
    </row>
    <row r="14" s="1" customFormat="1" ht="15" spans="2:35">
      <c r="B14" s="63" t="s">
        <v>100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O14" s="40">
        <v>1</v>
      </c>
      <c r="P14" s="23" t="s">
        <v>95</v>
      </c>
      <c r="Q14" s="41">
        <f>152.39%*3</f>
        <v>4.5717</v>
      </c>
      <c r="R14" s="42" t="s">
        <v>96</v>
      </c>
      <c r="S14" s="43">
        <f t="shared" si="0"/>
        <v>2764.592</v>
      </c>
      <c r="T14" s="44">
        <f t="shared" si="1"/>
        <v>1.699796875</v>
      </c>
      <c r="U14" s="44">
        <f t="shared" si="11"/>
        <v>1.97</v>
      </c>
      <c r="V14" s="28">
        <f t="shared" si="3"/>
        <v>4.26652</v>
      </c>
      <c r="W14" s="45">
        <f t="shared" si="12"/>
        <v>1.57</v>
      </c>
      <c r="X14" s="46">
        <f t="shared" si="5"/>
        <v>0.509274150316286</v>
      </c>
      <c r="Y14" s="42">
        <f t="shared" si="6"/>
        <v>0.8</v>
      </c>
      <c r="Z14" s="47">
        <v>0</v>
      </c>
      <c r="AA14" s="47">
        <v>0</v>
      </c>
      <c r="AB14" s="48">
        <v>0</v>
      </c>
      <c r="AC14" s="23">
        <f t="shared" si="7"/>
        <v>167692.542353081</v>
      </c>
      <c r="AD14" s="32">
        <v>24</v>
      </c>
      <c r="AE14" s="32">
        <v>47</v>
      </c>
      <c r="AG14" s="64" t="s">
        <v>137</v>
      </c>
      <c r="AH14" s="64">
        <v>0.8</v>
      </c>
    </row>
    <row r="15" s="1" customFormat="1" ht="15" spans="2:35">
      <c r="B15" s="65" t="s">
        <v>24</v>
      </c>
      <c r="C15" s="65"/>
      <c r="D15" s="65" t="s">
        <v>10</v>
      </c>
      <c r="E15" s="65"/>
      <c r="F15" s="65" t="s">
        <v>25</v>
      </c>
      <c r="G15" s="65"/>
      <c r="H15" s="65" t="s">
        <v>26</v>
      </c>
      <c r="I15" s="65"/>
      <c r="J15" s="65" t="s">
        <v>12</v>
      </c>
      <c r="K15" s="65"/>
      <c r="L15" s="65" t="s">
        <v>27</v>
      </c>
      <c r="M15" s="65"/>
      <c r="O15" s="40">
        <v>1</v>
      </c>
      <c r="P15" s="23" t="s">
        <v>168</v>
      </c>
      <c r="Q15" s="41">
        <v>2.1642</v>
      </c>
      <c r="R15" s="42" t="s">
        <v>96</v>
      </c>
      <c r="S15" s="43">
        <f t="shared" si="0"/>
        <v>2764.592</v>
      </c>
      <c r="T15" s="44">
        <f t="shared" si="1"/>
        <v>1.699796875</v>
      </c>
      <c r="U15" s="44">
        <f t="shared" si="11"/>
        <v>1.97</v>
      </c>
      <c r="V15" s="28">
        <f t="shared" si="3"/>
        <v>4.34476</v>
      </c>
      <c r="W15" s="45">
        <f t="shared" si="12"/>
        <v>1.57</v>
      </c>
      <c r="X15" s="46">
        <f t="shared" si="5"/>
        <v>0.509274150316286</v>
      </c>
      <c r="Y15" s="42">
        <f t="shared" si="6"/>
        <v>0.8</v>
      </c>
      <c r="Z15" s="47">
        <v>0</v>
      </c>
      <c r="AA15" s="47">
        <v>0</v>
      </c>
      <c r="AB15" s="48">
        <v>0</v>
      </c>
      <c r="AC15" s="23">
        <f t="shared" si="7"/>
        <v>80839.835970462</v>
      </c>
      <c r="AD15" s="32">
        <v>24</v>
      </c>
      <c r="AE15" s="32">
        <v>55</v>
      </c>
    </row>
    <row r="16" s="1" customFormat="1" ht="15" spans="2:35">
      <c r="B16" s="66" t="s">
        <v>28</v>
      </c>
      <c r="C16" s="67">
        <f>400+500</f>
        <v>900</v>
      </c>
      <c r="D16" s="66" t="s">
        <v>29</v>
      </c>
      <c r="E16" s="39">
        <f>E13*30%</f>
        <v>0.6</v>
      </c>
      <c r="F16" s="66" t="s">
        <v>30</v>
      </c>
      <c r="G16" s="68">
        <v>0.13</v>
      </c>
      <c r="H16" s="66" t="s">
        <v>30</v>
      </c>
      <c r="I16" s="68">
        <v>1.5</v>
      </c>
      <c r="J16" s="38" t="s">
        <v>31</v>
      </c>
      <c r="K16" s="39">
        <v>0.25</v>
      </c>
      <c r="L16" s="66" t="s">
        <v>32</v>
      </c>
      <c r="M16" s="68">
        <v>0.086</v>
      </c>
      <c r="O16" s="40">
        <v>1</v>
      </c>
      <c r="P16" s="23" t="s">
        <v>90</v>
      </c>
      <c r="Q16" s="41">
        <f>37.88%*4+117.88%*3</f>
        <v>5.0516</v>
      </c>
      <c r="R16" s="42" t="s">
        <v>83</v>
      </c>
      <c r="S16" s="43">
        <f t="shared" si="0"/>
        <v>2764.592</v>
      </c>
      <c r="T16" s="44">
        <f t="shared" si="1"/>
        <v>1.699796875</v>
      </c>
      <c r="U16" s="44">
        <f t="shared" ref="U16:U18" si="13">IF(R16=$C$1,SUM($E$4:$E$9),SUM($E$4:$E$8))</f>
        <v>1.912</v>
      </c>
      <c r="V16" s="28">
        <f t="shared" si="3"/>
        <v>4.34476</v>
      </c>
      <c r="W16" s="45">
        <f t="shared" ref="W16:W18" si="14">IF(R16=$C$1,$K$4+$K$5,$K$4)</f>
        <v>0.7</v>
      </c>
      <c r="X16" s="46">
        <f t="shared" si="5"/>
        <v>0.509274150316286</v>
      </c>
      <c r="Y16" s="42">
        <f t="shared" si="6"/>
        <v>0.8</v>
      </c>
      <c r="Z16" s="47">
        <v>0.8</v>
      </c>
      <c r="AA16" s="47">
        <v>0</v>
      </c>
      <c r="AB16" s="48">
        <v>0</v>
      </c>
      <c r="AC16" s="23">
        <f t="shared" si="7"/>
        <v>220282.608193748</v>
      </c>
      <c r="AD16" s="32">
        <v>24</v>
      </c>
      <c r="AE16" s="32">
        <v>55</v>
      </c>
    </row>
    <row r="17" s="1" customFormat="1" ht="15" spans="1:31">
      <c r="B17" s="34" t="s">
        <v>33</v>
      </c>
      <c r="C17" s="36">
        <f>12%+53.9%</f>
        <v>0.659</v>
      </c>
      <c r="D17" s="34" t="s">
        <v>34</v>
      </c>
      <c r="E17" s="36"/>
      <c r="F17" s="34" t="s">
        <v>35</v>
      </c>
      <c r="G17" s="37"/>
      <c r="H17" s="34" t="s">
        <v>35</v>
      </c>
      <c r="I17" s="37"/>
      <c r="J17" s="49" t="s">
        <v>36</v>
      </c>
      <c r="K17" s="36"/>
      <c r="L17" s="34" t="s">
        <v>104</v>
      </c>
      <c r="M17" s="37">
        <f>2*8.6%</f>
        <v>0.172</v>
      </c>
      <c r="O17" s="40">
        <v>1</v>
      </c>
      <c r="P17" s="23" t="s">
        <v>99</v>
      </c>
      <c r="Q17" s="41">
        <f>33.01%*2+12.38%*8+495.1%</f>
        <v>6.6016</v>
      </c>
      <c r="R17" s="42" t="s">
        <v>83</v>
      </c>
      <c r="S17" s="43">
        <f t="shared" si="0"/>
        <v>2764.592</v>
      </c>
      <c r="T17" s="44">
        <f t="shared" si="1"/>
        <v>1.699796875</v>
      </c>
      <c r="U17" s="44">
        <f t="shared" si="13"/>
        <v>1.912</v>
      </c>
      <c r="V17" s="28">
        <f t="shared" si="3"/>
        <v>4.48168</v>
      </c>
      <c r="W17" s="45">
        <f t="shared" si="14"/>
        <v>0.7</v>
      </c>
      <c r="X17" s="46">
        <f t="shared" si="5"/>
        <v>0.509274150316286</v>
      </c>
      <c r="Y17" s="42">
        <f t="shared" si="6"/>
        <v>0.8</v>
      </c>
      <c r="Z17" s="47">
        <v>0.75</v>
      </c>
      <c r="AA17" s="47">
        <v>0</v>
      </c>
      <c r="AB17" s="48">
        <v>0</v>
      </c>
      <c r="AC17" s="23">
        <f t="shared" si="7"/>
        <v>288696.193513749</v>
      </c>
      <c r="AD17" s="32">
        <v>24</v>
      </c>
      <c r="AE17" s="32">
        <v>69</v>
      </c>
    </row>
    <row r="18" s="1" customFormat="1" ht="15" spans="1:31">
      <c r="B18" s="34" t="s">
        <v>39</v>
      </c>
      <c r="C18" s="36">
        <f>18%+18%+M16+(2-E13)*30%</f>
        <v>0.446</v>
      </c>
      <c r="D18" s="34" t="s">
        <v>40</v>
      </c>
      <c r="E18" s="36">
        <v>0.12</v>
      </c>
      <c r="F18" s="34" t="s">
        <v>176</v>
      </c>
      <c r="G18" s="37">
        <v>0.22</v>
      </c>
      <c r="H18" s="34" t="s">
        <v>41</v>
      </c>
      <c r="I18" s="37">
        <v>0</v>
      </c>
      <c r="J18" s="49"/>
      <c r="K18" s="37"/>
      <c r="L18" s="34" t="s">
        <v>25</v>
      </c>
      <c r="M18" s="37">
        <f>8.1*5%</f>
        <v>0.405</v>
      </c>
      <c r="O18" s="40">
        <v>1</v>
      </c>
      <c r="P18" s="23" t="s">
        <v>101</v>
      </c>
      <c r="Q18" s="41">
        <f>82.55%*AD18</f>
        <v>19.812</v>
      </c>
      <c r="R18" s="42" t="s">
        <v>83</v>
      </c>
      <c r="S18" s="43">
        <f t="shared" si="0"/>
        <v>2764.592</v>
      </c>
      <c r="T18" s="44">
        <f t="shared" si="1"/>
        <v>1.699796875</v>
      </c>
      <c r="U18" s="44">
        <f t="shared" si="13"/>
        <v>1.912</v>
      </c>
      <c r="V18" s="28">
        <f t="shared" si="3"/>
        <v>4.48168</v>
      </c>
      <c r="W18" s="45">
        <f t="shared" si="14"/>
        <v>0.7</v>
      </c>
      <c r="X18" s="46">
        <f t="shared" si="5"/>
        <v>0.509274150316286</v>
      </c>
      <c r="Y18" s="42">
        <f t="shared" si="6"/>
        <v>0.8</v>
      </c>
      <c r="Z18" s="47">
        <v>0.75</v>
      </c>
      <c r="AA18" s="47">
        <v>0</v>
      </c>
      <c r="AB18" s="48">
        <v>0</v>
      </c>
      <c r="AC18" s="23">
        <f t="shared" si="7"/>
        <v>866403.445512359</v>
      </c>
      <c r="AD18" s="32">
        <v>24</v>
      </c>
      <c r="AE18" s="32">
        <v>69</v>
      </c>
    </row>
    <row r="19" s="1" customFormat="1" ht="15" spans="1:31">
      <c r="B19" s="34" t="s">
        <v>43</v>
      </c>
      <c r="C19" s="69"/>
      <c r="D19" s="34" t="s">
        <v>44</v>
      </c>
      <c r="E19" s="36">
        <v>0.4</v>
      </c>
      <c r="F19" s="34" t="s">
        <v>39</v>
      </c>
      <c r="G19" s="37">
        <f>M18</f>
        <v>0.405</v>
      </c>
      <c r="H19" s="34" t="s">
        <v>39</v>
      </c>
      <c r="I19" s="37">
        <f>M19</f>
        <v>0.81</v>
      </c>
      <c r="J19" s="49"/>
      <c r="K19" s="37"/>
      <c r="L19" s="34" t="s">
        <v>45</v>
      </c>
      <c r="M19" s="36">
        <f>16.2%*5</f>
        <v>0.81</v>
      </c>
      <c r="O19" s="40">
        <v>1</v>
      </c>
      <c r="P19" s="23" t="s">
        <v>102</v>
      </c>
      <c r="Q19" s="41">
        <f t="shared" ref="Q19:Q26" si="15">104.38%+243.55%</f>
        <v>3.4793</v>
      </c>
      <c r="R19" s="42" t="s">
        <v>96</v>
      </c>
      <c r="S19" s="43">
        <f t="shared" ref="S19:S27" si="16">$C$4*(1+C$5+C$6+C$7+C$8+120%)+C$9</f>
        <v>3993.392</v>
      </c>
      <c r="T19" s="44">
        <f t="shared" si="1"/>
        <v>2.899796875</v>
      </c>
      <c r="U19" s="44">
        <f t="shared" ref="U19:U27" si="17">IF(R19=$C$1,SUM($E$4:$E$9),SUM($E$4:$E$8))+$E$10</f>
        <v>1.97</v>
      </c>
      <c r="V19" s="28">
        <f t="shared" si="3"/>
        <v>4.48168</v>
      </c>
      <c r="W19" s="45">
        <f t="shared" ref="W19:W27" si="18">IF(R19=$C$1,$K$4+$K$5,$K$4)+$K$6-20%</f>
        <v>1.37</v>
      </c>
      <c r="X19" s="46">
        <f t="shared" si="5"/>
        <v>0.509274150316286</v>
      </c>
      <c r="Y19" s="42">
        <f t="shared" si="6"/>
        <v>0.8</v>
      </c>
      <c r="Z19" s="47">
        <v>0.24</v>
      </c>
      <c r="AA19" s="47">
        <v>0</v>
      </c>
      <c r="AB19" s="48">
        <v>0.4</v>
      </c>
      <c r="AC19" s="23">
        <f t="shared" si="7"/>
        <v>310006.500467836</v>
      </c>
      <c r="AD19" s="32">
        <v>24</v>
      </c>
      <c r="AE19" s="32">
        <v>69</v>
      </c>
    </row>
    <row r="20" s="1" customFormat="1" ht="15" spans="1:31">
      <c r="B20" s="34" t="s">
        <v>46</v>
      </c>
      <c r="C20" s="69">
        <f>25%+25%</f>
        <v>0.5</v>
      </c>
      <c r="D20" s="34" t="s">
        <v>47</v>
      </c>
      <c r="E20" s="50">
        <v>0.2</v>
      </c>
      <c r="F20" s="34" t="s">
        <v>48</v>
      </c>
      <c r="G20" s="37">
        <v>0</v>
      </c>
      <c r="H20" s="34" t="s">
        <v>48</v>
      </c>
      <c r="I20" s="37">
        <v>0</v>
      </c>
      <c r="J20" s="49"/>
      <c r="K20" s="37"/>
      <c r="L20" s="34"/>
      <c r="M20" s="35"/>
      <c r="O20" s="40">
        <v>1</v>
      </c>
      <c r="P20" s="23" t="s">
        <v>103</v>
      </c>
      <c r="Q20" s="41">
        <f t="shared" si="15"/>
        <v>3.4793</v>
      </c>
      <c r="R20" s="42" t="s">
        <v>96</v>
      </c>
      <c r="S20" s="43">
        <f t="shared" si="16"/>
        <v>3993.392</v>
      </c>
      <c r="T20" s="44">
        <f t="shared" si="1"/>
        <v>2.899796875</v>
      </c>
      <c r="U20" s="44">
        <f t="shared" si="17"/>
        <v>1.97</v>
      </c>
      <c r="V20" s="28">
        <f t="shared" si="3"/>
        <v>4.49146</v>
      </c>
      <c r="W20" s="45">
        <f t="shared" si="18"/>
        <v>1.37</v>
      </c>
      <c r="X20" s="46">
        <f t="shared" si="5"/>
        <v>0.509274150316286</v>
      </c>
      <c r="Y20" s="42">
        <f t="shared" si="6"/>
        <v>0.8</v>
      </c>
      <c r="Z20" s="47">
        <v>0.24</v>
      </c>
      <c r="AA20" s="47">
        <v>0</v>
      </c>
      <c r="AB20" s="48">
        <v>0.4</v>
      </c>
      <c r="AC20" s="23">
        <f t="shared" si="7"/>
        <v>310683.002041927</v>
      </c>
      <c r="AD20" s="32">
        <v>24</v>
      </c>
      <c r="AE20" s="32">
        <v>70</v>
      </c>
    </row>
    <row r="21" s="1" customFormat="1" ht="15" spans="1:31">
      <c r="B21" s="34" t="s">
        <v>49</v>
      </c>
      <c r="C21" s="35">
        <v>350</v>
      </c>
      <c r="D21" s="34" t="s">
        <v>107</v>
      </c>
      <c r="E21" s="36">
        <f>M17+16%</f>
        <v>0.332</v>
      </c>
      <c r="F21" s="34" t="s">
        <v>51</v>
      </c>
      <c r="G21" s="37"/>
      <c r="H21" s="34" t="s">
        <v>51</v>
      </c>
      <c r="I21" s="37">
        <v>0.52</v>
      </c>
      <c r="J21" s="49"/>
      <c r="K21" s="37"/>
      <c r="L21" s="34"/>
      <c r="M21" s="35"/>
      <c r="O21" s="40">
        <v>1</v>
      </c>
      <c r="P21" s="23" t="s">
        <v>103</v>
      </c>
      <c r="Q21" s="41">
        <f>99.16%+231.37%</f>
        <v>3.3053</v>
      </c>
      <c r="R21" s="42" t="s">
        <v>96</v>
      </c>
      <c r="S21" s="43">
        <f t="shared" si="16"/>
        <v>3993.392</v>
      </c>
      <c r="T21" s="44">
        <f t="shared" si="1"/>
        <v>2.899796875</v>
      </c>
      <c r="U21" s="44">
        <f t="shared" si="17"/>
        <v>1.97</v>
      </c>
      <c r="V21" s="28">
        <f t="shared" si="3"/>
        <v>4.50124</v>
      </c>
      <c r="W21" s="45">
        <f t="shared" si="18"/>
        <v>1.37</v>
      </c>
      <c r="X21" s="46">
        <f t="shared" si="5"/>
        <v>0.509274150316286</v>
      </c>
      <c r="Y21" s="42">
        <f t="shared" si="6"/>
        <v>0.8</v>
      </c>
      <c r="Z21" s="47">
        <v>0.24</v>
      </c>
      <c r="AA21" s="47">
        <v>0</v>
      </c>
      <c r="AB21" s="70">
        <v>0.4</v>
      </c>
      <c r="AC21" s="23">
        <f t="shared" si="7"/>
        <v>295788.396315934</v>
      </c>
      <c r="AD21" s="32">
        <v>24</v>
      </c>
      <c r="AE21" s="32">
        <v>71</v>
      </c>
    </row>
    <row r="22" s="1" customFormat="1" ht="15" spans="1:31">
      <c r="B22" s="51" t="s">
        <v>52</v>
      </c>
      <c r="C22" s="52"/>
      <c r="D22" s="51"/>
      <c r="E22" s="53"/>
      <c r="F22" s="54" t="s">
        <v>53</v>
      </c>
      <c r="G22" s="55">
        <f>MIN(100%,SUM(G16:G21))</f>
        <v>0.755</v>
      </c>
      <c r="H22" s="54" t="s">
        <v>54</v>
      </c>
      <c r="I22" s="55">
        <f>SUM(I16:I21)</f>
        <v>2.83</v>
      </c>
      <c r="J22" s="56"/>
      <c r="K22" s="71"/>
      <c r="L22" s="51"/>
      <c r="M22" s="52"/>
      <c r="O22" s="40">
        <v>1</v>
      </c>
      <c r="P22" s="23" t="s">
        <v>138</v>
      </c>
      <c r="Q22" s="41">
        <f>99.16%+231.37%</f>
        <v>3.3053</v>
      </c>
      <c r="R22" s="42" t="s">
        <v>96</v>
      </c>
      <c r="S22" s="43">
        <f t="shared" si="16"/>
        <v>3993.392</v>
      </c>
      <c r="T22" s="44">
        <f t="shared" si="1"/>
        <v>2.899796875</v>
      </c>
      <c r="U22" s="44">
        <f t="shared" si="17"/>
        <v>1.97</v>
      </c>
      <c r="V22" s="28">
        <f t="shared" si="3"/>
        <v>4.51102</v>
      </c>
      <c r="W22" s="45">
        <f t="shared" si="18"/>
        <v>1.37</v>
      </c>
      <c r="X22" s="46">
        <f t="shared" si="5"/>
        <v>0.509274150316286</v>
      </c>
      <c r="Y22" s="42">
        <f t="shared" si="6"/>
        <v>0.8</v>
      </c>
      <c r="Z22" s="47">
        <v>0.24</v>
      </c>
      <c r="AA22" s="47">
        <v>0</v>
      </c>
      <c r="AB22" s="48">
        <v>0.4</v>
      </c>
      <c r="AC22" s="23">
        <f t="shared" si="7"/>
        <v>296431.066006057</v>
      </c>
      <c r="AD22" s="32">
        <v>24</v>
      </c>
      <c r="AE22" s="32">
        <v>72</v>
      </c>
    </row>
    <row r="23" s="1" customFormat="1" ht="15" spans="1:31">
      <c r="B23" s="57"/>
      <c r="C23" s="57"/>
      <c r="E23" s="58"/>
      <c r="F23" s="20" t="s">
        <v>55</v>
      </c>
      <c r="G23" s="59">
        <f>MAX(0,SUM(G16:G21)-1)</f>
        <v>0</v>
      </c>
      <c r="J23" s="2"/>
      <c r="K23" s="2"/>
      <c r="O23" s="40">
        <v>1</v>
      </c>
      <c r="P23" s="23" t="s">
        <v>106</v>
      </c>
      <c r="Q23" s="41">
        <f t="shared" si="15"/>
        <v>3.4793</v>
      </c>
      <c r="R23" s="42" t="s">
        <v>96</v>
      </c>
      <c r="S23" s="43">
        <f t="shared" si="16"/>
        <v>3993.392</v>
      </c>
      <c r="T23" s="44">
        <f t="shared" si="1"/>
        <v>2.899796875</v>
      </c>
      <c r="U23" s="44">
        <f t="shared" si="17"/>
        <v>1.97</v>
      </c>
      <c r="V23" s="28">
        <f t="shared" si="3"/>
        <v>4.5208</v>
      </c>
      <c r="W23" s="45">
        <f t="shared" si="18"/>
        <v>1.37</v>
      </c>
      <c r="X23" s="46">
        <f t="shared" si="5"/>
        <v>0.509274150316286</v>
      </c>
      <c r="Y23" s="42">
        <f t="shared" si="6"/>
        <v>0.8</v>
      </c>
      <c r="Z23" s="47">
        <v>0.24</v>
      </c>
      <c r="AA23" s="47">
        <v>0</v>
      </c>
      <c r="AB23" s="48">
        <v>0.4</v>
      </c>
      <c r="AC23" s="23">
        <f t="shared" si="7"/>
        <v>312712.506764203</v>
      </c>
      <c r="AD23" s="32">
        <v>24</v>
      </c>
      <c r="AE23" s="32">
        <v>73</v>
      </c>
    </row>
    <row r="24" s="1" customFormat="1" ht="15" spans="1:31">
      <c r="B24" s="57"/>
      <c r="C24" s="57"/>
      <c r="E24" s="58"/>
      <c r="J24" s="2"/>
      <c r="K24" s="2"/>
      <c r="O24" s="40">
        <v>1</v>
      </c>
      <c r="P24" s="23" t="s">
        <v>106</v>
      </c>
      <c r="Q24" s="41">
        <f t="shared" si="15"/>
        <v>3.4793</v>
      </c>
      <c r="R24" s="42" t="s">
        <v>96</v>
      </c>
      <c r="S24" s="43">
        <f t="shared" si="16"/>
        <v>3993.392</v>
      </c>
      <c r="T24" s="44">
        <f t="shared" si="1"/>
        <v>2.899796875</v>
      </c>
      <c r="U24" s="44">
        <f t="shared" si="17"/>
        <v>1.97</v>
      </c>
      <c r="V24" s="28">
        <f t="shared" si="3"/>
        <v>4.53058</v>
      </c>
      <c r="W24" s="45">
        <f t="shared" si="18"/>
        <v>1.37</v>
      </c>
      <c r="X24" s="46">
        <f t="shared" si="5"/>
        <v>0.509274150316286</v>
      </c>
      <c r="Y24" s="42">
        <f t="shared" si="6"/>
        <v>0.8</v>
      </c>
      <c r="Z24" s="47">
        <v>0.24</v>
      </c>
      <c r="AA24" s="47">
        <v>0</v>
      </c>
      <c r="AB24" s="70">
        <v>0.4</v>
      </c>
      <c r="AC24" s="23">
        <f t="shared" si="7"/>
        <v>313389.008338294</v>
      </c>
      <c r="AD24" s="32">
        <v>24</v>
      </c>
      <c r="AE24" s="32">
        <v>74</v>
      </c>
    </row>
    <row r="25" s="1" customFormat="1" ht="15" spans="1:31">
      <c r="A25" s="72"/>
      <c r="B25" s="73" t="s">
        <v>137</v>
      </c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O25" s="40">
        <v>1</v>
      </c>
      <c r="P25" s="23" t="s">
        <v>106</v>
      </c>
      <c r="Q25" s="41">
        <f t="shared" si="15"/>
        <v>3.4793</v>
      </c>
      <c r="R25" s="42" t="s">
        <v>96</v>
      </c>
      <c r="S25" s="43">
        <f t="shared" si="16"/>
        <v>3993.392</v>
      </c>
      <c r="T25" s="44">
        <f t="shared" si="1"/>
        <v>2.899796875</v>
      </c>
      <c r="U25" s="44">
        <f t="shared" si="17"/>
        <v>1.97</v>
      </c>
      <c r="V25" s="28">
        <f t="shared" si="3"/>
        <v>4.54036</v>
      </c>
      <c r="W25" s="45">
        <f t="shared" si="18"/>
        <v>1.37</v>
      </c>
      <c r="X25" s="46">
        <f t="shared" si="5"/>
        <v>0.509274150316286</v>
      </c>
      <c r="Y25" s="42">
        <f t="shared" si="6"/>
        <v>0.8</v>
      </c>
      <c r="Z25" s="47">
        <v>0.24</v>
      </c>
      <c r="AA25" s="47">
        <v>0</v>
      </c>
      <c r="AB25" s="48">
        <v>0.4</v>
      </c>
      <c r="AC25" s="23">
        <f t="shared" si="7"/>
        <v>314065.509912386</v>
      </c>
      <c r="AD25" s="32">
        <v>24</v>
      </c>
      <c r="AE25" s="32">
        <v>75</v>
      </c>
    </row>
    <row r="26" s="1" customFormat="1" ht="15" spans="1:31">
      <c r="A26" s="72" t="s">
        <v>140</v>
      </c>
      <c r="B26" s="74" t="s">
        <v>24</v>
      </c>
      <c r="C26" s="75"/>
      <c r="D26" s="74" t="s">
        <v>10</v>
      </c>
      <c r="E26" s="75"/>
      <c r="F26" s="74" t="s">
        <v>25</v>
      </c>
      <c r="G26" s="75"/>
      <c r="H26" s="74" t="s">
        <v>26</v>
      </c>
      <c r="I26" s="75"/>
      <c r="J26" s="74" t="s">
        <v>12</v>
      </c>
      <c r="K26" s="75"/>
      <c r="L26" s="74" t="s">
        <v>141</v>
      </c>
      <c r="M26" s="75"/>
      <c r="O26" s="40">
        <v>1</v>
      </c>
      <c r="P26" s="23" t="s">
        <v>106</v>
      </c>
      <c r="Q26" s="41">
        <f t="shared" si="15"/>
        <v>3.4793</v>
      </c>
      <c r="R26" s="42" t="s">
        <v>96</v>
      </c>
      <c r="S26" s="43">
        <f t="shared" si="16"/>
        <v>3993.392</v>
      </c>
      <c r="T26" s="44">
        <f t="shared" si="1"/>
        <v>2.899796875</v>
      </c>
      <c r="U26" s="44">
        <f t="shared" si="17"/>
        <v>1.97</v>
      </c>
      <c r="V26" s="28">
        <f t="shared" si="3"/>
        <v>4.55014</v>
      </c>
      <c r="W26" s="45">
        <f t="shared" si="18"/>
        <v>1.37</v>
      </c>
      <c r="X26" s="46">
        <f t="shared" si="5"/>
        <v>0.509274150316286</v>
      </c>
      <c r="Y26" s="42">
        <f t="shared" si="6"/>
        <v>0.8</v>
      </c>
      <c r="Z26" s="47">
        <v>0.24</v>
      </c>
      <c r="AA26" s="47">
        <v>0</v>
      </c>
      <c r="AB26" s="48">
        <v>0.4</v>
      </c>
      <c r="AC26" s="23">
        <f t="shared" si="7"/>
        <v>314742.011486478</v>
      </c>
      <c r="AD26" s="32">
        <v>24</v>
      </c>
      <c r="AE26" s="32">
        <v>76</v>
      </c>
    </row>
    <row r="27" s="1" customFormat="1" ht="15" spans="1:31">
      <c r="A27" s="72">
        <v>1357</v>
      </c>
      <c r="B27" s="76" t="s">
        <v>28</v>
      </c>
      <c r="C27" s="77">
        <f>288+337</f>
        <v>625</v>
      </c>
      <c r="D27" s="76" t="s">
        <v>29</v>
      </c>
      <c r="E27" s="78"/>
      <c r="F27" s="76" t="s">
        <v>142</v>
      </c>
      <c r="G27" s="79">
        <v>0.05</v>
      </c>
      <c r="H27" s="76" t="s">
        <v>142</v>
      </c>
      <c r="I27" s="78">
        <v>1.5</v>
      </c>
      <c r="J27" s="80" t="s">
        <v>31</v>
      </c>
      <c r="K27" s="78">
        <f>25%</f>
        <v>0.25</v>
      </c>
      <c r="L27" s="76" t="s">
        <v>140</v>
      </c>
      <c r="M27" s="79">
        <f>10.9%*3</f>
        <v>0.327</v>
      </c>
      <c r="O27" s="34">
        <v>1</v>
      </c>
      <c r="P27" s="23" t="s">
        <v>108</v>
      </c>
      <c r="Q27" s="81">
        <f>(27.84%+13.92%*2)*3</f>
        <v>1.6704</v>
      </c>
      <c r="R27" s="82" t="s">
        <v>96</v>
      </c>
      <c r="S27" s="43">
        <f t="shared" si="16"/>
        <v>3993.392</v>
      </c>
      <c r="T27" s="83">
        <f t="shared" si="1"/>
        <v>2.899796875</v>
      </c>
      <c r="U27" s="44">
        <f t="shared" si="17"/>
        <v>1.97</v>
      </c>
      <c r="V27" s="28">
        <f t="shared" si="3"/>
        <v>4.5208</v>
      </c>
      <c r="W27" s="84">
        <f t="shared" si="18"/>
        <v>1.37</v>
      </c>
      <c r="X27" s="85">
        <f t="shared" si="5"/>
        <v>0.509274150316286</v>
      </c>
      <c r="Y27" s="82">
        <f t="shared" si="6"/>
        <v>0.8</v>
      </c>
      <c r="Z27" s="86">
        <v>0</v>
      </c>
      <c r="AA27" s="86">
        <v>0</v>
      </c>
      <c r="AB27" s="70">
        <v>0.4</v>
      </c>
      <c r="AC27" s="23">
        <f t="shared" si="7"/>
        <v>121074.356655659</v>
      </c>
      <c r="AD27" s="32">
        <v>24</v>
      </c>
      <c r="AE27" s="32">
        <v>73</v>
      </c>
    </row>
    <row r="28" s="1" customFormat="1" ht="15" spans="1:31">
      <c r="A28" s="87">
        <f>16%+7.6*2%</f>
        <v>0.312</v>
      </c>
      <c r="B28" s="76" t="s">
        <v>143</v>
      </c>
      <c r="C28" s="78"/>
      <c r="D28" s="76" t="s">
        <v>144</v>
      </c>
      <c r="E28" s="78"/>
      <c r="F28" s="76" t="s">
        <v>35</v>
      </c>
      <c r="G28" s="79"/>
      <c r="H28" s="76" t="s">
        <v>145</v>
      </c>
      <c r="I28" s="79">
        <v>0.2</v>
      </c>
      <c r="J28" s="88" t="s">
        <v>146</v>
      </c>
      <c r="K28" s="79"/>
      <c r="L28" s="76" t="s">
        <v>25</v>
      </c>
      <c r="M28" s="79">
        <f>2*8.1%</f>
        <v>0.162</v>
      </c>
      <c r="O28" s="65">
        <v>1</v>
      </c>
      <c r="P28" s="89" t="s">
        <v>109</v>
      </c>
      <c r="Q28" s="90">
        <v>1.69</v>
      </c>
      <c r="R28" s="91" t="s">
        <v>110</v>
      </c>
      <c r="S28" s="92">
        <f t="shared" ref="S28:S39" si="19">$C$16*(1+$C$17+$C$18+$C$19+$C$20)+($C$21+$C$22)</f>
        <v>2694.5</v>
      </c>
      <c r="T28" s="93">
        <f t="shared" ref="T28:T39" si="20">($C$17+$C$18+$C$19+$C$20)+($C$21+$C$22)/$C$16</f>
        <v>1.99388888888889</v>
      </c>
      <c r="U28" s="93">
        <f>IF(R28=$C$13,SUM($E$16:$E$21),SUM($E$16:$E$20))-12%</f>
        <v>1.2</v>
      </c>
      <c r="V28" s="94">
        <f t="shared" ref="V28:V38" si="21">1+$G$22*($I$22-1)</f>
        <v>2.38165</v>
      </c>
      <c r="W28" s="95">
        <f t="shared" ref="W28:W39" si="22">IF(R28=$C$1,$K$16+$K$17,$K$16)</f>
        <v>0.25</v>
      </c>
      <c r="X28" s="94">
        <f t="shared" ref="X28:X39" si="23">$AH$3</f>
        <v>0.488431876606684</v>
      </c>
      <c r="Y28" s="91">
        <f t="shared" si="6"/>
        <v>0.8</v>
      </c>
      <c r="Z28" s="96">
        <v>0</v>
      </c>
      <c r="AA28" s="96">
        <v>0</v>
      </c>
      <c r="AB28" s="39">
        <v>0</v>
      </c>
      <c r="AC28" s="97">
        <f t="shared" ref="AC28:AC39" si="24">Q28*$C$16*(1+T28)*(1+U28)*V28*(1+W28)*X28*Y28*(1+Z28)*(1+AA28)*(1+AB28)*O28</f>
        <v>11653.8523715643</v>
      </c>
    </row>
    <row r="29" s="1" customFormat="1" ht="15" spans="1:31">
      <c r="A29" s="87">
        <f>36%+M27</f>
        <v>0.687</v>
      </c>
      <c r="B29" s="76" t="s">
        <v>147</v>
      </c>
      <c r="C29" s="78"/>
      <c r="D29" s="76" t="s">
        <v>148</v>
      </c>
      <c r="E29" s="78"/>
      <c r="F29" s="76" t="s">
        <v>41</v>
      </c>
      <c r="G29" s="79"/>
      <c r="H29" s="76" t="s">
        <v>149</v>
      </c>
      <c r="I29" s="79"/>
      <c r="J29" s="88" t="s">
        <v>150</v>
      </c>
      <c r="K29" s="79"/>
      <c r="L29" s="76" t="s">
        <v>45</v>
      </c>
      <c r="M29" s="79">
        <f>3*16.2%</f>
        <v>0.486</v>
      </c>
      <c r="O29" s="98">
        <v>1</v>
      </c>
      <c r="P29" s="89" t="s">
        <v>111</v>
      </c>
      <c r="Q29" s="49">
        <v>1.472</v>
      </c>
      <c r="R29" s="57" t="s">
        <v>83</v>
      </c>
      <c r="S29" s="99">
        <f t="shared" si="19"/>
        <v>2694.5</v>
      </c>
      <c r="T29" s="100">
        <f t="shared" si="20"/>
        <v>1.99388888888889</v>
      </c>
      <c r="U29" s="100">
        <f>IF(R29=$C$13,SUM($E$16:$E$21),SUM($E$16:$E$20))-12%</f>
        <v>1.2</v>
      </c>
      <c r="V29" s="101">
        <f t="shared" si="21"/>
        <v>2.38165</v>
      </c>
      <c r="W29" s="102">
        <f t="shared" si="22"/>
        <v>0.25</v>
      </c>
      <c r="X29" s="101">
        <f t="shared" si="23"/>
        <v>0.488431876606684</v>
      </c>
      <c r="Y29" s="57">
        <f t="shared" si="6"/>
        <v>0.8</v>
      </c>
      <c r="Z29" s="103">
        <v>0</v>
      </c>
      <c r="AA29" s="103">
        <v>0</v>
      </c>
      <c r="AB29" s="36">
        <v>0</v>
      </c>
      <c r="AC29" s="97">
        <f t="shared" si="24"/>
        <v>10150.5743733388</v>
      </c>
    </row>
    <row r="30" s="1" customFormat="1" ht="15" spans="1:31">
      <c r="A30" s="87">
        <v>0.418</v>
      </c>
      <c r="B30" s="76" t="s">
        <v>145</v>
      </c>
      <c r="C30" s="104">
        <f>25%+15%</f>
        <v>0.4</v>
      </c>
      <c r="D30" s="76" t="s">
        <v>151</v>
      </c>
      <c r="E30" s="78">
        <f>40%</f>
        <v>0.4</v>
      </c>
      <c r="F30" s="76" t="s">
        <v>145</v>
      </c>
      <c r="G30" s="79">
        <f>M29</f>
        <v>0.486</v>
      </c>
      <c r="H30" s="76"/>
      <c r="I30" s="79"/>
      <c r="J30" s="88"/>
      <c r="K30" s="79"/>
      <c r="L30" s="76" t="s">
        <v>152</v>
      </c>
      <c r="M30" s="79">
        <f>8.6%*2</f>
        <v>0.172</v>
      </c>
      <c r="O30" s="98">
        <v>1</v>
      </c>
      <c r="P30" s="89" t="s">
        <v>42</v>
      </c>
      <c r="Q30" s="49">
        <v>1.061</v>
      </c>
      <c r="R30" s="57" t="s">
        <v>42</v>
      </c>
      <c r="S30" s="99">
        <f t="shared" si="19"/>
        <v>2694.5</v>
      </c>
      <c r="T30" s="100">
        <f t="shared" si="20"/>
        <v>1.99388888888889</v>
      </c>
      <c r="U30" s="100">
        <f>IF(R30=$C$13,SUM($E$16:$E$21),SUM($E$16:$E$20))-6%</f>
        <v>1.26</v>
      </c>
      <c r="V30" s="101">
        <f t="shared" si="21"/>
        <v>2.38165</v>
      </c>
      <c r="W30" s="102">
        <f t="shared" si="22"/>
        <v>0.25</v>
      </c>
      <c r="X30" s="101">
        <f t="shared" si="23"/>
        <v>0.488431876606684</v>
      </c>
      <c r="Y30" s="57">
        <f t="shared" si="6"/>
        <v>0.8</v>
      </c>
      <c r="Z30" s="103">
        <v>0</v>
      </c>
      <c r="AA30" s="103">
        <v>0</v>
      </c>
      <c r="AB30" s="36">
        <v>0</v>
      </c>
      <c r="AC30" s="97">
        <f t="shared" si="24"/>
        <v>7515.95116935963</v>
      </c>
    </row>
    <row r="31" s="1" customFormat="1" ht="15" spans="1:31">
      <c r="A31" s="105">
        <v>0.2</v>
      </c>
      <c r="B31" s="76" t="s">
        <v>153</v>
      </c>
      <c r="C31" s="104"/>
      <c r="D31" s="76" t="s">
        <v>154</v>
      </c>
      <c r="E31" s="78">
        <v>0.2</v>
      </c>
      <c r="F31" s="76" t="s">
        <v>121</v>
      </c>
      <c r="G31" s="79"/>
      <c r="H31" s="76" t="s">
        <v>51</v>
      </c>
      <c r="I31" s="79">
        <v>0.52</v>
      </c>
      <c r="J31" s="88"/>
      <c r="K31" s="79"/>
      <c r="L31" s="76"/>
      <c r="M31" s="79"/>
      <c r="O31" s="98">
        <v>1</v>
      </c>
      <c r="P31" s="89" t="s">
        <v>117</v>
      </c>
      <c r="Q31" s="49">
        <v>1.9623</v>
      </c>
      <c r="R31" s="57" t="s">
        <v>83</v>
      </c>
      <c r="S31" s="99">
        <f t="shared" si="19"/>
        <v>2694.5</v>
      </c>
      <c r="T31" s="100">
        <f t="shared" si="20"/>
        <v>1.99388888888889</v>
      </c>
      <c r="U31" s="100">
        <f t="shared" ref="U31:U39" si="25">IF(R31=$C$13,SUM($E$16:$E$21),SUM($E$16:$E$20))</f>
        <v>1.32</v>
      </c>
      <c r="V31" s="101">
        <f t="shared" si="21"/>
        <v>2.38165</v>
      </c>
      <c r="W31" s="102">
        <f t="shared" si="22"/>
        <v>0.25</v>
      </c>
      <c r="X31" s="101">
        <f t="shared" si="23"/>
        <v>0.488431876606684</v>
      </c>
      <c r="Y31" s="57">
        <f t="shared" ref="Y31:Y39" si="26">$AH$12</f>
        <v>0.8</v>
      </c>
      <c r="Z31" s="103">
        <v>0</v>
      </c>
      <c r="AA31" s="103">
        <v>0</v>
      </c>
      <c r="AB31" s="36">
        <v>0</v>
      </c>
      <c r="AC31" s="97">
        <f t="shared" si="24"/>
        <v>14269.6563905949</v>
      </c>
    </row>
    <row r="32" s="1" customFormat="1" ht="15" spans="1:31">
      <c r="A32" s="72"/>
      <c r="B32" s="76" t="s">
        <v>49</v>
      </c>
      <c r="C32" s="77">
        <v>350</v>
      </c>
      <c r="D32" s="76" t="s">
        <v>93</v>
      </c>
      <c r="E32" s="78"/>
      <c r="F32" s="106" t="s">
        <v>53</v>
      </c>
      <c r="G32" s="107">
        <f>MIN(100%,SUM(G27:G31))</f>
        <v>0.536</v>
      </c>
      <c r="H32" s="106" t="s">
        <v>54</v>
      </c>
      <c r="I32" s="108">
        <f>SUM(I27:I31)</f>
        <v>2.22</v>
      </c>
      <c r="J32" s="88"/>
      <c r="K32" s="79"/>
      <c r="L32" s="76"/>
      <c r="M32" s="77"/>
      <c r="O32" s="98">
        <v>1</v>
      </c>
      <c r="P32" s="89" t="s">
        <v>118</v>
      </c>
      <c r="Q32" s="49">
        <v>1.9801</v>
      </c>
      <c r="R32" s="57" t="s">
        <v>1</v>
      </c>
      <c r="S32" s="99">
        <f t="shared" si="19"/>
        <v>2694.5</v>
      </c>
      <c r="T32" s="100">
        <f t="shared" si="20"/>
        <v>1.99388888888889</v>
      </c>
      <c r="U32" s="100">
        <f t="shared" si="25"/>
        <v>1.652</v>
      </c>
      <c r="V32" s="101">
        <f t="shared" si="21"/>
        <v>2.38165</v>
      </c>
      <c r="W32" s="102">
        <f t="shared" si="22"/>
        <v>0.25</v>
      </c>
      <c r="X32" s="101">
        <f t="shared" si="23"/>
        <v>0.488431876606684</v>
      </c>
      <c r="Y32" s="57">
        <f t="shared" si="26"/>
        <v>0.8</v>
      </c>
      <c r="Z32" s="103">
        <v>0</v>
      </c>
      <c r="AA32" s="103">
        <v>0</v>
      </c>
      <c r="AB32" s="36">
        <v>0</v>
      </c>
      <c r="AC32" s="97">
        <f t="shared" si="24"/>
        <v>16459.656603184</v>
      </c>
    </row>
    <row r="33" s="1" customFormat="1" ht="15" spans="1:29">
      <c r="A33" s="72"/>
      <c r="B33" s="109" t="s">
        <v>52</v>
      </c>
      <c r="C33" s="110"/>
      <c r="D33" s="109" t="s">
        <v>94</v>
      </c>
      <c r="E33" s="111"/>
      <c r="F33" s="109"/>
      <c r="G33" s="112"/>
      <c r="H33" s="109"/>
      <c r="I33" s="110"/>
      <c r="J33" s="113"/>
      <c r="K33" s="112"/>
      <c r="L33" s="109"/>
      <c r="M33" s="110"/>
      <c r="N33" s="114"/>
      <c r="O33" s="98">
        <v>1</v>
      </c>
      <c r="P33" s="89" t="s">
        <v>120</v>
      </c>
      <c r="Q33" s="49">
        <v>3.76</v>
      </c>
      <c r="R33" s="57" t="s">
        <v>1</v>
      </c>
      <c r="S33" s="99">
        <f t="shared" si="19"/>
        <v>2694.5</v>
      </c>
      <c r="T33" s="100">
        <f t="shared" si="20"/>
        <v>1.99388888888889</v>
      </c>
      <c r="U33" s="100">
        <f t="shared" si="25"/>
        <v>1.652</v>
      </c>
      <c r="V33" s="101">
        <f t="shared" si="21"/>
        <v>2.38165</v>
      </c>
      <c r="W33" s="102">
        <f t="shared" si="22"/>
        <v>0.25</v>
      </c>
      <c r="X33" s="101">
        <f t="shared" si="23"/>
        <v>0.488431876606684</v>
      </c>
      <c r="Y33" s="57">
        <f t="shared" si="26"/>
        <v>0.8</v>
      </c>
      <c r="Z33" s="103">
        <v>0</v>
      </c>
      <c r="AA33" s="103">
        <v>0</v>
      </c>
      <c r="AB33" s="36">
        <v>0</v>
      </c>
      <c r="AC33" s="97">
        <f t="shared" si="24"/>
        <v>31255.1430877086</v>
      </c>
    </row>
    <row r="34" s="1" customFormat="1" ht="15" spans="1:29">
      <c r="A34" s="72">
        <f>A27*(1+A28+A29+A30+A31)</f>
        <v>3551.269</v>
      </c>
      <c r="B34" s="115"/>
      <c r="C34" s="115">
        <f>C27*(1+C30)+C32</f>
        <v>1225</v>
      </c>
      <c r="D34" s="115"/>
      <c r="E34" s="115"/>
      <c r="F34" s="115" t="s">
        <v>155</v>
      </c>
      <c r="G34" s="116"/>
      <c r="H34" s="115"/>
      <c r="I34" s="115"/>
      <c r="J34" s="115"/>
      <c r="K34" s="115"/>
      <c r="L34" s="115"/>
      <c r="M34" s="115"/>
      <c r="N34" s="57"/>
      <c r="O34" s="98">
        <v>1</v>
      </c>
      <c r="P34" s="89" t="s">
        <v>122</v>
      </c>
      <c r="Q34" s="49">
        <v>4.9033</v>
      </c>
      <c r="R34" s="57" t="s">
        <v>1</v>
      </c>
      <c r="S34" s="99">
        <f t="shared" si="19"/>
        <v>2694.5</v>
      </c>
      <c r="T34" s="100">
        <f t="shared" si="20"/>
        <v>1.99388888888889</v>
      </c>
      <c r="U34" s="100">
        <f t="shared" si="25"/>
        <v>1.652</v>
      </c>
      <c r="V34" s="101">
        <f t="shared" si="21"/>
        <v>2.38165</v>
      </c>
      <c r="W34" s="102">
        <f t="shared" si="22"/>
        <v>0.25</v>
      </c>
      <c r="X34" s="101">
        <f t="shared" si="23"/>
        <v>0.488431876606684</v>
      </c>
      <c r="Y34" s="57">
        <f t="shared" si="26"/>
        <v>0.8</v>
      </c>
      <c r="Z34" s="103">
        <v>0</v>
      </c>
      <c r="AA34" s="103">
        <v>0</v>
      </c>
      <c r="AB34" s="36">
        <v>0</v>
      </c>
      <c r="AC34" s="97">
        <f t="shared" si="24"/>
        <v>40758.8678462664</v>
      </c>
    </row>
    <row r="35" s="1" customFormat="1" ht="15" spans="1:29">
      <c r="A35" s="117"/>
      <c r="B35" s="118"/>
      <c r="C35" s="118"/>
      <c r="D35" s="118"/>
      <c r="E35" s="118"/>
      <c r="F35" s="118"/>
      <c r="G35" s="119"/>
      <c r="N35" s="57"/>
      <c r="O35" s="98">
        <v>1</v>
      </c>
      <c r="P35" s="89" t="s">
        <v>123</v>
      </c>
      <c r="Q35" s="49">
        <v>13.3598</v>
      </c>
      <c r="R35" s="57" t="s">
        <v>1</v>
      </c>
      <c r="S35" s="99">
        <f t="shared" si="19"/>
        <v>2694.5</v>
      </c>
      <c r="T35" s="100">
        <f t="shared" si="20"/>
        <v>1.99388888888889</v>
      </c>
      <c r="U35" s="100">
        <f t="shared" si="25"/>
        <v>1.652</v>
      </c>
      <c r="V35" s="101">
        <f t="shared" si="21"/>
        <v>2.38165</v>
      </c>
      <c r="W35" s="102">
        <f t="shared" si="22"/>
        <v>0.25</v>
      </c>
      <c r="X35" s="101">
        <f t="shared" si="23"/>
        <v>0.488431876606684</v>
      </c>
      <c r="Y35" s="57">
        <f t="shared" si="26"/>
        <v>0.8</v>
      </c>
      <c r="Z35" s="103">
        <v>0</v>
      </c>
      <c r="AA35" s="103">
        <v>0</v>
      </c>
      <c r="AB35" s="36">
        <v>0</v>
      </c>
      <c r="AC35" s="97">
        <f t="shared" si="24"/>
        <v>111053.845910417</v>
      </c>
    </row>
    <row r="36" s="1" customFormat="1" ht="15" spans="1:29">
      <c r="B36" s="120" t="s">
        <v>68</v>
      </c>
      <c r="C36" s="1" t="s">
        <v>112</v>
      </c>
      <c r="D36" s="1" t="s">
        <v>113</v>
      </c>
      <c r="E36" s="1" t="s">
        <v>114</v>
      </c>
      <c r="F36" s="1" t="s">
        <v>115</v>
      </c>
      <c r="G36" s="2"/>
      <c r="N36" s="57"/>
      <c r="O36" s="98">
        <v>1</v>
      </c>
      <c r="P36" s="89" t="s">
        <v>118</v>
      </c>
      <c r="Q36" s="49">
        <v>1.9801</v>
      </c>
      <c r="R36" s="57" t="s">
        <v>1</v>
      </c>
      <c r="S36" s="99">
        <f t="shared" si="19"/>
        <v>2694.5</v>
      </c>
      <c r="T36" s="100">
        <f t="shared" si="20"/>
        <v>1.99388888888889</v>
      </c>
      <c r="U36" s="100">
        <f t="shared" si="25"/>
        <v>1.652</v>
      </c>
      <c r="V36" s="101">
        <f t="shared" si="21"/>
        <v>2.38165</v>
      </c>
      <c r="W36" s="102">
        <f t="shared" si="22"/>
        <v>0.25</v>
      </c>
      <c r="X36" s="101">
        <f t="shared" si="23"/>
        <v>0.488431876606684</v>
      </c>
      <c r="Y36" s="57">
        <f t="shared" si="26"/>
        <v>0.8</v>
      </c>
      <c r="Z36" s="103">
        <v>0</v>
      </c>
      <c r="AA36" s="103">
        <v>0</v>
      </c>
      <c r="AB36" s="36">
        <v>0</v>
      </c>
      <c r="AC36" s="97">
        <f t="shared" si="24"/>
        <v>16459.656603184</v>
      </c>
    </row>
    <row r="37" s="1" customFormat="1" ht="15" spans="1:29">
      <c r="B37" s="121" t="s">
        <v>156</v>
      </c>
      <c r="C37" s="122" t="s">
        <v>70</v>
      </c>
      <c r="D37" s="122" t="s">
        <v>71</v>
      </c>
      <c r="E37" s="122" t="s">
        <v>72</v>
      </c>
      <c r="F37" s="122" t="s">
        <v>73</v>
      </c>
      <c r="G37" s="2"/>
      <c r="N37" s="57"/>
      <c r="O37" s="98">
        <v>1</v>
      </c>
      <c r="P37" s="89" t="s">
        <v>124</v>
      </c>
      <c r="Q37" s="49">
        <v>1.0599</v>
      </c>
      <c r="R37" s="57" t="s">
        <v>1</v>
      </c>
      <c r="S37" s="99">
        <f t="shared" si="19"/>
        <v>2694.5</v>
      </c>
      <c r="T37" s="100">
        <f t="shared" si="20"/>
        <v>1.99388888888889</v>
      </c>
      <c r="U37" s="100">
        <f t="shared" si="25"/>
        <v>1.652</v>
      </c>
      <c r="V37" s="101">
        <f t="shared" si="21"/>
        <v>2.38165</v>
      </c>
      <c r="W37" s="102">
        <f t="shared" si="22"/>
        <v>0.25</v>
      </c>
      <c r="X37" s="101">
        <f t="shared" si="23"/>
        <v>0.488431876606684</v>
      </c>
      <c r="Y37" s="57">
        <f t="shared" si="26"/>
        <v>0.8</v>
      </c>
      <c r="Z37" s="103">
        <v>0</v>
      </c>
      <c r="AA37" s="103">
        <v>0</v>
      </c>
      <c r="AB37" s="36">
        <v>0</v>
      </c>
      <c r="AC37" s="97">
        <f t="shared" si="24"/>
        <v>8810.45908475062</v>
      </c>
    </row>
    <row r="38" s="1" customFormat="1" ht="15" spans="1:29">
      <c r="B38" s="4" t="s">
        <v>84</v>
      </c>
      <c r="C38" s="123">
        <f>SUM(AC3:AC27)</f>
        <v>5379074.31195237</v>
      </c>
      <c r="D38" s="123">
        <f t="shared" ref="D38:D41" si="27">C38/$E$38</f>
        <v>215162.972478095</v>
      </c>
      <c r="E38" s="124">
        <v>25</v>
      </c>
      <c r="F38" s="125">
        <f t="shared" ref="F38:F41" si="28">C38/$C$42</f>
        <v>0.914369641232557</v>
      </c>
      <c r="G38" s="2"/>
      <c r="O38" s="98">
        <v>0</v>
      </c>
      <c r="P38" s="89" t="s">
        <v>130</v>
      </c>
      <c r="Q38" s="49">
        <v>3.1056</v>
      </c>
      <c r="R38" s="57" t="s">
        <v>96</v>
      </c>
      <c r="S38" s="99">
        <f t="shared" si="19"/>
        <v>2694.5</v>
      </c>
      <c r="T38" s="100">
        <f t="shared" si="20"/>
        <v>1.99388888888889</v>
      </c>
      <c r="U38" s="100">
        <f t="shared" si="25"/>
        <v>1.32</v>
      </c>
      <c r="V38" s="101">
        <f t="shared" si="21"/>
        <v>2.38165</v>
      </c>
      <c r="W38" s="102">
        <f t="shared" si="22"/>
        <v>0.25</v>
      </c>
      <c r="X38" s="101">
        <f t="shared" si="23"/>
        <v>0.488431876606684</v>
      </c>
      <c r="Y38" s="57">
        <f t="shared" si="26"/>
        <v>0.8</v>
      </c>
      <c r="Z38" s="103">
        <v>0</v>
      </c>
      <c r="AA38" s="103">
        <v>0</v>
      </c>
      <c r="AB38" s="36">
        <v>0</v>
      </c>
      <c r="AC38" s="97">
        <f t="shared" si="24"/>
        <v>0</v>
      </c>
    </row>
    <row r="39" s="1" customFormat="1" ht="15" spans="1:29">
      <c r="A39" s="1" t="s">
        <v>157</v>
      </c>
      <c r="B39" s="4" t="s">
        <v>100</v>
      </c>
      <c r="C39" s="123">
        <f>SUM(AC28:AC39)</f>
        <v>302302.84718614</v>
      </c>
      <c r="D39" s="123">
        <f t="shared" si="27"/>
        <v>12092.1138874456</v>
      </c>
      <c r="E39" s="126"/>
      <c r="F39" s="125">
        <f t="shared" si="28"/>
        <v>0.0513873818978426</v>
      </c>
      <c r="G39" s="2"/>
      <c r="O39" s="127">
        <v>1</v>
      </c>
      <c r="P39" s="89" t="s">
        <v>131</v>
      </c>
      <c r="Q39" s="56">
        <v>3.7804</v>
      </c>
      <c r="R39" s="128" t="s">
        <v>1</v>
      </c>
      <c r="S39" s="129">
        <f t="shared" si="19"/>
        <v>2694.5</v>
      </c>
      <c r="T39" s="130">
        <f t="shared" si="20"/>
        <v>1.99388888888889</v>
      </c>
      <c r="U39" s="130">
        <f t="shared" si="25"/>
        <v>1.652</v>
      </c>
      <c r="V39" s="131">
        <f>1+$G$22*($I$22-1+25%)</f>
        <v>2.5704</v>
      </c>
      <c r="W39" s="132">
        <f t="shared" si="22"/>
        <v>0.25</v>
      </c>
      <c r="X39" s="131">
        <f t="shared" si="23"/>
        <v>0.488431876606684</v>
      </c>
      <c r="Y39" s="128">
        <f t="shared" si="26"/>
        <v>0.8</v>
      </c>
      <c r="Z39" s="133">
        <v>0</v>
      </c>
      <c r="AA39" s="133">
        <v>0</v>
      </c>
      <c r="AB39" s="53">
        <v>0</v>
      </c>
      <c r="AC39" s="97">
        <f t="shared" si="24"/>
        <v>33915.1837457716</v>
      </c>
    </row>
    <row r="40" s="1" customFormat="1" ht="15" spans="1:29">
      <c r="B40" s="4" t="s">
        <v>139</v>
      </c>
      <c r="C40" s="123">
        <f>SUM(AC44:AC49)+AC41</f>
        <v>98010.0195568733</v>
      </c>
      <c r="D40" s="123">
        <f t="shared" si="27"/>
        <v>3920.40078227493</v>
      </c>
      <c r="E40" s="134"/>
      <c r="F40" s="125">
        <f t="shared" si="28"/>
        <v>0.0166603733695002</v>
      </c>
      <c r="G40" s="2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</row>
    <row r="41" s="1" customFormat="1" ht="15" spans="1:29">
      <c r="B41" s="4" t="s">
        <v>74</v>
      </c>
      <c r="C41" s="123">
        <f>AC42</f>
        <v>103435.335732648</v>
      </c>
      <c r="D41" s="123">
        <f t="shared" si="27"/>
        <v>4137.41342930591</v>
      </c>
      <c r="E41" s="134"/>
      <c r="F41" s="125">
        <f t="shared" si="28"/>
        <v>0.0175826035000997</v>
      </c>
      <c r="G41" s="2"/>
      <c r="O41" s="34">
        <f>$O$42</f>
        <v>1.5</v>
      </c>
      <c r="P41" s="57" t="s">
        <v>67</v>
      </c>
      <c r="Q41" s="100">
        <v>2.9822</v>
      </c>
      <c r="R41" s="57" t="s">
        <v>66</v>
      </c>
      <c r="S41" s="57">
        <v>10027</v>
      </c>
      <c r="T41" s="100">
        <v>0</v>
      </c>
      <c r="U41" s="100">
        <v>0</v>
      </c>
      <c r="V41" s="101">
        <v>1</v>
      </c>
      <c r="W41" s="102">
        <v>0</v>
      </c>
      <c r="X41" s="101">
        <f t="shared" ref="X41:X49" si="29">$AH$3</f>
        <v>0.488431876606684</v>
      </c>
      <c r="Y41" s="137">
        <f>$AH$13</f>
        <v>0.8</v>
      </c>
      <c r="Z41" s="103">
        <v>0</v>
      </c>
      <c r="AA41" s="103">
        <v>0</v>
      </c>
      <c r="AB41" s="36">
        <v>0.5</v>
      </c>
      <c r="AC41" s="138">
        <f>Q41*S41*(1+T41)*(1+U41)*V41*(1+W41)*X41*Y41*(1+Z41)*(1+AA41)*(1+AB41)*O41</f>
        <v>26289.6185984576</v>
      </c>
    </row>
    <row r="42" s="1" customFormat="1" ht="15" spans="1:29">
      <c r="B42" s="4" t="s">
        <v>82</v>
      </c>
      <c r="C42" s="139">
        <f>SUM(C38:C41)</f>
        <v>5882822.51442804</v>
      </c>
      <c r="D42" s="139">
        <f>C42/E38</f>
        <v>235312.900577121</v>
      </c>
      <c r="E42" s="140"/>
      <c r="F42" s="141"/>
      <c r="G42" s="2"/>
      <c r="H42" s="1"/>
      <c r="I42" s="1"/>
      <c r="O42" s="20">
        <v>1.5</v>
      </c>
      <c r="P42" s="137" t="s">
        <v>74</v>
      </c>
      <c r="Q42" s="145">
        <v>16</v>
      </c>
      <c r="R42" s="137" t="s">
        <v>75</v>
      </c>
      <c r="S42" s="137">
        <v>10027</v>
      </c>
      <c r="T42" s="145">
        <v>0</v>
      </c>
      <c r="U42" s="145">
        <v>0</v>
      </c>
      <c r="V42" s="146">
        <v>1</v>
      </c>
      <c r="W42" s="147">
        <v>0</v>
      </c>
      <c r="X42" s="146">
        <f t="shared" si="29"/>
        <v>0.488431876606684</v>
      </c>
      <c r="Y42" s="137">
        <f>$AH$13</f>
        <v>0.8</v>
      </c>
      <c r="Z42" s="148">
        <v>0</v>
      </c>
      <c r="AA42" s="148">
        <v>0</v>
      </c>
      <c r="AB42" s="148">
        <v>0.1</v>
      </c>
      <c r="AC42" s="149">
        <f>Q42*S42*(1+T42)*(1+U42)*V42*(1+W42)*X42*Y42*(1+Z42)*(1+AA42)*(1+AB42)*O42</f>
        <v>103435.335732648</v>
      </c>
    </row>
    <row r="43" s="1" customFormat="1" spans="1:29">
      <c r="B43" s="4"/>
      <c r="C43" s="4"/>
      <c r="D43" s="4"/>
      <c r="G43" s="2"/>
      <c r="H43" s="168"/>
      <c r="I43" s="1"/>
      <c r="J43" s="1"/>
      <c r="Q43" s="2"/>
      <c r="U43" s="2"/>
      <c r="V43" s="3"/>
      <c r="AB43" s="4"/>
      <c r="AC43" s="4"/>
    </row>
    <row r="44" s="1" customFormat="1" ht="15" spans="1:29">
      <c r="B44" s="151" t="s">
        <v>125</v>
      </c>
      <c r="C44" s="152" t="s">
        <v>126</v>
      </c>
      <c r="D44" s="152" t="s">
        <v>128</v>
      </c>
      <c r="E44" s="152"/>
      <c r="F44" s="153"/>
      <c r="G44" s="167"/>
      <c r="H44" s="1"/>
      <c r="I44" s="1"/>
      <c r="O44" s="66">
        <v>1</v>
      </c>
      <c r="P44" s="155" t="s">
        <v>158</v>
      </c>
      <c r="Q44" s="90">
        <v>2.0279</v>
      </c>
      <c r="R44" s="91" t="s">
        <v>110</v>
      </c>
      <c r="S44" s="92">
        <f t="shared" ref="S44:S47" si="30">C$34</f>
        <v>1225</v>
      </c>
      <c r="T44" s="93">
        <f t="shared" ref="T44:T47" si="31">S44/$C$27-1</f>
        <v>0.96</v>
      </c>
      <c r="U44" s="93">
        <f t="shared" ref="U44:U47" si="32">E$30</f>
        <v>0.4</v>
      </c>
      <c r="V44" s="94">
        <f t="shared" ref="V44:V47" si="33">1+$G$32*($I$32-1)</f>
        <v>1.65392</v>
      </c>
      <c r="W44" s="95">
        <f t="shared" ref="W44:W49" si="34">K$27</f>
        <v>0.25</v>
      </c>
      <c r="X44" s="94">
        <f t="shared" si="29"/>
        <v>0.488431876606684</v>
      </c>
      <c r="Y44" s="91">
        <f t="shared" ref="Y44:Y49" si="35">$AH$14</f>
        <v>0.8</v>
      </c>
      <c r="Z44" s="96">
        <v>0</v>
      </c>
      <c r="AA44" s="96">
        <v>0</v>
      </c>
      <c r="AB44" s="39">
        <v>0</v>
      </c>
      <c r="AC44" s="155">
        <f t="shared" ref="AC44:AC47" si="36">Q44*$C$27*(1+T44)*(1+U44)*V44*(1+W44)*X44*Y44*(1+Z44)*(1+AA44)*(1+AB44)*O44</f>
        <v>2809.5007874365</v>
      </c>
    </row>
    <row r="45" s="1" customFormat="1" ht="15" spans="1:29">
      <c r="B45" s="156"/>
      <c r="C45" s="157" t="s">
        <v>162</v>
      </c>
      <c r="D45" s="157" t="s">
        <v>129</v>
      </c>
      <c r="E45" s="157"/>
      <c r="F45" s="158"/>
      <c r="G45" s="2"/>
      <c r="H45" s="1"/>
      <c r="O45" s="34">
        <v>1</v>
      </c>
      <c r="P45" s="155" t="s">
        <v>159</v>
      </c>
      <c r="Q45" s="49">
        <f>22.27%+16.71%*2+23.86%+23.86%+17.9%*4+41.36%+10.34%*6</f>
        <v>2.7841</v>
      </c>
      <c r="R45" s="57" t="s">
        <v>1</v>
      </c>
      <c r="S45" s="99">
        <f t="shared" si="30"/>
        <v>1225</v>
      </c>
      <c r="T45" s="100">
        <f t="shared" si="31"/>
        <v>0.96</v>
      </c>
      <c r="U45" s="100">
        <f t="shared" si="32"/>
        <v>0.4</v>
      </c>
      <c r="V45" s="101">
        <f t="shared" si="33"/>
        <v>1.65392</v>
      </c>
      <c r="W45" s="102">
        <f t="shared" si="34"/>
        <v>0.25</v>
      </c>
      <c r="X45" s="101">
        <f t="shared" si="29"/>
        <v>0.488431876606684</v>
      </c>
      <c r="Y45" s="57">
        <f t="shared" si="35"/>
        <v>0.8</v>
      </c>
      <c r="Z45" s="103">
        <v>0</v>
      </c>
      <c r="AA45" s="103">
        <v>0</v>
      </c>
      <c r="AB45" s="36">
        <v>0</v>
      </c>
      <c r="AC45" s="155">
        <f t="shared" si="36"/>
        <v>3857.15821406478</v>
      </c>
    </row>
    <row r="46" s="1" customFormat="1" ht="15" spans="1:29">
      <c r="B46" s="159"/>
      <c r="C46" s="159"/>
      <c r="D46" s="159"/>
      <c r="E46" s="159"/>
      <c r="F46" s="159"/>
      <c r="G46" s="2"/>
      <c r="O46" s="34">
        <v>1</v>
      </c>
      <c r="P46" s="155" t="s">
        <v>160</v>
      </c>
      <c r="Q46" s="49">
        <f>39.77%*4</f>
        <v>1.5908</v>
      </c>
      <c r="R46" s="57" t="s">
        <v>83</v>
      </c>
      <c r="S46" s="99">
        <f t="shared" si="30"/>
        <v>1225</v>
      </c>
      <c r="T46" s="100">
        <f t="shared" si="31"/>
        <v>0.96</v>
      </c>
      <c r="U46" s="100">
        <f t="shared" si="32"/>
        <v>0.4</v>
      </c>
      <c r="V46" s="101">
        <f t="shared" si="33"/>
        <v>1.65392</v>
      </c>
      <c r="W46" s="102">
        <f t="shared" si="34"/>
        <v>0.25</v>
      </c>
      <c r="X46" s="101">
        <f t="shared" si="29"/>
        <v>0.488431876606684</v>
      </c>
      <c r="Y46" s="57">
        <f t="shared" si="35"/>
        <v>0.8</v>
      </c>
      <c r="Z46" s="103">
        <v>0</v>
      </c>
      <c r="AA46" s="103">
        <v>0</v>
      </c>
      <c r="AB46" s="36">
        <v>0</v>
      </c>
      <c r="AC46" s="155">
        <f t="shared" si="36"/>
        <v>2203.93207389614</v>
      </c>
    </row>
    <row r="47" s="1" customFormat="1" ht="15" spans="1:29">
      <c r="B47" s="160" t="s">
        <v>132</v>
      </c>
      <c r="C47" s="161" t="s">
        <v>133</v>
      </c>
      <c r="D47" s="161" t="s">
        <v>134</v>
      </c>
      <c r="E47" s="91"/>
      <c r="F47" s="162"/>
      <c r="O47" s="34">
        <v>1</v>
      </c>
      <c r="P47" s="155" t="s">
        <v>95</v>
      </c>
      <c r="Q47" s="49">
        <v>3.51</v>
      </c>
      <c r="R47" s="57" t="s">
        <v>96</v>
      </c>
      <c r="S47" s="99">
        <f t="shared" si="30"/>
        <v>1225</v>
      </c>
      <c r="T47" s="100">
        <f t="shared" si="31"/>
        <v>0.96</v>
      </c>
      <c r="U47" s="100">
        <f t="shared" si="32"/>
        <v>0.4</v>
      </c>
      <c r="V47" s="101">
        <f t="shared" si="33"/>
        <v>1.65392</v>
      </c>
      <c r="W47" s="102">
        <f t="shared" si="34"/>
        <v>0.25</v>
      </c>
      <c r="X47" s="101">
        <f t="shared" si="29"/>
        <v>0.488431876606684</v>
      </c>
      <c r="Y47" s="57">
        <f t="shared" si="35"/>
        <v>0.8</v>
      </c>
      <c r="Z47" s="103">
        <v>0</v>
      </c>
      <c r="AA47" s="103">
        <v>0</v>
      </c>
      <c r="AB47" s="36">
        <v>0</v>
      </c>
      <c r="AC47" s="155">
        <f t="shared" si="36"/>
        <v>4862.83730159383</v>
      </c>
    </row>
    <row r="48" s="1" customFormat="1" ht="15" spans="1:29">
      <c r="B48" s="163"/>
      <c r="C48" s="134" t="s">
        <v>164</v>
      </c>
      <c r="D48" s="134" t="s">
        <v>165</v>
      </c>
      <c r="F48" s="164"/>
      <c r="G48" s="2"/>
      <c r="O48" s="34">
        <v>1</v>
      </c>
      <c r="P48" s="155" t="s">
        <v>161</v>
      </c>
      <c r="Q48" s="49">
        <v>5.2233</v>
      </c>
      <c r="R48" s="57" t="s">
        <v>120</v>
      </c>
      <c r="S48" s="99">
        <f>A34</f>
        <v>3551.269</v>
      </c>
      <c r="T48" s="100">
        <v>0</v>
      </c>
      <c r="U48" s="100">
        <f>E$30+M30</f>
        <v>0.572</v>
      </c>
      <c r="V48" s="101">
        <f>I32+1.6</f>
        <v>3.82</v>
      </c>
      <c r="W48" s="102">
        <f t="shared" si="34"/>
        <v>0.25</v>
      </c>
      <c r="X48" s="101">
        <f t="shared" si="29"/>
        <v>0.488431876606684</v>
      </c>
      <c r="Y48" s="57">
        <f t="shared" si="35"/>
        <v>0.8</v>
      </c>
      <c r="Z48" s="103">
        <v>0</v>
      </c>
      <c r="AA48" s="103">
        <v>0</v>
      </c>
      <c r="AB48" s="36">
        <v>0</v>
      </c>
      <c r="AC48" s="155">
        <f>Q48*S48*(1+T48)*(1+U48)*V48*(1+W48)*X48*Y48*(1+Z48)*(1+AA48)*(1+AB48)*O48</f>
        <v>54406.2064020229</v>
      </c>
    </row>
    <row r="49" s="1" customFormat="1" ht="15" spans="2:29">
      <c r="B49" s="165"/>
      <c r="C49" s="166" t="s">
        <v>177</v>
      </c>
      <c r="D49" s="166" t="s">
        <v>178</v>
      </c>
      <c r="E49" s="128"/>
      <c r="F49" s="52"/>
      <c r="G49" s="2"/>
      <c r="O49" s="51">
        <v>1</v>
      </c>
      <c r="P49" s="155" t="s">
        <v>163</v>
      </c>
      <c r="Q49" s="56">
        <f>258.46%</f>
        <v>2.5846</v>
      </c>
      <c r="R49" s="128" t="s">
        <v>83</v>
      </c>
      <c r="S49" s="129">
        <f>C$34</f>
        <v>1225</v>
      </c>
      <c r="T49" s="130">
        <f>S49/$C$27-1</f>
        <v>0.96</v>
      </c>
      <c r="U49" s="130">
        <f>E$30</f>
        <v>0.4</v>
      </c>
      <c r="V49" s="131">
        <f>1+$G$32*($I$32-1)</f>
        <v>1.65392</v>
      </c>
      <c r="W49" s="132">
        <f t="shared" si="34"/>
        <v>0.25</v>
      </c>
      <c r="X49" s="131">
        <f t="shared" si="29"/>
        <v>0.488431876606684</v>
      </c>
      <c r="Y49" s="128">
        <f t="shared" si="35"/>
        <v>0.8</v>
      </c>
      <c r="Z49" s="133">
        <v>0</v>
      </c>
      <c r="AA49" s="133">
        <v>0</v>
      </c>
      <c r="AB49" s="53">
        <v>0</v>
      </c>
      <c r="AC49" s="155">
        <f>Q49*$C$27*(1+T49)*(1+U49)*V49*(1+W49)*X49*Y49*(1+Z49)*(1+AA49)*(1+AB49)*O49</f>
        <v>3580.76617940154</v>
      </c>
    </row>
    <row r="50" s="1" customFormat="1" spans="2:29">
      <c r="B50" s="4"/>
      <c r="C50" s="4"/>
      <c r="D50" s="4"/>
      <c r="F50" s="4"/>
      <c r="G50" s="2"/>
      <c r="Q50" s="2"/>
      <c r="U50" s="2"/>
      <c r="V50" s="3"/>
      <c r="AB50" s="4"/>
      <c r="AC50" s="4"/>
    </row>
    <row r="51" s="1" customFormat="1" spans="2:29">
      <c r="B51" s="4"/>
      <c r="C51" s="4"/>
      <c r="D51" s="4"/>
      <c r="F51" s="4"/>
      <c r="G51" s="2"/>
      <c r="Q51" s="2"/>
      <c r="U51" s="2"/>
      <c r="V51" s="3"/>
      <c r="AB51" s="4"/>
      <c r="AC51" s="4"/>
    </row>
    <row r="52" s="1" customFormat="1" spans="2:29">
      <c r="G52" s="2"/>
      <c r="Q52" s="2"/>
      <c r="U52" s="2"/>
      <c r="V52" s="3"/>
      <c r="AB52" s="4"/>
      <c r="AC52" s="4"/>
    </row>
    <row r="53" s="1" customFormat="1" spans="2:29">
      <c r="B53" s="4"/>
      <c r="C53" s="4"/>
      <c r="D53" s="4"/>
      <c r="F53" s="4"/>
      <c r="G53" s="2"/>
      <c r="Q53" s="2"/>
      <c r="U53" s="2"/>
      <c r="V53" s="3"/>
      <c r="AB53" s="4"/>
      <c r="AC53" s="4"/>
    </row>
    <row r="54" s="1" customFormat="1" spans="2:29">
      <c r="B54" s="4"/>
      <c r="C54" s="4"/>
      <c r="D54" s="4"/>
      <c r="F54" s="4"/>
      <c r="G54" s="2"/>
      <c r="Q54" s="2"/>
      <c r="U54" s="2"/>
      <c r="V54" s="3"/>
      <c r="AB54" s="4"/>
      <c r="AC54" s="4"/>
    </row>
    <row r="55" s="1" customFormat="1" spans="2:29">
      <c r="G55" s="2"/>
      <c r="Q55" s="2"/>
      <c r="U55" s="2"/>
      <c r="V55" s="3"/>
      <c r="AB55" s="4"/>
      <c r="AC55" s="4"/>
    </row>
    <row r="56" s="1" customFormat="1" spans="2:29">
      <c r="B56" s="4"/>
      <c r="C56" s="4"/>
      <c r="D56" s="4"/>
      <c r="F56" s="4"/>
      <c r="G56" s="2"/>
      <c r="Q56" s="2"/>
      <c r="U56" s="2"/>
      <c r="V56" s="3"/>
      <c r="AB56" s="4"/>
      <c r="AC56" s="4"/>
    </row>
    <row r="57" s="1" customFormat="1" spans="2:29">
      <c r="B57" s="4"/>
      <c r="C57" s="4"/>
      <c r="D57" s="4"/>
      <c r="G57" s="2"/>
      <c r="Q57" s="2"/>
      <c r="U57" s="2"/>
      <c r="V57" s="3"/>
      <c r="AB57" s="4"/>
      <c r="AC57" s="4"/>
    </row>
    <row r="59" s="1" customFormat="1" spans="2:29">
      <c r="B59" s="4"/>
      <c r="C59" s="4"/>
      <c r="D59" s="4"/>
      <c r="G59" s="2"/>
      <c r="Q59" s="2"/>
      <c r="U59" s="2"/>
      <c r="V59" s="3"/>
      <c r="AB59" s="4"/>
      <c r="AC59" s="4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5:M25"/>
    <mergeCell ref="B26:C26"/>
    <mergeCell ref="D26:E26"/>
    <mergeCell ref="F26:G26"/>
    <mergeCell ref="H26:I26"/>
    <mergeCell ref="J26:K26"/>
    <mergeCell ref="L26:M26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9"/>
  <sheetViews>
    <sheetView topLeftCell="C19" workbookViewId="0">
      <selection activeCell="H41" sqref="H41:J47"/>
    </sheetView>
  </sheetViews>
  <sheetFormatPr defaultColWidth="9.69090909090909" defaultRowHeight="14"/>
  <cols>
    <col min="1" max="1" width="7.54545454545455" style="1" customWidth="1"/>
    <col min="2" max="2" width="15" style="1" customWidth="1"/>
    <col min="3" max="3" width="15.3636363636364" style="1" customWidth="1"/>
    <col min="4" max="4" width="13.9090909090909" style="1" customWidth="1"/>
    <col min="5" max="5" width="9.54545454545454" style="1" customWidth="1"/>
    <col min="6" max="6" width="13.9090909090909" style="1" customWidth="1"/>
    <col min="7" max="7" width="8.45454545454546" style="2" customWidth="1"/>
    <col min="8" max="8" width="19.3636363636364" style="1" customWidth="1"/>
    <col min="9" max="9" width="9.36363636363636" style="1" customWidth="1"/>
    <col min="10" max="10" width="16.4545454545455" style="1" customWidth="1"/>
    <col min="11" max="11" width="4.72727272727273" style="1" customWidth="1"/>
    <col min="12" max="12" width="9.54545454545454" style="1" customWidth="1"/>
    <col min="13" max="13" width="7.36363636363636" style="1" customWidth="1"/>
    <col min="14" max="14" width="5.54545454545455" style="1" customWidth="1"/>
    <col min="15" max="15" width="6.09090909090909" style="1" customWidth="1"/>
    <col min="16" max="16" width="17.2727272727273" style="1" customWidth="1"/>
    <col min="17" max="17" width="9.54545454545454" style="2" customWidth="1"/>
    <col min="18" max="18" width="6.09090909090909" style="1" customWidth="1"/>
    <col min="19" max="19" width="10.4545454545455" style="1" customWidth="1"/>
    <col min="20" max="20" width="8.45454545454546" style="1" customWidth="1"/>
    <col min="21" max="21" width="8.45454545454546" style="2" customWidth="1"/>
    <col min="22" max="22" width="8.27272727272727" style="3" customWidth="1"/>
    <col min="23" max="25" width="8.27272727272727" style="1" customWidth="1"/>
    <col min="26" max="26" width="10.4545454545455" style="1" customWidth="1"/>
    <col min="27" max="27" width="8.27272727272727" style="1" customWidth="1"/>
    <col min="28" max="28" width="10.4545454545455" style="4" customWidth="1"/>
    <col min="29" max="29" width="9.45454545454546" style="4" customWidth="1"/>
    <col min="30" max="31" width="5.90909090909091" style="1" customWidth="1"/>
    <col min="32" max="32" width="9.54545454545454" style="1" customWidth="1"/>
    <col min="33" max="33" width="5.90909090909091" style="1" customWidth="1"/>
    <col min="34" max="34" width="8" style="1" customWidth="1"/>
    <col min="35" max="35" width="9.54545454545454" style="1" customWidth="1"/>
    <col min="36" max="16384" width="9.69090909090909" style="1"/>
  </cols>
  <sheetData>
    <row r="1" s="1" customFormat="1" ht="14.75" spans="2:35">
      <c r="B1" s="5" t="s">
        <v>0</v>
      </c>
      <c r="C1" s="5" t="s">
        <v>83</v>
      </c>
      <c r="D1" s="6" t="s">
        <v>2</v>
      </c>
      <c r="E1" s="6">
        <v>2</v>
      </c>
      <c r="Q1" s="2"/>
      <c r="U1" s="2"/>
      <c r="V1" s="3"/>
      <c r="AB1" s="4"/>
      <c r="AC1" s="4"/>
    </row>
    <row r="2" s="1" customFormat="1" ht="15" spans="2:35">
      <c r="B2" s="7" t="s">
        <v>84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4</v>
      </c>
      <c r="P2" s="11" t="s">
        <v>5</v>
      </c>
      <c r="Q2" s="12" t="s">
        <v>6</v>
      </c>
      <c r="R2" s="11" t="s">
        <v>7</v>
      </c>
      <c r="S2" s="11" t="s">
        <v>8</v>
      </c>
      <c r="T2" s="13" t="s">
        <v>9</v>
      </c>
      <c r="U2" s="12" t="s">
        <v>10</v>
      </c>
      <c r="V2" s="14" t="s">
        <v>11</v>
      </c>
      <c r="W2" s="11" t="s">
        <v>12</v>
      </c>
      <c r="X2" s="11" t="s">
        <v>13</v>
      </c>
      <c r="Y2" s="11" t="s">
        <v>14</v>
      </c>
      <c r="Z2" s="11" t="s">
        <v>15</v>
      </c>
      <c r="AA2" s="11" t="s">
        <v>16</v>
      </c>
      <c r="AB2" s="15" t="s">
        <v>17</v>
      </c>
      <c r="AC2" s="16" t="s">
        <v>18</v>
      </c>
      <c r="AD2" s="17" t="s">
        <v>85</v>
      </c>
      <c r="AE2" s="17" t="s">
        <v>86</v>
      </c>
      <c r="AF2" s="18" t="s">
        <v>21</v>
      </c>
      <c r="AG2" s="18" t="s">
        <v>22</v>
      </c>
      <c r="AH2" s="19" t="s">
        <v>13</v>
      </c>
      <c r="AI2" s="19" t="s">
        <v>23</v>
      </c>
    </row>
    <row r="3" s="1" customFormat="1" ht="15" spans="2:35">
      <c r="B3" s="20" t="s">
        <v>24</v>
      </c>
      <c r="C3" s="21"/>
      <c r="D3" s="20" t="s">
        <v>10</v>
      </c>
      <c r="E3" s="21"/>
      <c r="F3" s="20" t="s">
        <v>25</v>
      </c>
      <c r="G3" s="21"/>
      <c r="H3" s="20" t="s">
        <v>26</v>
      </c>
      <c r="I3" s="21"/>
      <c r="J3" s="20" t="s">
        <v>12</v>
      </c>
      <c r="K3" s="21"/>
      <c r="L3" s="20" t="s">
        <v>27</v>
      </c>
      <c r="M3" s="21"/>
      <c r="O3" s="22">
        <v>1</v>
      </c>
      <c r="P3" s="23" t="s">
        <v>87</v>
      </c>
      <c r="Q3" s="24">
        <v>5.9643</v>
      </c>
      <c r="R3" s="25" t="s">
        <v>83</v>
      </c>
      <c r="S3" s="26">
        <f t="shared" ref="S3:S18" si="0">$C$4*(1+C$5+C$6+C$7+C$8)+C$9</f>
        <v>3102.512</v>
      </c>
      <c r="T3" s="27">
        <f t="shared" ref="T3:T27" si="1">S3/$C$4-1</f>
        <v>2.029796875</v>
      </c>
      <c r="U3" s="27">
        <f t="shared" ref="U3:U7" si="2">IF(R3=$C$1,SUM($E$4:$E$9),SUM($E$4:$E$8))</f>
        <v>1.912</v>
      </c>
      <c r="V3" s="28">
        <f t="shared" ref="V3:V27" si="3">1+$G$10*($I$10-1+AD3*2.5%+AE3*1%)</f>
        <v>3.60148</v>
      </c>
      <c r="W3" s="29">
        <f t="shared" ref="W3:W7" si="4">IF(R3=$C$1,$K$4+$K$5,$K$4)</f>
        <v>0.7</v>
      </c>
      <c r="X3" s="28">
        <f t="shared" ref="X3:X27" si="5">$AH$4</f>
        <v>0.509274150316286</v>
      </c>
      <c r="Y3" s="25">
        <f t="shared" ref="Y3:Y30" si="6">$AH$11</f>
        <v>0.8</v>
      </c>
      <c r="Z3" s="30">
        <v>0</v>
      </c>
      <c r="AA3" s="30">
        <v>0</v>
      </c>
      <c r="AB3" s="31">
        <v>0</v>
      </c>
      <c r="AC3" s="23">
        <f t="shared" ref="AC3:AC27" si="7">Q3*$C$4*(1+T3)*(1+U3)*V3*(1+W3)*X3*Y3*(1+Z3)*(1+AA3)*(1+AB3)*O3</f>
        <v>134411.327140951</v>
      </c>
      <c r="AD3" s="32">
        <v>24</v>
      </c>
      <c r="AE3" s="32">
        <v>23</v>
      </c>
      <c r="AF3" s="18">
        <v>0</v>
      </c>
      <c r="AG3" s="18">
        <v>0</v>
      </c>
      <c r="AH3" s="19">
        <f t="shared" ref="AH3:AH8" si="8">1520/(1520+(792+8*AI3)*(1-AG3/100))</f>
        <v>0.488431876606684</v>
      </c>
      <c r="AI3" s="33">
        <v>100</v>
      </c>
    </row>
    <row r="4" s="1" customFormat="1" ht="15" spans="2:35">
      <c r="B4" s="34" t="s">
        <v>28</v>
      </c>
      <c r="C4" s="35">
        <f>437+587</f>
        <v>1024</v>
      </c>
      <c r="D4" s="34" t="s">
        <v>29</v>
      </c>
      <c r="E4" s="36">
        <f>E1*30%</f>
        <v>0.6</v>
      </c>
      <c r="F4" s="34" t="s">
        <v>30</v>
      </c>
      <c r="G4" s="37">
        <v>0.13</v>
      </c>
      <c r="H4" s="34" t="s">
        <v>30</v>
      </c>
      <c r="I4" s="37">
        <v>1.5</v>
      </c>
      <c r="J4" s="38" t="s">
        <v>31</v>
      </c>
      <c r="K4" s="39">
        <f>25%+20%</f>
        <v>0.45</v>
      </c>
      <c r="L4" s="34" t="s">
        <v>32</v>
      </c>
      <c r="M4" s="37">
        <f>8.6%*3</f>
        <v>0.258</v>
      </c>
      <c r="O4" s="40">
        <v>1</v>
      </c>
      <c r="P4" s="23" t="s">
        <v>88</v>
      </c>
      <c r="Q4" s="41">
        <f>39.23%+26.15%*2</f>
        <v>0.9153</v>
      </c>
      <c r="R4" s="42" t="s">
        <v>1</v>
      </c>
      <c r="S4" s="43">
        <f t="shared" si="0"/>
        <v>3102.512</v>
      </c>
      <c r="T4" s="44">
        <f t="shared" si="1"/>
        <v>2.029796875</v>
      </c>
      <c r="U4" s="44">
        <f t="shared" si="2"/>
        <v>1.42</v>
      </c>
      <c r="V4" s="28">
        <f t="shared" si="3"/>
        <v>3.60148</v>
      </c>
      <c r="W4" s="45">
        <f t="shared" si="4"/>
        <v>0.45</v>
      </c>
      <c r="X4" s="46">
        <f t="shared" si="5"/>
        <v>0.509274150316286</v>
      </c>
      <c r="Y4" s="42">
        <f t="shared" si="6"/>
        <v>0.8</v>
      </c>
      <c r="Z4" s="47">
        <v>0</v>
      </c>
      <c r="AA4" s="47">
        <v>0</v>
      </c>
      <c r="AB4" s="48">
        <v>0</v>
      </c>
      <c r="AC4" s="23">
        <f t="shared" si="7"/>
        <v>14621.1969694412</v>
      </c>
      <c r="AD4" s="32">
        <v>24</v>
      </c>
      <c r="AE4" s="32">
        <v>23</v>
      </c>
      <c r="AF4" s="18">
        <v>8</v>
      </c>
      <c r="AG4" s="18">
        <v>0</v>
      </c>
      <c r="AH4" s="19">
        <f>1520/(1520+(792+8*AI4)*(1-AG4/100)*(1-AF4/100))</f>
        <v>0.509274150316286</v>
      </c>
      <c r="AI4" s="33">
        <v>100</v>
      </c>
    </row>
    <row r="5" s="1" customFormat="1" ht="15" spans="2:35">
      <c r="B5" s="34" t="s">
        <v>33</v>
      </c>
      <c r="C5" s="37">
        <f>12%+12%</f>
        <v>0.24</v>
      </c>
      <c r="D5" s="34" t="s">
        <v>34</v>
      </c>
      <c r="E5" s="36">
        <f>12%+10%</f>
        <v>0.22</v>
      </c>
      <c r="F5" s="34" t="s">
        <v>35</v>
      </c>
      <c r="G5" s="37">
        <v>0.243</v>
      </c>
      <c r="H5" s="34" t="s">
        <v>35</v>
      </c>
      <c r="I5" s="37">
        <v>0</v>
      </c>
      <c r="J5" s="49" t="s">
        <v>89</v>
      </c>
      <c r="K5" s="36">
        <v>0.25</v>
      </c>
      <c r="L5" s="34" t="s">
        <v>37</v>
      </c>
      <c r="M5" s="37">
        <f>8.6%*2</f>
        <v>0.172</v>
      </c>
      <c r="O5" s="40">
        <v>1</v>
      </c>
      <c r="P5" s="23" t="s">
        <v>168</v>
      </c>
      <c r="Q5" s="41">
        <v>2.1642</v>
      </c>
      <c r="R5" s="42" t="s">
        <v>96</v>
      </c>
      <c r="S5" s="43">
        <f t="shared" si="0"/>
        <v>3102.512</v>
      </c>
      <c r="T5" s="44">
        <f t="shared" si="1"/>
        <v>2.029796875</v>
      </c>
      <c r="U5" s="44">
        <f>IF(R5=$C$1,SUM($E$4:$E$9),SUM($E$4:$E$8))+$E$10</f>
        <v>1.97</v>
      </c>
      <c r="V5" s="28">
        <f t="shared" si="3"/>
        <v>3.67972</v>
      </c>
      <c r="W5" s="45">
        <f>IF(R5=$C$1,$K$4+$K$5,$K$4)+$K$6</f>
        <v>1.57</v>
      </c>
      <c r="X5" s="46">
        <f t="shared" si="5"/>
        <v>0.509274150316286</v>
      </c>
      <c r="Y5" s="42">
        <f t="shared" si="6"/>
        <v>0.8</v>
      </c>
      <c r="Z5" s="47">
        <v>0</v>
      </c>
      <c r="AA5" s="47">
        <v>0</v>
      </c>
      <c r="AB5" s="48">
        <v>0</v>
      </c>
      <c r="AC5" s="23">
        <f t="shared" si="7"/>
        <v>76834.5988935091</v>
      </c>
      <c r="AD5" s="32">
        <v>24</v>
      </c>
      <c r="AE5" s="32">
        <v>31</v>
      </c>
      <c r="AF5" s="18">
        <v>0</v>
      </c>
      <c r="AG5" s="18">
        <v>30</v>
      </c>
      <c r="AH5" s="19">
        <f t="shared" si="8"/>
        <v>0.57698147585788</v>
      </c>
      <c r="AI5" s="33">
        <v>100</v>
      </c>
    </row>
    <row r="6" s="1" customFormat="1" ht="15" spans="2:35">
      <c r="B6" s="34" t="s">
        <v>39</v>
      </c>
      <c r="C6" s="37">
        <f>18%+18%+M4+(2-E1)*30%</f>
        <v>0.618</v>
      </c>
      <c r="D6" s="34" t="s">
        <v>40</v>
      </c>
      <c r="E6" s="36"/>
      <c r="F6" s="34" t="s">
        <v>41</v>
      </c>
      <c r="G6" s="37">
        <v>0.2</v>
      </c>
      <c r="H6" s="34" t="s">
        <v>41</v>
      </c>
      <c r="I6" s="37">
        <v>0</v>
      </c>
      <c r="J6" s="49" t="s">
        <v>91</v>
      </c>
      <c r="K6" s="36">
        <f>32%+80%</f>
        <v>1.12</v>
      </c>
      <c r="L6" s="34" t="s">
        <v>25</v>
      </c>
      <c r="M6" s="37">
        <f>8.1*5%</f>
        <v>0.405</v>
      </c>
      <c r="O6" s="40">
        <v>1</v>
      </c>
      <c r="P6" s="23" t="s">
        <v>90</v>
      </c>
      <c r="Q6" s="41">
        <f>37.88%*4+117.88%*3</f>
        <v>5.0516</v>
      </c>
      <c r="R6" s="42" t="s">
        <v>83</v>
      </c>
      <c r="S6" s="43">
        <f t="shared" si="0"/>
        <v>3102.512</v>
      </c>
      <c r="T6" s="44">
        <f t="shared" si="1"/>
        <v>2.029796875</v>
      </c>
      <c r="U6" s="44">
        <f t="shared" si="2"/>
        <v>1.912</v>
      </c>
      <c r="V6" s="28">
        <f t="shared" si="3"/>
        <v>3.67972</v>
      </c>
      <c r="W6" s="45">
        <f t="shared" si="4"/>
        <v>0.7</v>
      </c>
      <c r="X6" s="46">
        <f t="shared" si="5"/>
        <v>0.509274150316286</v>
      </c>
      <c r="Y6" s="42">
        <f t="shared" si="6"/>
        <v>0.8</v>
      </c>
      <c r="Z6" s="47">
        <v>0.8</v>
      </c>
      <c r="AA6" s="47">
        <v>0</v>
      </c>
      <c r="AB6" s="48">
        <v>0</v>
      </c>
      <c r="AC6" s="23">
        <f t="shared" si="7"/>
        <v>209368.631697459</v>
      </c>
      <c r="AD6" s="32">
        <v>24</v>
      </c>
      <c r="AE6" s="32">
        <v>31</v>
      </c>
      <c r="AF6" s="18">
        <v>0</v>
      </c>
      <c r="AG6" s="18">
        <v>21.6</v>
      </c>
      <c r="AH6" s="19">
        <f t="shared" si="8"/>
        <v>0.549107555719967</v>
      </c>
      <c r="AI6" s="33">
        <v>100</v>
      </c>
    </row>
    <row r="7" s="1" customFormat="1" ht="15" spans="2:35">
      <c r="B7" s="34" t="s">
        <v>179</v>
      </c>
      <c r="C7" s="37">
        <v>0.33</v>
      </c>
      <c r="D7" s="34" t="s">
        <v>44</v>
      </c>
      <c r="E7" s="36">
        <f>40%</f>
        <v>0.4</v>
      </c>
      <c r="F7" s="34" t="s">
        <v>39</v>
      </c>
      <c r="G7" s="37">
        <f>M6</f>
        <v>0.405</v>
      </c>
      <c r="H7" s="34" t="s">
        <v>39</v>
      </c>
      <c r="I7" s="37">
        <f>M7</f>
        <v>0.81</v>
      </c>
      <c r="J7" s="49"/>
      <c r="K7" s="36"/>
      <c r="L7" s="34" t="s">
        <v>45</v>
      </c>
      <c r="M7" s="36">
        <f>16.2%*5</f>
        <v>0.81</v>
      </c>
      <c r="O7" s="40">
        <v>1</v>
      </c>
      <c r="P7" s="23" t="s">
        <v>83</v>
      </c>
      <c r="Q7" s="41">
        <f>105.97%*2</f>
        <v>2.1194</v>
      </c>
      <c r="R7" s="42" t="s">
        <v>83</v>
      </c>
      <c r="S7" s="43">
        <f t="shared" si="0"/>
        <v>3102.512</v>
      </c>
      <c r="T7" s="44">
        <f t="shared" si="1"/>
        <v>2.029796875</v>
      </c>
      <c r="U7" s="44">
        <f t="shared" si="2"/>
        <v>1.912</v>
      </c>
      <c r="V7" s="28">
        <f t="shared" si="3"/>
        <v>3.67972</v>
      </c>
      <c r="W7" s="45">
        <f t="shared" si="4"/>
        <v>0.7</v>
      </c>
      <c r="X7" s="46">
        <f t="shared" si="5"/>
        <v>0.509274150316286</v>
      </c>
      <c r="Y7" s="42">
        <f t="shared" si="6"/>
        <v>0.8</v>
      </c>
      <c r="Z7" s="47">
        <v>0</v>
      </c>
      <c r="AA7" s="47">
        <v>0</v>
      </c>
      <c r="AB7" s="48">
        <v>0</v>
      </c>
      <c r="AC7" s="23">
        <f t="shared" si="7"/>
        <v>48800.366662663</v>
      </c>
      <c r="AD7" s="32">
        <v>24</v>
      </c>
      <c r="AE7" s="32">
        <v>31</v>
      </c>
      <c r="AF7" s="18">
        <v>0</v>
      </c>
      <c r="AG7" s="18">
        <v>28.8</v>
      </c>
      <c r="AH7" s="19">
        <f t="shared" si="8"/>
        <v>0.572827476423627</v>
      </c>
      <c r="AI7" s="33">
        <v>100</v>
      </c>
    </row>
    <row r="8" s="1" customFormat="1" ht="15" spans="2:35">
      <c r="B8" s="34" t="s">
        <v>46</v>
      </c>
      <c r="C8" s="37">
        <f>25%+25%</f>
        <v>0.5</v>
      </c>
      <c r="D8" s="34" t="s">
        <v>47</v>
      </c>
      <c r="E8" s="50">
        <v>0.2</v>
      </c>
      <c r="F8" s="34" t="s">
        <v>48</v>
      </c>
      <c r="G8" s="37">
        <v>0</v>
      </c>
      <c r="H8" s="34" t="s">
        <v>48</v>
      </c>
      <c r="I8" s="37">
        <v>0</v>
      </c>
      <c r="J8" s="49"/>
      <c r="K8" s="36"/>
      <c r="L8" s="34"/>
      <c r="M8" s="35"/>
      <c r="O8" s="40">
        <v>1</v>
      </c>
      <c r="P8" s="23" t="s">
        <v>168</v>
      </c>
      <c r="Q8" s="41">
        <v>2.1642</v>
      </c>
      <c r="R8" s="42" t="s">
        <v>96</v>
      </c>
      <c r="S8" s="43">
        <f t="shared" si="0"/>
        <v>3102.512</v>
      </c>
      <c r="T8" s="44">
        <f t="shared" si="1"/>
        <v>2.029796875</v>
      </c>
      <c r="U8" s="44">
        <f>IF(R8=$C$1,SUM($E$4:$E$9),SUM($E$4:$E$8))+$E$10</f>
        <v>1.97</v>
      </c>
      <c r="V8" s="28">
        <f t="shared" si="3"/>
        <v>3.75796</v>
      </c>
      <c r="W8" s="45">
        <f>IF(R8=$C$1,$K$4+$K$5,$K$4)+$K$6</f>
        <v>1.57</v>
      </c>
      <c r="X8" s="46">
        <f t="shared" si="5"/>
        <v>0.509274150316286</v>
      </c>
      <c r="Y8" s="42">
        <f t="shared" si="6"/>
        <v>0.8</v>
      </c>
      <c r="Z8" s="47">
        <v>0</v>
      </c>
      <c r="AA8" s="47">
        <v>0</v>
      </c>
      <c r="AB8" s="48">
        <v>0</v>
      </c>
      <c r="AC8" s="23">
        <f t="shared" si="7"/>
        <v>78468.2935815365</v>
      </c>
      <c r="AD8" s="32">
        <v>24</v>
      </c>
      <c r="AE8" s="32">
        <v>39</v>
      </c>
      <c r="AF8" s="18">
        <v>0</v>
      </c>
      <c r="AG8" s="18">
        <v>36</v>
      </c>
      <c r="AH8" s="19">
        <f t="shared" si="8"/>
        <v>0.598689185782707</v>
      </c>
      <c r="AI8" s="33">
        <v>100</v>
      </c>
    </row>
    <row r="9" s="1" customFormat="1" ht="15" spans="2:35">
      <c r="B9" s="34" t="s">
        <v>49</v>
      </c>
      <c r="C9" s="35">
        <v>350</v>
      </c>
      <c r="D9" s="34" t="s">
        <v>93</v>
      </c>
      <c r="E9" s="36">
        <f>32%+M5</f>
        <v>0.492</v>
      </c>
      <c r="F9" s="34" t="s">
        <v>51</v>
      </c>
      <c r="G9" s="37"/>
      <c r="H9" s="34" t="s">
        <v>51</v>
      </c>
      <c r="I9" s="37">
        <v>0.52</v>
      </c>
      <c r="J9" s="49"/>
      <c r="K9" s="36"/>
      <c r="L9" s="34"/>
      <c r="M9" s="35"/>
      <c r="O9" s="40">
        <v>1</v>
      </c>
      <c r="P9" s="23" t="s">
        <v>90</v>
      </c>
      <c r="Q9" s="41">
        <f>37.88%*4+117.88%*3</f>
        <v>5.0516</v>
      </c>
      <c r="R9" s="42" t="s">
        <v>83</v>
      </c>
      <c r="S9" s="43">
        <f t="shared" si="0"/>
        <v>3102.512</v>
      </c>
      <c r="T9" s="44">
        <f t="shared" si="1"/>
        <v>2.029796875</v>
      </c>
      <c r="U9" s="44">
        <f t="shared" ref="U9:U13" si="9">IF(R9=$C$1,SUM($E$4:$E$9),SUM($E$4:$E$8))</f>
        <v>1.912</v>
      </c>
      <c r="V9" s="28">
        <f t="shared" si="3"/>
        <v>3.75796</v>
      </c>
      <c r="W9" s="45">
        <f t="shared" ref="W9:W13" si="10">IF(R9=$C$1,$K$4+$K$5,$K$4)</f>
        <v>0.7</v>
      </c>
      <c r="X9" s="46">
        <f t="shared" si="5"/>
        <v>0.509274150316286</v>
      </c>
      <c r="Y9" s="42">
        <f t="shared" si="6"/>
        <v>0.8</v>
      </c>
      <c r="Z9" s="47">
        <v>0.8</v>
      </c>
      <c r="AA9" s="47">
        <v>0</v>
      </c>
      <c r="AB9" s="48">
        <v>0</v>
      </c>
      <c r="AC9" s="23">
        <f t="shared" si="7"/>
        <v>213820.329583171</v>
      </c>
      <c r="AD9" s="32">
        <v>24</v>
      </c>
      <c r="AE9" s="32">
        <v>39</v>
      </c>
    </row>
    <row r="10" s="1" customFormat="1" ht="15" spans="2:35">
      <c r="B10" s="51" t="s">
        <v>52</v>
      </c>
      <c r="C10" s="52"/>
      <c r="D10" s="51" t="s">
        <v>94</v>
      </c>
      <c r="E10" s="53">
        <f>20%+35%</f>
        <v>0.55</v>
      </c>
      <c r="F10" s="54" t="s">
        <v>53</v>
      </c>
      <c r="G10" s="55">
        <f>MIN(100%,SUM(G4:G9))</f>
        <v>0.978</v>
      </c>
      <c r="H10" s="54" t="s">
        <v>54</v>
      </c>
      <c r="I10" s="55">
        <f>SUM(I4:I9)</f>
        <v>2.83</v>
      </c>
      <c r="J10" s="56"/>
      <c r="K10" s="53"/>
      <c r="L10" s="51"/>
      <c r="M10" s="52"/>
      <c r="O10" s="40">
        <v>1</v>
      </c>
      <c r="P10" s="23" t="s">
        <v>92</v>
      </c>
      <c r="Q10" s="41">
        <f>53.45%*2+95.43%+39.23%+26.15%*2</f>
        <v>2.9386</v>
      </c>
      <c r="R10" s="42" t="s">
        <v>1</v>
      </c>
      <c r="S10" s="43">
        <f t="shared" si="0"/>
        <v>3102.512</v>
      </c>
      <c r="T10" s="44">
        <f t="shared" si="1"/>
        <v>2.029796875</v>
      </c>
      <c r="U10" s="44">
        <f t="shared" si="9"/>
        <v>1.42</v>
      </c>
      <c r="V10" s="28">
        <f t="shared" si="3"/>
        <v>3.75796</v>
      </c>
      <c r="W10" s="45">
        <f t="shared" si="10"/>
        <v>0.45</v>
      </c>
      <c r="X10" s="46">
        <f t="shared" si="5"/>
        <v>0.509274150316286</v>
      </c>
      <c r="Y10" s="42">
        <f t="shared" si="6"/>
        <v>0.8</v>
      </c>
      <c r="Z10" s="47">
        <v>0</v>
      </c>
      <c r="AA10" s="47">
        <v>0</v>
      </c>
      <c r="AB10" s="48">
        <v>0</v>
      </c>
      <c r="AC10" s="23">
        <f t="shared" si="7"/>
        <v>48981.3877424284</v>
      </c>
      <c r="AD10" s="32">
        <v>24</v>
      </c>
      <c r="AE10" s="32">
        <v>39</v>
      </c>
    </row>
    <row r="11" s="1" customFormat="1" ht="15" spans="2:35">
      <c r="B11" s="57"/>
      <c r="C11" s="57"/>
      <c r="E11" s="58"/>
      <c r="F11" s="20" t="s">
        <v>55</v>
      </c>
      <c r="G11" s="59">
        <f>MAX(0,SUM(G4:G9)-1)</f>
        <v>0</v>
      </c>
      <c r="J11" s="2"/>
      <c r="K11" s="2"/>
      <c r="O11" s="40">
        <v>1</v>
      </c>
      <c r="P11" s="23" t="s">
        <v>168</v>
      </c>
      <c r="Q11" s="41">
        <v>2.1642</v>
      </c>
      <c r="R11" s="42" t="s">
        <v>96</v>
      </c>
      <c r="S11" s="43">
        <f t="shared" si="0"/>
        <v>3102.512</v>
      </c>
      <c r="T11" s="44">
        <f t="shared" si="1"/>
        <v>2.029796875</v>
      </c>
      <c r="U11" s="44">
        <f t="shared" ref="U11:U15" si="11">IF(R11=$C$1,SUM($E$4:$E$9),SUM($E$4:$E$8))+$E$10</f>
        <v>1.97</v>
      </c>
      <c r="V11" s="28">
        <f t="shared" si="3"/>
        <v>3.8362</v>
      </c>
      <c r="W11" s="45">
        <f t="shared" ref="W11:W15" si="12">IF(R11=$C$1,$K$4+$K$5,$K$4)+$K$6</f>
        <v>1.57</v>
      </c>
      <c r="X11" s="46">
        <f t="shared" si="5"/>
        <v>0.509274150316286</v>
      </c>
      <c r="Y11" s="42">
        <f t="shared" si="6"/>
        <v>0.8</v>
      </c>
      <c r="Z11" s="47">
        <v>0</v>
      </c>
      <c r="AA11" s="47">
        <v>0</v>
      </c>
      <c r="AB11" s="48">
        <v>0</v>
      </c>
      <c r="AC11" s="23">
        <f t="shared" si="7"/>
        <v>80101.9882695639</v>
      </c>
      <c r="AD11" s="32">
        <v>24</v>
      </c>
      <c r="AE11" s="32">
        <v>47</v>
      </c>
      <c r="AG11" s="60" t="s">
        <v>97</v>
      </c>
      <c r="AH11" s="60">
        <v>0.8</v>
      </c>
    </row>
    <row r="12" s="1" customFormat="1" ht="15" spans="2:35">
      <c r="B12" s="57"/>
      <c r="C12" s="57"/>
      <c r="E12" s="58"/>
      <c r="G12" s="61"/>
      <c r="J12" s="2"/>
      <c r="K12" s="2"/>
      <c r="O12" s="40">
        <v>1</v>
      </c>
      <c r="P12" s="23" t="s">
        <v>90</v>
      </c>
      <c r="Q12" s="41">
        <f>37.88%*4+117.88%*3</f>
        <v>5.0516</v>
      </c>
      <c r="R12" s="42" t="s">
        <v>83</v>
      </c>
      <c r="S12" s="43">
        <f t="shared" si="0"/>
        <v>3102.512</v>
      </c>
      <c r="T12" s="44">
        <f t="shared" si="1"/>
        <v>2.029796875</v>
      </c>
      <c r="U12" s="44">
        <f t="shared" si="9"/>
        <v>1.912</v>
      </c>
      <c r="V12" s="28">
        <f t="shared" si="3"/>
        <v>3.8362</v>
      </c>
      <c r="W12" s="45">
        <f t="shared" si="10"/>
        <v>0.7</v>
      </c>
      <c r="X12" s="46">
        <f t="shared" si="5"/>
        <v>0.509274150316286</v>
      </c>
      <c r="Y12" s="42">
        <f t="shared" si="6"/>
        <v>0.8</v>
      </c>
      <c r="Z12" s="47">
        <v>0.8</v>
      </c>
      <c r="AA12" s="47">
        <v>0</v>
      </c>
      <c r="AB12" s="48">
        <v>0</v>
      </c>
      <c r="AC12" s="23">
        <f t="shared" si="7"/>
        <v>218272.027468882</v>
      </c>
      <c r="AD12" s="32">
        <v>24</v>
      </c>
      <c r="AE12" s="32">
        <v>47</v>
      </c>
      <c r="AG12" s="62" t="s">
        <v>98</v>
      </c>
      <c r="AH12" s="62">
        <v>0.8</v>
      </c>
    </row>
    <row r="13" s="1" customFormat="1" ht="15" spans="2:35">
      <c r="B13" s="5" t="s">
        <v>0</v>
      </c>
      <c r="C13" s="5" t="s">
        <v>1</v>
      </c>
      <c r="D13" s="6" t="s">
        <v>2</v>
      </c>
      <c r="E13" s="6">
        <v>2</v>
      </c>
      <c r="O13" s="40">
        <v>1</v>
      </c>
      <c r="P13" s="23" t="s">
        <v>92</v>
      </c>
      <c r="Q13" s="41">
        <f>53.45%*2+95.43%+39.23%+26.15%*2</f>
        <v>2.9386</v>
      </c>
      <c r="R13" s="42" t="s">
        <v>1</v>
      </c>
      <c r="S13" s="43">
        <f t="shared" si="0"/>
        <v>3102.512</v>
      </c>
      <c r="T13" s="44">
        <f t="shared" si="1"/>
        <v>2.029796875</v>
      </c>
      <c r="U13" s="44">
        <f t="shared" si="9"/>
        <v>1.42</v>
      </c>
      <c r="V13" s="28">
        <f t="shared" si="3"/>
        <v>3.8362</v>
      </c>
      <c r="W13" s="45">
        <f t="shared" si="10"/>
        <v>0.45</v>
      </c>
      <c r="X13" s="46">
        <f t="shared" si="5"/>
        <v>0.509274150316286</v>
      </c>
      <c r="Y13" s="42">
        <f t="shared" si="6"/>
        <v>0.8</v>
      </c>
      <c r="Z13" s="47">
        <v>0</v>
      </c>
      <c r="AA13" s="47">
        <v>0</v>
      </c>
      <c r="AB13" s="48">
        <v>0</v>
      </c>
      <c r="AC13" s="23">
        <f t="shared" si="7"/>
        <v>50001.1707568745</v>
      </c>
      <c r="AD13" s="32">
        <v>24</v>
      </c>
      <c r="AE13" s="32">
        <v>47</v>
      </c>
      <c r="AG13" s="1" t="s">
        <v>63</v>
      </c>
      <c r="AH13" s="1">
        <v>0.8</v>
      </c>
    </row>
    <row r="14" s="1" customFormat="1" ht="15" spans="2:35">
      <c r="B14" s="63" t="s">
        <v>100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O14" s="40">
        <v>1</v>
      </c>
      <c r="P14" s="23" t="s">
        <v>95</v>
      </c>
      <c r="Q14" s="41">
        <f>152.39%*3</f>
        <v>4.5717</v>
      </c>
      <c r="R14" s="42" t="s">
        <v>96</v>
      </c>
      <c r="S14" s="43">
        <f t="shared" si="0"/>
        <v>3102.512</v>
      </c>
      <c r="T14" s="44">
        <f t="shared" si="1"/>
        <v>2.029796875</v>
      </c>
      <c r="U14" s="44">
        <f t="shared" si="11"/>
        <v>1.97</v>
      </c>
      <c r="V14" s="28">
        <f t="shared" si="3"/>
        <v>3.8362</v>
      </c>
      <c r="W14" s="45">
        <f t="shared" si="12"/>
        <v>1.57</v>
      </c>
      <c r="X14" s="46">
        <f t="shared" si="5"/>
        <v>0.509274150316286</v>
      </c>
      <c r="Y14" s="42">
        <f t="shared" si="6"/>
        <v>0.8</v>
      </c>
      <c r="Z14" s="47">
        <v>0</v>
      </c>
      <c r="AA14" s="47">
        <v>0</v>
      </c>
      <c r="AB14" s="48">
        <v>0</v>
      </c>
      <c r="AC14" s="23">
        <f t="shared" si="7"/>
        <v>169209.065600206</v>
      </c>
      <c r="AD14" s="32">
        <v>24</v>
      </c>
      <c r="AE14" s="32">
        <v>47</v>
      </c>
      <c r="AG14" s="64" t="s">
        <v>137</v>
      </c>
      <c r="AH14" s="64">
        <v>0.8</v>
      </c>
    </row>
    <row r="15" s="1" customFormat="1" ht="15" spans="2:35">
      <c r="B15" s="65" t="s">
        <v>24</v>
      </c>
      <c r="C15" s="65"/>
      <c r="D15" s="65" t="s">
        <v>10</v>
      </c>
      <c r="E15" s="65"/>
      <c r="F15" s="65" t="s">
        <v>25</v>
      </c>
      <c r="G15" s="65"/>
      <c r="H15" s="65" t="s">
        <v>26</v>
      </c>
      <c r="I15" s="65"/>
      <c r="J15" s="65" t="s">
        <v>12</v>
      </c>
      <c r="K15" s="65"/>
      <c r="L15" s="65" t="s">
        <v>27</v>
      </c>
      <c r="M15" s="65"/>
      <c r="O15" s="40">
        <v>1</v>
      </c>
      <c r="P15" s="23" t="s">
        <v>168</v>
      </c>
      <c r="Q15" s="41">
        <v>2.1642</v>
      </c>
      <c r="R15" s="42" t="s">
        <v>96</v>
      </c>
      <c r="S15" s="43">
        <f t="shared" si="0"/>
        <v>3102.512</v>
      </c>
      <c r="T15" s="44">
        <f t="shared" si="1"/>
        <v>2.029796875</v>
      </c>
      <c r="U15" s="44">
        <f t="shared" si="11"/>
        <v>1.97</v>
      </c>
      <c r="V15" s="28">
        <f t="shared" si="3"/>
        <v>3.91444</v>
      </c>
      <c r="W15" s="45">
        <f t="shared" si="12"/>
        <v>1.57</v>
      </c>
      <c r="X15" s="46">
        <f t="shared" si="5"/>
        <v>0.509274150316286</v>
      </c>
      <c r="Y15" s="42">
        <f t="shared" si="6"/>
        <v>0.8</v>
      </c>
      <c r="Z15" s="47">
        <v>0</v>
      </c>
      <c r="AA15" s="47">
        <v>0</v>
      </c>
      <c r="AB15" s="48">
        <v>0</v>
      </c>
      <c r="AC15" s="23">
        <f t="shared" si="7"/>
        <v>81735.6829575913</v>
      </c>
      <c r="AD15" s="32">
        <v>24</v>
      </c>
      <c r="AE15" s="32">
        <v>55</v>
      </c>
    </row>
    <row r="16" s="1" customFormat="1" ht="15" spans="2:35">
      <c r="B16" s="66" t="s">
        <v>28</v>
      </c>
      <c r="C16" s="67">
        <f>400+500</f>
        <v>900</v>
      </c>
      <c r="D16" s="66" t="s">
        <v>29</v>
      </c>
      <c r="E16" s="39">
        <f>E13*30%</f>
        <v>0.6</v>
      </c>
      <c r="F16" s="66" t="s">
        <v>30</v>
      </c>
      <c r="G16" s="68">
        <v>0.13</v>
      </c>
      <c r="H16" s="66" t="s">
        <v>30</v>
      </c>
      <c r="I16" s="68">
        <v>1.5</v>
      </c>
      <c r="J16" s="38" t="s">
        <v>31</v>
      </c>
      <c r="K16" s="39">
        <v>0.25</v>
      </c>
      <c r="L16" s="66" t="s">
        <v>32</v>
      </c>
      <c r="M16" s="68">
        <v>0.086</v>
      </c>
      <c r="O16" s="40">
        <v>1</v>
      </c>
      <c r="P16" s="23" t="s">
        <v>90</v>
      </c>
      <c r="Q16" s="41">
        <f>37.88%*4+117.88%*3</f>
        <v>5.0516</v>
      </c>
      <c r="R16" s="42" t="s">
        <v>83</v>
      </c>
      <c r="S16" s="43">
        <f t="shared" si="0"/>
        <v>3102.512</v>
      </c>
      <c r="T16" s="44">
        <f t="shared" si="1"/>
        <v>2.029796875</v>
      </c>
      <c r="U16" s="44">
        <f t="shared" ref="U16:U18" si="13">IF(R16=$C$1,SUM($E$4:$E$9),SUM($E$4:$E$8))</f>
        <v>1.912</v>
      </c>
      <c r="V16" s="28">
        <f t="shared" si="3"/>
        <v>3.91444</v>
      </c>
      <c r="W16" s="45">
        <f t="shared" ref="W16:W18" si="14">IF(R16=$C$1,$K$4+$K$5,$K$4)</f>
        <v>0.7</v>
      </c>
      <c r="X16" s="46">
        <f t="shared" si="5"/>
        <v>0.509274150316286</v>
      </c>
      <c r="Y16" s="42">
        <f t="shared" si="6"/>
        <v>0.8</v>
      </c>
      <c r="Z16" s="47">
        <v>0.8</v>
      </c>
      <c r="AA16" s="47">
        <v>0</v>
      </c>
      <c r="AB16" s="48">
        <v>0</v>
      </c>
      <c r="AC16" s="23">
        <f t="shared" si="7"/>
        <v>222723.725354593</v>
      </c>
      <c r="AD16" s="32">
        <v>24</v>
      </c>
      <c r="AE16" s="32">
        <v>55</v>
      </c>
    </row>
    <row r="17" s="1" customFormat="1" ht="15" spans="1:31">
      <c r="B17" s="34" t="s">
        <v>33</v>
      </c>
      <c r="C17" s="36">
        <f>12%+53.9%</f>
        <v>0.659</v>
      </c>
      <c r="D17" s="34" t="s">
        <v>34</v>
      </c>
      <c r="E17" s="36"/>
      <c r="F17" s="34" t="s">
        <v>35</v>
      </c>
      <c r="G17" s="37"/>
      <c r="H17" s="34" t="s">
        <v>35</v>
      </c>
      <c r="I17" s="37"/>
      <c r="J17" s="49" t="s">
        <v>36</v>
      </c>
      <c r="K17" s="36"/>
      <c r="L17" s="34" t="s">
        <v>104</v>
      </c>
      <c r="M17" s="37">
        <f>2*8.6%</f>
        <v>0.172</v>
      </c>
      <c r="O17" s="40">
        <v>1</v>
      </c>
      <c r="P17" s="23" t="s">
        <v>99</v>
      </c>
      <c r="Q17" s="41">
        <f>33.01%*2+12.38%*8+495.1%</f>
        <v>6.6016</v>
      </c>
      <c r="R17" s="42" t="s">
        <v>83</v>
      </c>
      <c r="S17" s="43">
        <f t="shared" si="0"/>
        <v>3102.512</v>
      </c>
      <c r="T17" s="44">
        <f t="shared" si="1"/>
        <v>2.029796875</v>
      </c>
      <c r="U17" s="44">
        <f t="shared" si="13"/>
        <v>1.912</v>
      </c>
      <c r="V17" s="28">
        <f t="shared" si="3"/>
        <v>4.05136</v>
      </c>
      <c r="W17" s="45">
        <f t="shared" si="14"/>
        <v>0.7</v>
      </c>
      <c r="X17" s="46">
        <f t="shared" si="5"/>
        <v>0.509274150316286</v>
      </c>
      <c r="Y17" s="42">
        <f t="shared" si="6"/>
        <v>0.8</v>
      </c>
      <c r="Z17" s="47">
        <v>0.75</v>
      </c>
      <c r="AA17" s="47">
        <v>0</v>
      </c>
      <c r="AB17" s="48">
        <v>0</v>
      </c>
      <c r="AC17" s="23">
        <f t="shared" si="7"/>
        <v>292875.789751005</v>
      </c>
      <c r="AD17" s="32">
        <v>24</v>
      </c>
      <c r="AE17" s="32">
        <v>69</v>
      </c>
    </row>
    <row r="18" s="1" customFormat="1" ht="15" spans="1:31">
      <c r="B18" s="34" t="s">
        <v>39</v>
      </c>
      <c r="C18" s="36">
        <f>18%+18%+M16+(2-E13)*30%</f>
        <v>0.446</v>
      </c>
      <c r="D18" s="34" t="s">
        <v>40</v>
      </c>
      <c r="E18" s="36">
        <v>0.12</v>
      </c>
      <c r="F18" s="34" t="s">
        <v>176</v>
      </c>
      <c r="G18" s="37">
        <v>0.22</v>
      </c>
      <c r="H18" s="34" t="s">
        <v>41</v>
      </c>
      <c r="I18" s="37">
        <v>0</v>
      </c>
      <c r="J18" s="49"/>
      <c r="K18" s="37"/>
      <c r="L18" s="34" t="s">
        <v>25</v>
      </c>
      <c r="M18" s="37">
        <f>8.1*5%</f>
        <v>0.405</v>
      </c>
      <c r="O18" s="40">
        <v>1</v>
      </c>
      <c r="P18" s="23" t="s">
        <v>101</v>
      </c>
      <c r="Q18" s="41">
        <f>82.55%*AD18</f>
        <v>19.812</v>
      </c>
      <c r="R18" s="42" t="s">
        <v>83</v>
      </c>
      <c r="S18" s="43">
        <f t="shared" si="0"/>
        <v>3102.512</v>
      </c>
      <c r="T18" s="44">
        <f t="shared" si="1"/>
        <v>2.029796875</v>
      </c>
      <c r="U18" s="44">
        <f t="shared" si="13"/>
        <v>1.912</v>
      </c>
      <c r="V18" s="28">
        <f t="shared" si="3"/>
        <v>4.05136</v>
      </c>
      <c r="W18" s="45">
        <f t="shared" si="14"/>
        <v>0.7</v>
      </c>
      <c r="X18" s="46">
        <f t="shared" si="5"/>
        <v>0.509274150316286</v>
      </c>
      <c r="Y18" s="42">
        <f t="shared" si="6"/>
        <v>0.8</v>
      </c>
      <c r="Z18" s="47">
        <v>0.75</v>
      </c>
      <c r="AA18" s="47">
        <v>0</v>
      </c>
      <c r="AB18" s="48">
        <v>0</v>
      </c>
      <c r="AC18" s="23">
        <f t="shared" si="7"/>
        <v>878946.79267858</v>
      </c>
      <c r="AD18" s="32">
        <v>24</v>
      </c>
      <c r="AE18" s="32">
        <v>69</v>
      </c>
    </row>
    <row r="19" s="1" customFormat="1" ht="15" spans="1:31">
      <c r="B19" s="34" t="s">
        <v>43</v>
      </c>
      <c r="C19" s="69"/>
      <c r="D19" s="34" t="s">
        <v>44</v>
      </c>
      <c r="E19" s="36">
        <v>0.4</v>
      </c>
      <c r="F19" s="34" t="s">
        <v>39</v>
      </c>
      <c r="G19" s="37">
        <f>M18</f>
        <v>0.405</v>
      </c>
      <c r="H19" s="34" t="s">
        <v>39</v>
      </c>
      <c r="I19" s="37">
        <f>M19</f>
        <v>0.81</v>
      </c>
      <c r="J19" s="49"/>
      <c r="K19" s="37"/>
      <c r="L19" s="34" t="s">
        <v>45</v>
      </c>
      <c r="M19" s="36">
        <f>16.2%*5</f>
        <v>0.81</v>
      </c>
      <c r="O19" s="40">
        <v>1</v>
      </c>
      <c r="P19" s="23" t="s">
        <v>102</v>
      </c>
      <c r="Q19" s="41">
        <f t="shared" ref="Q19:Q26" si="15">104.38%+243.55%</f>
        <v>3.4793</v>
      </c>
      <c r="R19" s="42" t="s">
        <v>96</v>
      </c>
      <c r="S19" s="43">
        <f t="shared" ref="S19:S27" si="16">$C$4*(1+C$5+C$6+C$7+C$8+120%)+C$9</f>
        <v>4331.312</v>
      </c>
      <c r="T19" s="44">
        <f t="shared" si="1"/>
        <v>3.229796875</v>
      </c>
      <c r="U19" s="44">
        <f t="shared" ref="U19:U27" si="17">IF(R19=$C$1,SUM($E$4:$E$9),SUM($E$4:$E$8))+$E$10</f>
        <v>1.97</v>
      </c>
      <c r="V19" s="28">
        <f t="shared" si="3"/>
        <v>4.05136</v>
      </c>
      <c r="W19" s="45">
        <f t="shared" ref="W19:W27" si="18">IF(R19=$C$1,$K$4+$K$5,$K$4)+$K$6-20%</f>
        <v>1.37</v>
      </c>
      <c r="X19" s="46">
        <f t="shared" si="5"/>
        <v>0.509274150316286</v>
      </c>
      <c r="Y19" s="42">
        <f t="shared" si="6"/>
        <v>0.8</v>
      </c>
      <c r="Z19" s="47">
        <v>0.24</v>
      </c>
      <c r="AA19" s="47">
        <v>0</v>
      </c>
      <c r="AB19" s="48">
        <v>0.4</v>
      </c>
      <c r="AC19" s="23">
        <f t="shared" si="7"/>
        <v>303954.318177508</v>
      </c>
      <c r="AD19" s="32">
        <v>24</v>
      </c>
      <c r="AE19" s="32">
        <v>69</v>
      </c>
    </row>
    <row r="20" s="1" customFormat="1" ht="15" spans="1:31">
      <c r="B20" s="34" t="s">
        <v>46</v>
      </c>
      <c r="C20" s="69">
        <f>25%+25%</f>
        <v>0.5</v>
      </c>
      <c r="D20" s="34" t="s">
        <v>47</v>
      </c>
      <c r="E20" s="50">
        <v>0.2</v>
      </c>
      <c r="F20" s="34" t="s">
        <v>48</v>
      </c>
      <c r="G20" s="37">
        <v>0</v>
      </c>
      <c r="H20" s="34" t="s">
        <v>48</v>
      </c>
      <c r="I20" s="37">
        <v>0</v>
      </c>
      <c r="J20" s="49"/>
      <c r="K20" s="37"/>
      <c r="L20" s="34"/>
      <c r="M20" s="35"/>
      <c r="O20" s="40">
        <v>1</v>
      </c>
      <c r="P20" s="23" t="s">
        <v>103</v>
      </c>
      <c r="Q20" s="41">
        <f t="shared" si="15"/>
        <v>3.4793</v>
      </c>
      <c r="R20" s="42" t="s">
        <v>96</v>
      </c>
      <c r="S20" s="43">
        <f t="shared" si="16"/>
        <v>4331.312</v>
      </c>
      <c r="T20" s="44">
        <f t="shared" si="1"/>
        <v>3.229796875</v>
      </c>
      <c r="U20" s="44">
        <f t="shared" si="17"/>
        <v>1.97</v>
      </c>
      <c r="V20" s="28">
        <f t="shared" si="3"/>
        <v>4.06114</v>
      </c>
      <c r="W20" s="45">
        <f t="shared" si="18"/>
        <v>1.37</v>
      </c>
      <c r="X20" s="46">
        <f t="shared" si="5"/>
        <v>0.509274150316286</v>
      </c>
      <c r="Y20" s="42">
        <f t="shared" si="6"/>
        <v>0.8</v>
      </c>
      <c r="Z20" s="47">
        <v>0.24</v>
      </c>
      <c r="AA20" s="47">
        <v>0</v>
      </c>
      <c r="AB20" s="48">
        <v>0.4</v>
      </c>
      <c r="AC20" s="23">
        <f t="shared" si="7"/>
        <v>304688.065174017</v>
      </c>
      <c r="AD20" s="32">
        <v>24</v>
      </c>
      <c r="AE20" s="32">
        <v>70</v>
      </c>
    </row>
    <row r="21" s="1" customFormat="1" ht="15" spans="1:31">
      <c r="B21" s="34" t="s">
        <v>49</v>
      </c>
      <c r="C21" s="35">
        <v>350</v>
      </c>
      <c r="D21" s="34" t="s">
        <v>107</v>
      </c>
      <c r="E21" s="36">
        <f>M17+16%</f>
        <v>0.332</v>
      </c>
      <c r="F21" s="34" t="s">
        <v>51</v>
      </c>
      <c r="G21" s="37"/>
      <c r="H21" s="34" t="s">
        <v>51</v>
      </c>
      <c r="I21" s="37">
        <v>0.52</v>
      </c>
      <c r="J21" s="49"/>
      <c r="K21" s="37"/>
      <c r="L21" s="34"/>
      <c r="M21" s="35"/>
      <c r="O21" s="40">
        <v>1</v>
      </c>
      <c r="P21" s="23" t="s">
        <v>103</v>
      </c>
      <c r="Q21" s="41">
        <f>99.16%+231.37%</f>
        <v>3.3053</v>
      </c>
      <c r="R21" s="42" t="s">
        <v>96</v>
      </c>
      <c r="S21" s="43">
        <f t="shared" si="16"/>
        <v>4331.312</v>
      </c>
      <c r="T21" s="44">
        <f t="shared" si="1"/>
        <v>3.229796875</v>
      </c>
      <c r="U21" s="44">
        <f t="shared" si="17"/>
        <v>1.97</v>
      </c>
      <c r="V21" s="28">
        <f t="shared" si="3"/>
        <v>4.07092</v>
      </c>
      <c r="W21" s="45">
        <f t="shared" si="18"/>
        <v>1.37</v>
      </c>
      <c r="X21" s="46">
        <f t="shared" si="5"/>
        <v>0.509274150316286</v>
      </c>
      <c r="Y21" s="42">
        <f t="shared" si="6"/>
        <v>0.8</v>
      </c>
      <c r="Z21" s="47">
        <v>0.24</v>
      </c>
      <c r="AA21" s="47">
        <v>0</v>
      </c>
      <c r="AB21" s="70">
        <v>0.4</v>
      </c>
      <c r="AC21" s="23">
        <f t="shared" si="7"/>
        <v>290147.649172891</v>
      </c>
      <c r="AD21" s="32">
        <v>24</v>
      </c>
      <c r="AE21" s="32">
        <v>71</v>
      </c>
    </row>
    <row r="22" s="1" customFormat="1" ht="15" spans="1:31">
      <c r="B22" s="51" t="s">
        <v>52</v>
      </c>
      <c r="C22" s="52"/>
      <c r="D22" s="51"/>
      <c r="E22" s="53"/>
      <c r="F22" s="54" t="s">
        <v>53</v>
      </c>
      <c r="G22" s="55">
        <f>MIN(100%,SUM(G16:G21))</f>
        <v>0.755</v>
      </c>
      <c r="H22" s="54" t="s">
        <v>54</v>
      </c>
      <c r="I22" s="55">
        <f>SUM(I16:I21)</f>
        <v>2.83</v>
      </c>
      <c r="J22" s="56"/>
      <c r="K22" s="71"/>
      <c r="L22" s="51"/>
      <c r="M22" s="52"/>
      <c r="O22" s="40">
        <v>1</v>
      </c>
      <c r="P22" s="23" t="s">
        <v>138</v>
      </c>
      <c r="Q22" s="41">
        <f>99.16%+231.37%</f>
        <v>3.3053</v>
      </c>
      <c r="R22" s="42" t="s">
        <v>96</v>
      </c>
      <c r="S22" s="43">
        <f t="shared" si="16"/>
        <v>4331.312</v>
      </c>
      <c r="T22" s="44">
        <f t="shared" si="1"/>
        <v>3.229796875</v>
      </c>
      <c r="U22" s="44">
        <f t="shared" si="17"/>
        <v>1.97</v>
      </c>
      <c r="V22" s="28">
        <f t="shared" si="3"/>
        <v>4.0807</v>
      </c>
      <c r="W22" s="45">
        <f t="shared" si="18"/>
        <v>1.37</v>
      </c>
      <c r="X22" s="46">
        <f t="shared" si="5"/>
        <v>0.509274150316286</v>
      </c>
      <c r="Y22" s="42">
        <f t="shared" si="6"/>
        <v>0.8</v>
      </c>
      <c r="Z22" s="47">
        <v>0.24</v>
      </c>
      <c r="AA22" s="47">
        <v>0</v>
      </c>
      <c r="AB22" s="48">
        <v>0.4</v>
      </c>
      <c r="AC22" s="23">
        <f t="shared" si="7"/>
        <v>290844.70143845</v>
      </c>
      <c r="AD22" s="32">
        <v>24</v>
      </c>
      <c r="AE22" s="32">
        <v>72</v>
      </c>
    </row>
    <row r="23" s="1" customFormat="1" ht="15" spans="1:31">
      <c r="B23" s="57"/>
      <c r="C23" s="57"/>
      <c r="E23" s="58"/>
      <c r="F23" s="20" t="s">
        <v>55</v>
      </c>
      <c r="G23" s="59">
        <f>MAX(0,SUM(G16:G21)-1)</f>
        <v>0</v>
      </c>
      <c r="J23" s="2"/>
      <c r="K23" s="2"/>
      <c r="O23" s="40">
        <v>1</v>
      </c>
      <c r="P23" s="23" t="s">
        <v>106</v>
      </c>
      <c r="Q23" s="41">
        <f t="shared" si="15"/>
        <v>3.4793</v>
      </c>
      <c r="R23" s="42" t="s">
        <v>96</v>
      </c>
      <c r="S23" s="43">
        <f t="shared" si="16"/>
        <v>4331.312</v>
      </c>
      <c r="T23" s="44">
        <f t="shared" si="1"/>
        <v>3.229796875</v>
      </c>
      <c r="U23" s="44">
        <f t="shared" si="17"/>
        <v>1.97</v>
      </c>
      <c r="V23" s="28">
        <f t="shared" si="3"/>
        <v>4.09048</v>
      </c>
      <c r="W23" s="45">
        <f t="shared" si="18"/>
        <v>1.37</v>
      </c>
      <c r="X23" s="46">
        <f t="shared" si="5"/>
        <v>0.509274150316286</v>
      </c>
      <c r="Y23" s="42">
        <f t="shared" si="6"/>
        <v>0.8</v>
      </c>
      <c r="Z23" s="47">
        <v>0.24</v>
      </c>
      <c r="AA23" s="47">
        <v>0</v>
      </c>
      <c r="AB23" s="48">
        <v>0.4</v>
      </c>
      <c r="AC23" s="23">
        <f t="shared" si="7"/>
        <v>306889.306163544</v>
      </c>
      <c r="AD23" s="32">
        <v>24</v>
      </c>
      <c r="AE23" s="32">
        <v>73</v>
      </c>
    </row>
    <row r="24" s="1" customFormat="1" ht="15" spans="1:31">
      <c r="B24" s="57"/>
      <c r="C24" s="57"/>
      <c r="E24" s="58"/>
      <c r="J24" s="2"/>
      <c r="K24" s="2"/>
      <c r="O24" s="40">
        <v>1</v>
      </c>
      <c r="P24" s="23" t="s">
        <v>106</v>
      </c>
      <c r="Q24" s="41">
        <f t="shared" si="15"/>
        <v>3.4793</v>
      </c>
      <c r="R24" s="42" t="s">
        <v>96</v>
      </c>
      <c r="S24" s="43">
        <f t="shared" si="16"/>
        <v>4331.312</v>
      </c>
      <c r="T24" s="44">
        <f t="shared" si="1"/>
        <v>3.229796875</v>
      </c>
      <c r="U24" s="44">
        <f t="shared" si="17"/>
        <v>1.97</v>
      </c>
      <c r="V24" s="28">
        <f t="shared" si="3"/>
        <v>4.10026</v>
      </c>
      <c r="W24" s="45">
        <f t="shared" si="18"/>
        <v>1.37</v>
      </c>
      <c r="X24" s="46">
        <f t="shared" si="5"/>
        <v>0.509274150316286</v>
      </c>
      <c r="Y24" s="42">
        <f t="shared" si="6"/>
        <v>0.8</v>
      </c>
      <c r="Z24" s="47">
        <v>0.24</v>
      </c>
      <c r="AA24" s="47">
        <v>0</v>
      </c>
      <c r="AB24" s="70">
        <v>0.4</v>
      </c>
      <c r="AC24" s="23">
        <f t="shared" si="7"/>
        <v>307623.053160053</v>
      </c>
      <c r="AD24" s="32">
        <v>24</v>
      </c>
      <c r="AE24" s="32">
        <v>74</v>
      </c>
    </row>
    <row r="25" s="1" customFormat="1" ht="15" spans="1:31">
      <c r="A25" s="72"/>
      <c r="B25" s="73" t="s">
        <v>137</v>
      </c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O25" s="40">
        <v>1</v>
      </c>
      <c r="P25" s="23" t="s">
        <v>106</v>
      </c>
      <c r="Q25" s="41">
        <f t="shared" si="15"/>
        <v>3.4793</v>
      </c>
      <c r="R25" s="42" t="s">
        <v>96</v>
      </c>
      <c r="S25" s="43">
        <f t="shared" si="16"/>
        <v>4331.312</v>
      </c>
      <c r="T25" s="44">
        <f t="shared" si="1"/>
        <v>3.229796875</v>
      </c>
      <c r="U25" s="44">
        <f t="shared" si="17"/>
        <v>1.97</v>
      </c>
      <c r="V25" s="28">
        <f t="shared" si="3"/>
        <v>4.11004</v>
      </c>
      <c r="W25" s="45">
        <f t="shared" si="18"/>
        <v>1.37</v>
      </c>
      <c r="X25" s="46">
        <f t="shared" si="5"/>
        <v>0.509274150316286</v>
      </c>
      <c r="Y25" s="42">
        <f t="shared" si="6"/>
        <v>0.8</v>
      </c>
      <c r="Z25" s="47">
        <v>0.24</v>
      </c>
      <c r="AA25" s="47">
        <v>0</v>
      </c>
      <c r="AB25" s="48">
        <v>0.4</v>
      </c>
      <c r="AC25" s="23">
        <f t="shared" si="7"/>
        <v>308356.800156561</v>
      </c>
      <c r="AD25" s="32">
        <v>24</v>
      </c>
      <c r="AE25" s="32">
        <v>75</v>
      </c>
    </row>
    <row r="26" s="1" customFormat="1" ht="15" spans="1:31">
      <c r="A26" s="72" t="s">
        <v>140</v>
      </c>
      <c r="B26" s="74" t="s">
        <v>24</v>
      </c>
      <c r="C26" s="75"/>
      <c r="D26" s="74" t="s">
        <v>10</v>
      </c>
      <c r="E26" s="75"/>
      <c r="F26" s="74" t="s">
        <v>25</v>
      </c>
      <c r="G26" s="75"/>
      <c r="H26" s="74" t="s">
        <v>26</v>
      </c>
      <c r="I26" s="75"/>
      <c r="J26" s="74" t="s">
        <v>12</v>
      </c>
      <c r="K26" s="75"/>
      <c r="L26" s="74" t="s">
        <v>141</v>
      </c>
      <c r="M26" s="75"/>
      <c r="O26" s="40">
        <v>1</v>
      </c>
      <c r="P26" s="23" t="s">
        <v>106</v>
      </c>
      <c r="Q26" s="41">
        <f t="shared" si="15"/>
        <v>3.4793</v>
      </c>
      <c r="R26" s="42" t="s">
        <v>96</v>
      </c>
      <c r="S26" s="43">
        <f t="shared" si="16"/>
        <v>4331.312</v>
      </c>
      <c r="T26" s="44">
        <f t="shared" si="1"/>
        <v>3.229796875</v>
      </c>
      <c r="U26" s="44">
        <f t="shared" si="17"/>
        <v>1.97</v>
      </c>
      <c r="V26" s="28">
        <f t="shared" si="3"/>
        <v>4.11982</v>
      </c>
      <c r="W26" s="45">
        <f t="shared" si="18"/>
        <v>1.37</v>
      </c>
      <c r="X26" s="46">
        <f t="shared" si="5"/>
        <v>0.509274150316286</v>
      </c>
      <c r="Y26" s="42">
        <f t="shared" si="6"/>
        <v>0.8</v>
      </c>
      <c r="Z26" s="47">
        <v>0.24</v>
      </c>
      <c r="AA26" s="47">
        <v>0</v>
      </c>
      <c r="AB26" s="48">
        <v>0.4</v>
      </c>
      <c r="AC26" s="23">
        <f t="shared" si="7"/>
        <v>309090.54715307</v>
      </c>
      <c r="AD26" s="32">
        <v>24</v>
      </c>
      <c r="AE26" s="32">
        <v>76</v>
      </c>
    </row>
    <row r="27" s="1" customFormat="1" ht="15" spans="1:31">
      <c r="A27" s="72">
        <v>1357</v>
      </c>
      <c r="B27" s="76" t="s">
        <v>28</v>
      </c>
      <c r="C27" s="77">
        <f>288+337</f>
        <v>625</v>
      </c>
      <c r="D27" s="76" t="s">
        <v>29</v>
      </c>
      <c r="E27" s="78"/>
      <c r="F27" s="76" t="s">
        <v>142</v>
      </c>
      <c r="G27" s="79">
        <v>0.05</v>
      </c>
      <c r="H27" s="76" t="s">
        <v>142</v>
      </c>
      <c r="I27" s="78">
        <v>1.5</v>
      </c>
      <c r="J27" s="80" t="s">
        <v>31</v>
      </c>
      <c r="K27" s="78">
        <f>25%</f>
        <v>0.25</v>
      </c>
      <c r="L27" s="76" t="s">
        <v>140</v>
      </c>
      <c r="M27" s="79">
        <f>10.9%*3</f>
        <v>0.327</v>
      </c>
      <c r="O27" s="34">
        <v>1</v>
      </c>
      <c r="P27" s="23" t="s">
        <v>108</v>
      </c>
      <c r="Q27" s="81">
        <f>(27.84%+13.92%*2)*3</f>
        <v>1.6704</v>
      </c>
      <c r="R27" s="82" t="s">
        <v>96</v>
      </c>
      <c r="S27" s="43">
        <f t="shared" si="16"/>
        <v>4331.312</v>
      </c>
      <c r="T27" s="83">
        <f t="shared" si="1"/>
        <v>3.229796875</v>
      </c>
      <c r="U27" s="44">
        <f t="shared" si="17"/>
        <v>1.97</v>
      </c>
      <c r="V27" s="28">
        <f t="shared" si="3"/>
        <v>4.09048</v>
      </c>
      <c r="W27" s="84">
        <f t="shared" si="18"/>
        <v>1.37</v>
      </c>
      <c r="X27" s="85">
        <f t="shared" si="5"/>
        <v>0.509274150316286</v>
      </c>
      <c r="Y27" s="82">
        <f t="shared" si="6"/>
        <v>0.8</v>
      </c>
      <c r="Z27" s="86">
        <v>0</v>
      </c>
      <c r="AA27" s="86">
        <v>0</v>
      </c>
      <c r="AB27" s="70">
        <v>0.4</v>
      </c>
      <c r="AC27" s="23">
        <f t="shared" si="7"/>
        <v>118819.760977037</v>
      </c>
      <c r="AD27" s="32">
        <v>24</v>
      </c>
      <c r="AE27" s="32">
        <v>73</v>
      </c>
    </row>
    <row r="28" s="1" customFormat="1" ht="15" spans="1:31">
      <c r="A28" s="87">
        <f>16%+7.6*2%</f>
        <v>0.312</v>
      </c>
      <c r="B28" s="76" t="s">
        <v>143</v>
      </c>
      <c r="C28" s="78"/>
      <c r="D28" s="76" t="s">
        <v>144</v>
      </c>
      <c r="E28" s="78"/>
      <c r="F28" s="76" t="s">
        <v>35</v>
      </c>
      <c r="G28" s="79"/>
      <c r="H28" s="76" t="s">
        <v>145</v>
      </c>
      <c r="I28" s="79">
        <v>0.2</v>
      </c>
      <c r="J28" s="88" t="s">
        <v>146</v>
      </c>
      <c r="K28" s="79"/>
      <c r="L28" s="76" t="s">
        <v>25</v>
      </c>
      <c r="M28" s="79">
        <f>2*8.1%</f>
        <v>0.162</v>
      </c>
      <c r="O28" s="65">
        <v>1</v>
      </c>
      <c r="P28" s="89" t="s">
        <v>109</v>
      </c>
      <c r="Q28" s="90">
        <v>1.69</v>
      </c>
      <c r="R28" s="91" t="s">
        <v>110</v>
      </c>
      <c r="S28" s="92">
        <f t="shared" ref="S28:S39" si="19">$C$16*(1+$C$17+$C$18+$C$19+$C$20)+($C$21+$C$22)</f>
        <v>2694.5</v>
      </c>
      <c r="T28" s="93">
        <f t="shared" ref="T28:T39" si="20">($C$17+$C$18+$C$19+$C$20)+($C$21+$C$22)/$C$16</f>
        <v>1.99388888888889</v>
      </c>
      <c r="U28" s="93">
        <f>IF(R28=$C$13,SUM($E$16:$E$21),SUM($E$16:$E$20))-12%</f>
        <v>1.2</v>
      </c>
      <c r="V28" s="94">
        <f t="shared" ref="V28:V38" si="21">1+$G$22*($I$22-1)</f>
        <v>2.38165</v>
      </c>
      <c r="W28" s="95">
        <f t="shared" ref="W28:W39" si="22">IF(R28=$C$1,$K$16+$K$17,$K$16)</f>
        <v>0.25</v>
      </c>
      <c r="X28" s="94">
        <f t="shared" ref="X28:X39" si="23">$AH$3</f>
        <v>0.488431876606684</v>
      </c>
      <c r="Y28" s="91">
        <f t="shared" si="6"/>
        <v>0.8</v>
      </c>
      <c r="Z28" s="96">
        <v>0</v>
      </c>
      <c r="AA28" s="96">
        <v>0</v>
      </c>
      <c r="AB28" s="39">
        <v>0</v>
      </c>
      <c r="AC28" s="97">
        <f t="shared" ref="AC28:AC39" si="24">Q28*$C$16*(1+T28)*(1+U28)*V28*(1+W28)*X28*Y28*(1+Z28)*(1+AA28)*(1+AB28)*O28</f>
        <v>11653.8523715643</v>
      </c>
    </row>
    <row r="29" s="1" customFormat="1" ht="15" spans="1:31">
      <c r="A29" s="87">
        <f>36%+M27</f>
        <v>0.687</v>
      </c>
      <c r="B29" s="76" t="s">
        <v>147</v>
      </c>
      <c r="C29" s="78"/>
      <c r="D29" s="76" t="s">
        <v>148</v>
      </c>
      <c r="E29" s="78"/>
      <c r="F29" s="76" t="s">
        <v>41</v>
      </c>
      <c r="G29" s="79"/>
      <c r="H29" s="76" t="s">
        <v>149</v>
      </c>
      <c r="I29" s="79"/>
      <c r="J29" s="88" t="s">
        <v>150</v>
      </c>
      <c r="K29" s="79"/>
      <c r="L29" s="76" t="s">
        <v>45</v>
      </c>
      <c r="M29" s="79">
        <f>3*16.2%</f>
        <v>0.486</v>
      </c>
      <c r="O29" s="98">
        <v>1</v>
      </c>
      <c r="P29" s="89" t="s">
        <v>111</v>
      </c>
      <c r="Q29" s="49">
        <v>1.472</v>
      </c>
      <c r="R29" s="57" t="s">
        <v>83</v>
      </c>
      <c r="S29" s="99">
        <f t="shared" si="19"/>
        <v>2694.5</v>
      </c>
      <c r="T29" s="100">
        <f t="shared" si="20"/>
        <v>1.99388888888889</v>
      </c>
      <c r="U29" s="100">
        <f>IF(R29=$C$13,SUM($E$16:$E$21),SUM($E$16:$E$20))-12%</f>
        <v>1.2</v>
      </c>
      <c r="V29" s="101">
        <f t="shared" si="21"/>
        <v>2.38165</v>
      </c>
      <c r="W29" s="102">
        <f t="shared" si="22"/>
        <v>0.25</v>
      </c>
      <c r="X29" s="101">
        <f t="shared" si="23"/>
        <v>0.488431876606684</v>
      </c>
      <c r="Y29" s="57">
        <f t="shared" si="6"/>
        <v>0.8</v>
      </c>
      <c r="Z29" s="103">
        <v>0</v>
      </c>
      <c r="AA29" s="103">
        <v>0</v>
      </c>
      <c r="AB29" s="36">
        <v>0</v>
      </c>
      <c r="AC29" s="97">
        <f t="shared" si="24"/>
        <v>10150.5743733388</v>
      </c>
    </row>
    <row r="30" s="1" customFormat="1" ht="15" spans="1:31">
      <c r="A30" s="87">
        <v>0.418</v>
      </c>
      <c r="B30" s="76" t="s">
        <v>145</v>
      </c>
      <c r="C30" s="104">
        <f>25%+15%</f>
        <v>0.4</v>
      </c>
      <c r="D30" s="76" t="s">
        <v>151</v>
      </c>
      <c r="E30" s="78">
        <f>40%</f>
        <v>0.4</v>
      </c>
      <c r="F30" s="76" t="s">
        <v>145</v>
      </c>
      <c r="G30" s="79">
        <f>M29</f>
        <v>0.486</v>
      </c>
      <c r="H30" s="76"/>
      <c r="I30" s="79"/>
      <c r="J30" s="88"/>
      <c r="K30" s="79"/>
      <c r="L30" s="76" t="s">
        <v>152</v>
      </c>
      <c r="M30" s="79">
        <f>8.6%*2</f>
        <v>0.172</v>
      </c>
      <c r="O30" s="98">
        <v>1</v>
      </c>
      <c r="P30" s="89" t="s">
        <v>42</v>
      </c>
      <c r="Q30" s="49">
        <v>1.061</v>
      </c>
      <c r="R30" s="57" t="s">
        <v>42</v>
      </c>
      <c r="S30" s="99">
        <f t="shared" si="19"/>
        <v>2694.5</v>
      </c>
      <c r="T30" s="100">
        <f t="shared" si="20"/>
        <v>1.99388888888889</v>
      </c>
      <c r="U30" s="100">
        <f>IF(R30=$C$13,SUM($E$16:$E$21),SUM($E$16:$E$20))-6%</f>
        <v>1.26</v>
      </c>
      <c r="V30" s="101">
        <f t="shared" si="21"/>
        <v>2.38165</v>
      </c>
      <c r="W30" s="102">
        <f t="shared" si="22"/>
        <v>0.25</v>
      </c>
      <c r="X30" s="101">
        <f t="shared" si="23"/>
        <v>0.488431876606684</v>
      </c>
      <c r="Y30" s="57">
        <f t="shared" si="6"/>
        <v>0.8</v>
      </c>
      <c r="Z30" s="103">
        <v>0</v>
      </c>
      <c r="AA30" s="103">
        <v>0</v>
      </c>
      <c r="AB30" s="36">
        <v>0</v>
      </c>
      <c r="AC30" s="97">
        <f t="shared" si="24"/>
        <v>7515.95116935963</v>
      </c>
    </row>
    <row r="31" s="1" customFormat="1" ht="15" spans="1:31">
      <c r="A31" s="105">
        <v>0.2</v>
      </c>
      <c r="B31" s="76" t="s">
        <v>153</v>
      </c>
      <c r="C31" s="104"/>
      <c r="D31" s="76" t="s">
        <v>154</v>
      </c>
      <c r="E31" s="78">
        <v>0.2</v>
      </c>
      <c r="F31" s="76" t="s">
        <v>121</v>
      </c>
      <c r="G31" s="79"/>
      <c r="H31" s="76" t="s">
        <v>51</v>
      </c>
      <c r="I31" s="79">
        <v>0.52</v>
      </c>
      <c r="J31" s="88"/>
      <c r="K31" s="79"/>
      <c r="L31" s="76"/>
      <c r="M31" s="79"/>
      <c r="O31" s="98">
        <v>1</v>
      </c>
      <c r="P31" s="89" t="s">
        <v>117</v>
      </c>
      <c r="Q31" s="49">
        <v>1.9623</v>
      </c>
      <c r="R31" s="57" t="s">
        <v>83</v>
      </c>
      <c r="S31" s="99">
        <f t="shared" si="19"/>
        <v>2694.5</v>
      </c>
      <c r="T31" s="100">
        <f t="shared" si="20"/>
        <v>1.99388888888889</v>
      </c>
      <c r="U31" s="100">
        <f t="shared" ref="U31:U39" si="25">IF(R31=$C$13,SUM($E$16:$E$21),SUM($E$16:$E$20))</f>
        <v>1.32</v>
      </c>
      <c r="V31" s="101">
        <f t="shared" si="21"/>
        <v>2.38165</v>
      </c>
      <c r="W31" s="102">
        <f t="shared" si="22"/>
        <v>0.25</v>
      </c>
      <c r="X31" s="101">
        <f t="shared" si="23"/>
        <v>0.488431876606684</v>
      </c>
      <c r="Y31" s="57">
        <f t="shared" ref="Y31:Y39" si="26">$AH$12</f>
        <v>0.8</v>
      </c>
      <c r="Z31" s="103">
        <v>0</v>
      </c>
      <c r="AA31" s="103">
        <v>0</v>
      </c>
      <c r="AB31" s="36">
        <v>0</v>
      </c>
      <c r="AC31" s="97">
        <f t="shared" si="24"/>
        <v>14269.6563905949</v>
      </c>
    </row>
    <row r="32" s="1" customFormat="1" ht="15" spans="1:31">
      <c r="A32" s="72"/>
      <c r="B32" s="76" t="s">
        <v>49</v>
      </c>
      <c r="C32" s="77">
        <v>350</v>
      </c>
      <c r="D32" s="76" t="s">
        <v>93</v>
      </c>
      <c r="E32" s="78"/>
      <c r="F32" s="106" t="s">
        <v>53</v>
      </c>
      <c r="G32" s="107">
        <f>MIN(100%,SUM(G27:G31))</f>
        <v>0.536</v>
      </c>
      <c r="H32" s="106" t="s">
        <v>54</v>
      </c>
      <c r="I32" s="108">
        <f>SUM(I27:I31)</f>
        <v>2.22</v>
      </c>
      <c r="J32" s="88"/>
      <c r="K32" s="79"/>
      <c r="L32" s="76"/>
      <c r="M32" s="77"/>
      <c r="O32" s="98">
        <v>1</v>
      </c>
      <c r="P32" s="89" t="s">
        <v>118</v>
      </c>
      <c r="Q32" s="49">
        <v>1.9801</v>
      </c>
      <c r="R32" s="57" t="s">
        <v>1</v>
      </c>
      <c r="S32" s="99">
        <f t="shared" si="19"/>
        <v>2694.5</v>
      </c>
      <c r="T32" s="100">
        <f t="shared" si="20"/>
        <v>1.99388888888889</v>
      </c>
      <c r="U32" s="100">
        <f t="shared" si="25"/>
        <v>1.652</v>
      </c>
      <c r="V32" s="101">
        <f t="shared" si="21"/>
        <v>2.38165</v>
      </c>
      <c r="W32" s="102">
        <f t="shared" si="22"/>
        <v>0.25</v>
      </c>
      <c r="X32" s="101">
        <f t="shared" si="23"/>
        <v>0.488431876606684</v>
      </c>
      <c r="Y32" s="57">
        <f t="shared" si="26"/>
        <v>0.8</v>
      </c>
      <c r="Z32" s="103">
        <v>0</v>
      </c>
      <c r="AA32" s="103">
        <v>0</v>
      </c>
      <c r="AB32" s="36">
        <v>0</v>
      </c>
      <c r="AC32" s="97">
        <f t="shared" si="24"/>
        <v>16459.656603184</v>
      </c>
    </row>
    <row r="33" s="1" customFormat="1" ht="15" spans="1:29">
      <c r="A33" s="72"/>
      <c r="B33" s="109" t="s">
        <v>52</v>
      </c>
      <c r="C33" s="110"/>
      <c r="D33" s="109" t="s">
        <v>94</v>
      </c>
      <c r="E33" s="111"/>
      <c r="F33" s="109"/>
      <c r="G33" s="112"/>
      <c r="H33" s="109"/>
      <c r="I33" s="110"/>
      <c r="J33" s="113"/>
      <c r="K33" s="112"/>
      <c r="L33" s="109"/>
      <c r="M33" s="110"/>
      <c r="N33" s="114"/>
      <c r="O33" s="98">
        <v>1</v>
      </c>
      <c r="P33" s="89" t="s">
        <v>120</v>
      </c>
      <c r="Q33" s="49">
        <v>3.76</v>
      </c>
      <c r="R33" s="57" t="s">
        <v>1</v>
      </c>
      <c r="S33" s="99">
        <f t="shared" si="19"/>
        <v>2694.5</v>
      </c>
      <c r="T33" s="100">
        <f t="shared" si="20"/>
        <v>1.99388888888889</v>
      </c>
      <c r="U33" s="100">
        <f t="shared" si="25"/>
        <v>1.652</v>
      </c>
      <c r="V33" s="101">
        <f t="shared" si="21"/>
        <v>2.38165</v>
      </c>
      <c r="W33" s="102">
        <f t="shared" si="22"/>
        <v>0.25</v>
      </c>
      <c r="X33" s="101">
        <f t="shared" si="23"/>
        <v>0.488431876606684</v>
      </c>
      <c r="Y33" s="57">
        <f t="shared" si="26"/>
        <v>0.8</v>
      </c>
      <c r="Z33" s="103">
        <v>0</v>
      </c>
      <c r="AA33" s="103">
        <v>0</v>
      </c>
      <c r="AB33" s="36">
        <v>0</v>
      </c>
      <c r="AC33" s="97">
        <f t="shared" si="24"/>
        <v>31255.1430877086</v>
      </c>
    </row>
    <row r="34" s="1" customFormat="1" ht="15" spans="1:29">
      <c r="A34" s="72">
        <f>A27*(1+A28+A29+A30+A31)</f>
        <v>3551.269</v>
      </c>
      <c r="B34" s="115"/>
      <c r="C34" s="115">
        <f>C27*(1+C30)+C32</f>
        <v>1225</v>
      </c>
      <c r="D34" s="115"/>
      <c r="E34" s="115"/>
      <c r="F34" s="115" t="s">
        <v>155</v>
      </c>
      <c r="G34" s="116"/>
      <c r="H34" s="115"/>
      <c r="I34" s="115"/>
      <c r="J34" s="115"/>
      <c r="K34" s="115"/>
      <c r="L34" s="115"/>
      <c r="M34" s="115"/>
      <c r="N34" s="57"/>
      <c r="O34" s="98">
        <v>1</v>
      </c>
      <c r="P34" s="89" t="s">
        <v>122</v>
      </c>
      <c r="Q34" s="49">
        <v>4.9033</v>
      </c>
      <c r="R34" s="57" t="s">
        <v>1</v>
      </c>
      <c r="S34" s="99">
        <f t="shared" si="19"/>
        <v>2694.5</v>
      </c>
      <c r="T34" s="100">
        <f t="shared" si="20"/>
        <v>1.99388888888889</v>
      </c>
      <c r="U34" s="100">
        <f t="shared" si="25"/>
        <v>1.652</v>
      </c>
      <c r="V34" s="101">
        <f t="shared" si="21"/>
        <v>2.38165</v>
      </c>
      <c r="W34" s="102">
        <f t="shared" si="22"/>
        <v>0.25</v>
      </c>
      <c r="X34" s="101">
        <f t="shared" si="23"/>
        <v>0.488431876606684</v>
      </c>
      <c r="Y34" s="57">
        <f t="shared" si="26"/>
        <v>0.8</v>
      </c>
      <c r="Z34" s="103">
        <v>0</v>
      </c>
      <c r="AA34" s="103">
        <v>0</v>
      </c>
      <c r="AB34" s="36">
        <v>0</v>
      </c>
      <c r="AC34" s="97">
        <f t="shared" si="24"/>
        <v>40758.8678462664</v>
      </c>
    </row>
    <row r="35" s="1" customFormat="1" ht="15" spans="1:29">
      <c r="A35" s="117"/>
      <c r="B35" s="118"/>
      <c r="C35" s="118"/>
      <c r="D35" s="118"/>
      <c r="E35" s="118"/>
      <c r="F35" s="118"/>
      <c r="G35" s="119"/>
      <c r="N35" s="57"/>
      <c r="O35" s="98">
        <v>1</v>
      </c>
      <c r="P35" s="89" t="s">
        <v>123</v>
      </c>
      <c r="Q35" s="49">
        <v>13.3598</v>
      </c>
      <c r="R35" s="57" t="s">
        <v>1</v>
      </c>
      <c r="S35" s="99">
        <f t="shared" si="19"/>
        <v>2694.5</v>
      </c>
      <c r="T35" s="100">
        <f t="shared" si="20"/>
        <v>1.99388888888889</v>
      </c>
      <c r="U35" s="100">
        <f t="shared" si="25"/>
        <v>1.652</v>
      </c>
      <c r="V35" s="101">
        <f t="shared" si="21"/>
        <v>2.38165</v>
      </c>
      <c r="W35" s="102">
        <f t="shared" si="22"/>
        <v>0.25</v>
      </c>
      <c r="X35" s="101">
        <f t="shared" si="23"/>
        <v>0.488431876606684</v>
      </c>
      <c r="Y35" s="57">
        <f t="shared" si="26"/>
        <v>0.8</v>
      </c>
      <c r="Z35" s="103">
        <v>0</v>
      </c>
      <c r="AA35" s="103">
        <v>0</v>
      </c>
      <c r="AB35" s="36">
        <v>0</v>
      </c>
      <c r="AC35" s="97">
        <f t="shared" si="24"/>
        <v>111053.845910417</v>
      </c>
    </row>
    <row r="36" s="1" customFormat="1" ht="15" spans="1:29">
      <c r="B36" s="120" t="s">
        <v>68</v>
      </c>
      <c r="C36" s="1" t="s">
        <v>112</v>
      </c>
      <c r="D36" s="1" t="s">
        <v>113</v>
      </c>
      <c r="E36" s="1" t="s">
        <v>114</v>
      </c>
      <c r="F36" s="1" t="s">
        <v>115</v>
      </c>
      <c r="G36" s="2"/>
      <c r="N36" s="57"/>
      <c r="O36" s="98">
        <v>1</v>
      </c>
      <c r="P36" s="89" t="s">
        <v>118</v>
      </c>
      <c r="Q36" s="49">
        <v>1.9801</v>
      </c>
      <c r="R36" s="57" t="s">
        <v>1</v>
      </c>
      <c r="S36" s="99">
        <f t="shared" si="19"/>
        <v>2694.5</v>
      </c>
      <c r="T36" s="100">
        <f t="shared" si="20"/>
        <v>1.99388888888889</v>
      </c>
      <c r="U36" s="100">
        <f t="shared" si="25"/>
        <v>1.652</v>
      </c>
      <c r="V36" s="101">
        <f t="shared" si="21"/>
        <v>2.38165</v>
      </c>
      <c r="W36" s="102">
        <f t="shared" si="22"/>
        <v>0.25</v>
      </c>
      <c r="X36" s="101">
        <f t="shared" si="23"/>
        <v>0.488431876606684</v>
      </c>
      <c r="Y36" s="57">
        <f t="shared" si="26"/>
        <v>0.8</v>
      </c>
      <c r="Z36" s="103">
        <v>0</v>
      </c>
      <c r="AA36" s="103">
        <v>0</v>
      </c>
      <c r="AB36" s="36">
        <v>0</v>
      </c>
      <c r="AC36" s="97">
        <f t="shared" si="24"/>
        <v>16459.656603184</v>
      </c>
    </row>
    <row r="37" s="1" customFormat="1" ht="15" spans="1:29">
      <c r="B37" s="121" t="s">
        <v>156</v>
      </c>
      <c r="C37" s="122" t="s">
        <v>70</v>
      </c>
      <c r="D37" s="122" t="s">
        <v>71</v>
      </c>
      <c r="E37" s="122" t="s">
        <v>72</v>
      </c>
      <c r="F37" s="122" t="s">
        <v>73</v>
      </c>
      <c r="G37" s="2"/>
      <c r="N37" s="57"/>
      <c r="O37" s="98">
        <v>1</v>
      </c>
      <c r="P37" s="89" t="s">
        <v>124</v>
      </c>
      <c r="Q37" s="49">
        <v>1.0599</v>
      </c>
      <c r="R37" s="57" t="s">
        <v>1</v>
      </c>
      <c r="S37" s="99">
        <f t="shared" si="19"/>
        <v>2694.5</v>
      </c>
      <c r="T37" s="100">
        <f t="shared" si="20"/>
        <v>1.99388888888889</v>
      </c>
      <c r="U37" s="100">
        <f t="shared" si="25"/>
        <v>1.652</v>
      </c>
      <c r="V37" s="101">
        <f t="shared" si="21"/>
        <v>2.38165</v>
      </c>
      <c r="W37" s="102">
        <f t="shared" si="22"/>
        <v>0.25</v>
      </c>
      <c r="X37" s="101">
        <f t="shared" si="23"/>
        <v>0.488431876606684</v>
      </c>
      <c r="Y37" s="57">
        <f t="shared" si="26"/>
        <v>0.8</v>
      </c>
      <c r="Z37" s="103">
        <v>0</v>
      </c>
      <c r="AA37" s="103">
        <v>0</v>
      </c>
      <c r="AB37" s="36">
        <v>0</v>
      </c>
      <c r="AC37" s="97">
        <f t="shared" si="24"/>
        <v>8810.45908475062</v>
      </c>
    </row>
    <row r="38" s="1" customFormat="1" ht="15" spans="1:29">
      <c r="B38" s="4" t="s">
        <v>84</v>
      </c>
      <c r="C38" s="123">
        <f>SUM(AC3:AC27)</f>
        <v>5359586.57668159</v>
      </c>
      <c r="D38" s="123">
        <f t="shared" ref="D38:D41" si="27">C38/$E$38</f>
        <v>214383.463067263</v>
      </c>
      <c r="E38" s="124">
        <v>25</v>
      </c>
      <c r="F38" s="125">
        <f t="shared" ref="F38:F41" si="28">C38/$C$42</f>
        <v>0.914085034975938</v>
      </c>
      <c r="G38" s="2"/>
      <c r="O38" s="98">
        <v>0</v>
      </c>
      <c r="P38" s="89" t="s">
        <v>130</v>
      </c>
      <c r="Q38" s="49">
        <v>3.1056</v>
      </c>
      <c r="R38" s="57" t="s">
        <v>96</v>
      </c>
      <c r="S38" s="99">
        <f t="shared" si="19"/>
        <v>2694.5</v>
      </c>
      <c r="T38" s="100">
        <f t="shared" si="20"/>
        <v>1.99388888888889</v>
      </c>
      <c r="U38" s="100">
        <f t="shared" si="25"/>
        <v>1.32</v>
      </c>
      <c r="V38" s="101">
        <f t="shared" si="21"/>
        <v>2.38165</v>
      </c>
      <c r="W38" s="102">
        <f t="shared" si="22"/>
        <v>0.25</v>
      </c>
      <c r="X38" s="101">
        <f t="shared" si="23"/>
        <v>0.488431876606684</v>
      </c>
      <c r="Y38" s="57">
        <f t="shared" si="26"/>
        <v>0.8</v>
      </c>
      <c r="Z38" s="103">
        <v>0</v>
      </c>
      <c r="AA38" s="103">
        <v>0</v>
      </c>
      <c r="AB38" s="36">
        <v>0</v>
      </c>
      <c r="AC38" s="97">
        <f t="shared" si="24"/>
        <v>0</v>
      </c>
    </row>
    <row r="39" s="1" customFormat="1" ht="15" spans="1:29">
      <c r="A39" s="1" t="s">
        <v>157</v>
      </c>
      <c r="B39" s="4" t="s">
        <v>100</v>
      </c>
      <c r="C39" s="123">
        <f>SUM(AC28:AC39)</f>
        <v>302302.84718614</v>
      </c>
      <c r="D39" s="123">
        <f t="shared" si="27"/>
        <v>12092.1138874456</v>
      </c>
      <c r="E39" s="126"/>
      <c r="F39" s="125">
        <f t="shared" si="28"/>
        <v>0.0515581761186065</v>
      </c>
      <c r="G39" s="2"/>
      <c r="O39" s="127">
        <v>1</v>
      </c>
      <c r="P39" s="89" t="s">
        <v>131</v>
      </c>
      <c r="Q39" s="56">
        <v>3.7804</v>
      </c>
      <c r="R39" s="128" t="s">
        <v>1</v>
      </c>
      <c r="S39" s="129">
        <f t="shared" si="19"/>
        <v>2694.5</v>
      </c>
      <c r="T39" s="130">
        <f t="shared" si="20"/>
        <v>1.99388888888889</v>
      </c>
      <c r="U39" s="130">
        <f t="shared" si="25"/>
        <v>1.652</v>
      </c>
      <c r="V39" s="131">
        <f>1+$G$22*($I$22-1+25%)</f>
        <v>2.5704</v>
      </c>
      <c r="W39" s="132">
        <f t="shared" si="22"/>
        <v>0.25</v>
      </c>
      <c r="X39" s="131">
        <f t="shared" si="23"/>
        <v>0.488431876606684</v>
      </c>
      <c r="Y39" s="128">
        <f t="shared" si="26"/>
        <v>0.8</v>
      </c>
      <c r="Z39" s="133">
        <v>0</v>
      </c>
      <c r="AA39" s="133">
        <v>0</v>
      </c>
      <c r="AB39" s="53">
        <v>0</v>
      </c>
      <c r="AC39" s="97">
        <f t="shared" si="24"/>
        <v>33915.1837457716</v>
      </c>
    </row>
    <row r="40" s="1" customFormat="1" ht="15" spans="1:29">
      <c r="B40" s="4" t="s">
        <v>139</v>
      </c>
      <c r="C40" s="123">
        <f>SUM(AC44:AC49)+AC41</f>
        <v>98010.0195568733</v>
      </c>
      <c r="D40" s="123">
        <f t="shared" si="27"/>
        <v>3920.40078227493</v>
      </c>
      <c r="E40" s="134"/>
      <c r="F40" s="125">
        <f t="shared" si="28"/>
        <v>0.0167157467974156</v>
      </c>
      <c r="G40" s="2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</row>
    <row r="41" s="1" customFormat="1" ht="17.5" spans="1:29">
      <c r="B41" s="4" t="s">
        <v>74</v>
      </c>
      <c r="C41" s="123">
        <f>AC42</f>
        <v>103435.335732648</v>
      </c>
      <c r="D41" s="123">
        <f t="shared" si="27"/>
        <v>4137.41342930591</v>
      </c>
      <c r="E41" s="134"/>
      <c r="F41" s="125">
        <f t="shared" si="28"/>
        <v>0.0176410421080399</v>
      </c>
      <c r="G41" s="2"/>
      <c r="H41" s="142"/>
      <c r="I41" s="142"/>
      <c r="J41" s="142"/>
      <c r="O41" s="34">
        <f>$O$42</f>
        <v>1.5</v>
      </c>
      <c r="P41" s="57" t="s">
        <v>67</v>
      </c>
      <c r="Q41" s="100">
        <v>2.9822</v>
      </c>
      <c r="R41" s="57" t="s">
        <v>66</v>
      </c>
      <c r="S41" s="57">
        <v>10027</v>
      </c>
      <c r="T41" s="100">
        <v>0</v>
      </c>
      <c r="U41" s="100">
        <v>0</v>
      </c>
      <c r="V41" s="101">
        <v>1</v>
      </c>
      <c r="W41" s="102">
        <v>0</v>
      </c>
      <c r="X41" s="101">
        <f t="shared" ref="X41:X49" si="29">$AH$3</f>
        <v>0.488431876606684</v>
      </c>
      <c r="Y41" s="137">
        <f>$AH$13</f>
        <v>0.8</v>
      </c>
      <c r="Z41" s="103">
        <v>0</v>
      </c>
      <c r="AA41" s="103">
        <v>0</v>
      </c>
      <c r="AB41" s="36">
        <v>0.5</v>
      </c>
      <c r="AC41" s="138">
        <f>Q41*S41*(1+T41)*(1+U41)*V41*(1+W41)*X41*Y41*(1+Z41)*(1+AA41)*(1+AB41)*O41</f>
        <v>26289.6185984576</v>
      </c>
    </row>
    <row r="42" s="1" customFormat="1" ht="17.5" spans="1:29">
      <c r="B42" s="4" t="s">
        <v>82</v>
      </c>
      <c r="C42" s="139">
        <f>SUM(C38:C41)</f>
        <v>5863334.77915725</v>
      </c>
      <c r="D42" s="139">
        <f>C42/E38</f>
        <v>234533.39116629</v>
      </c>
      <c r="E42" s="140"/>
      <c r="F42" s="141"/>
      <c r="G42" s="2"/>
      <c r="H42" s="142"/>
      <c r="I42" s="143"/>
      <c r="J42" s="144"/>
      <c r="O42" s="20">
        <v>1.5</v>
      </c>
      <c r="P42" s="137" t="s">
        <v>74</v>
      </c>
      <c r="Q42" s="145">
        <v>16</v>
      </c>
      <c r="R42" s="137" t="s">
        <v>75</v>
      </c>
      <c r="S42" s="137">
        <v>10027</v>
      </c>
      <c r="T42" s="145">
        <v>0</v>
      </c>
      <c r="U42" s="145">
        <v>0</v>
      </c>
      <c r="V42" s="146">
        <v>1</v>
      </c>
      <c r="W42" s="147">
        <v>0</v>
      </c>
      <c r="X42" s="146">
        <f t="shared" si="29"/>
        <v>0.488431876606684</v>
      </c>
      <c r="Y42" s="137">
        <f>$AH$13</f>
        <v>0.8</v>
      </c>
      <c r="Z42" s="148">
        <v>0</v>
      </c>
      <c r="AA42" s="148">
        <v>0</v>
      </c>
      <c r="AB42" s="148">
        <v>0.1</v>
      </c>
      <c r="AC42" s="149">
        <f>Q42*S42*(1+T42)*(1+U42)*V42*(1+W42)*X42*Y42*(1+Z42)*(1+AA42)*(1+AB42)*O42</f>
        <v>103435.335732648</v>
      </c>
    </row>
    <row r="43" s="1" customFormat="1" ht="17.5" spans="1:29">
      <c r="B43" s="4"/>
      <c r="C43" s="4"/>
      <c r="D43" s="4"/>
      <c r="G43" s="2"/>
      <c r="H43" s="142"/>
      <c r="I43" s="143"/>
      <c r="J43" s="144"/>
      <c r="Q43" s="2"/>
      <c r="U43" s="2"/>
      <c r="V43" s="3"/>
      <c r="AB43" s="4"/>
      <c r="AC43" s="4"/>
    </row>
    <row r="44" s="1" customFormat="1" ht="17.5" spans="1:29">
      <c r="B44" s="151" t="s">
        <v>125</v>
      </c>
      <c r="C44" s="152" t="s">
        <v>126</v>
      </c>
      <c r="D44" s="152" t="s">
        <v>128</v>
      </c>
      <c r="E44" s="152"/>
      <c r="F44" s="153"/>
      <c r="G44" s="167"/>
      <c r="H44" s="154"/>
      <c r="I44" s="143"/>
      <c r="J44" s="144"/>
      <c r="O44" s="66">
        <v>1</v>
      </c>
      <c r="P44" s="155" t="s">
        <v>158</v>
      </c>
      <c r="Q44" s="90">
        <v>2.0279</v>
      </c>
      <c r="R44" s="91" t="s">
        <v>110</v>
      </c>
      <c r="S44" s="92">
        <f t="shared" ref="S44:S47" si="30">C$34</f>
        <v>1225</v>
      </c>
      <c r="T44" s="93">
        <f t="shared" ref="T44:T47" si="31">S44/$C$27-1</f>
        <v>0.96</v>
      </c>
      <c r="U44" s="93">
        <f t="shared" ref="U44:U47" si="32">E$30</f>
        <v>0.4</v>
      </c>
      <c r="V44" s="94">
        <f t="shared" ref="V44:V47" si="33">1+$G$32*($I$32-1)</f>
        <v>1.65392</v>
      </c>
      <c r="W44" s="95">
        <f t="shared" ref="W44:W49" si="34">K$27</f>
        <v>0.25</v>
      </c>
      <c r="X44" s="94">
        <f t="shared" si="29"/>
        <v>0.488431876606684</v>
      </c>
      <c r="Y44" s="91">
        <f t="shared" ref="Y44:Y49" si="35">$AH$14</f>
        <v>0.8</v>
      </c>
      <c r="Z44" s="96">
        <v>0</v>
      </c>
      <c r="AA44" s="96">
        <v>0</v>
      </c>
      <c r="AB44" s="39">
        <v>0</v>
      </c>
      <c r="AC44" s="155">
        <f t="shared" ref="AC44:AC47" si="36">Q44*$C$27*(1+T44)*(1+U44)*V44*(1+W44)*X44*Y44*(1+Z44)*(1+AA44)*(1+AB44)*O44</f>
        <v>2809.5007874365</v>
      </c>
    </row>
    <row r="45" s="1" customFormat="1" ht="17.5" spans="1:29">
      <c r="B45" s="156"/>
      <c r="C45" s="157" t="s">
        <v>162</v>
      </c>
      <c r="D45" s="157" t="s">
        <v>129</v>
      </c>
      <c r="E45" s="157"/>
      <c r="F45" s="158"/>
      <c r="G45" s="2"/>
      <c r="H45" s="142"/>
      <c r="I45" s="143"/>
      <c r="J45" s="144"/>
      <c r="O45" s="34">
        <v>1</v>
      </c>
      <c r="P45" s="155" t="s">
        <v>159</v>
      </c>
      <c r="Q45" s="49">
        <f>22.27%+16.71%*2+23.86%+23.86%+17.9%*4+41.36%+10.34%*6</f>
        <v>2.7841</v>
      </c>
      <c r="R45" s="57" t="s">
        <v>1</v>
      </c>
      <c r="S45" s="99">
        <f t="shared" si="30"/>
        <v>1225</v>
      </c>
      <c r="T45" s="100">
        <f t="shared" si="31"/>
        <v>0.96</v>
      </c>
      <c r="U45" s="100">
        <f t="shared" si="32"/>
        <v>0.4</v>
      </c>
      <c r="V45" s="101">
        <f t="shared" si="33"/>
        <v>1.65392</v>
      </c>
      <c r="W45" s="102">
        <f t="shared" si="34"/>
        <v>0.25</v>
      </c>
      <c r="X45" s="101">
        <f t="shared" si="29"/>
        <v>0.488431876606684</v>
      </c>
      <c r="Y45" s="57">
        <f t="shared" si="35"/>
        <v>0.8</v>
      </c>
      <c r="Z45" s="103">
        <v>0</v>
      </c>
      <c r="AA45" s="103">
        <v>0</v>
      </c>
      <c r="AB45" s="36">
        <v>0</v>
      </c>
      <c r="AC45" s="155">
        <f t="shared" si="36"/>
        <v>3857.15821406478</v>
      </c>
    </row>
    <row r="46" s="1" customFormat="1" ht="17.5" spans="1:29">
      <c r="B46" s="159"/>
      <c r="C46" s="159"/>
      <c r="D46" s="159"/>
      <c r="E46" s="159"/>
      <c r="F46" s="159"/>
      <c r="G46" s="2"/>
      <c r="H46" s="142"/>
      <c r="I46" s="143"/>
      <c r="J46" s="144"/>
      <c r="O46" s="34">
        <v>1</v>
      </c>
      <c r="P46" s="155" t="s">
        <v>160</v>
      </c>
      <c r="Q46" s="49">
        <f>39.77%*4</f>
        <v>1.5908</v>
      </c>
      <c r="R46" s="57" t="s">
        <v>83</v>
      </c>
      <c r="S46" s="99">
        <f t="shared" si="30"/>
        <v>1225</v>
      </c>
      <c r="T46" s="100">
        <f t="shared" si="31"/>
        <v>0.96</v>
      </c>
      <c r="U46" s="100">
        <f t="shared" si="32"/>
        <v>0.4</v>
      </c>
      <c r="V46" s="101">
        <f t="shared" si="33"/>
        <v>1.65392</v>
      </c>
      <c r="W46" s="102">
        <f t="shared" si="34"/>
        <v>0.25</v>
      </c>
      <c r="X46" s="101">
        <f t="shared" si="29"/>
        <v>0.488431876606684</v>
      </c>
      <c r="Y46" s="57">
        <f t="shared" si="35"/>
        <v>0.8</v>
      </c>
      <c r="Z46" s="103">
        <v>0</v>
      </c>
      <c r="AA46" s="103">
        <v>0</v>
      </c>
      <c r="AB46" s="36">
        <v>0</v>
      </c>
      <c r="AC46" s="155">
        <f t="shared" si="36"/>
        <v>2203.93207389614</v>
      </c>
    </row>
    <row r="47" s="1" customFormat="1" ht="17.5" spans="1:29">
      <c r="B47" s="160" t="s">
        <v>132</v>
      </c>
      <c r="C47" s="161" t="s">
        <v>133</v>
      </c>
      <c r="D47" s="161" t="s">
        <v>134</v>
      </c>
      <c r="E47" s="91"/>
      <c r="F47" s="162"/>
      <c r="H47" s="142"/>
      <c r="I47" s="143"/>
      <c r="J47" s="144"/>
      <c r="O47" s="34">
        <v>1</v>
      </c>
      <c r="P47" s="155" t="s">
        <v>95</v>
      </c>
      <c r="Q47" s="49">
        <v>3.51</v>
      </c>
      <c r="R47" s="57" t="s">
        <v>96</v>
      </c>
      <c r="S47" s="99">
        <f t="shared" si="30"/>
        <v>1225</v>
      </c>
      <c r="T47" s="100">
        <f t="shared" si="31"/>
        <v>0.96</v>
      </c>
      <c r="U47" s="100">
        <f t="shared" si="32"/>
        <v>0.4</v>
      </c>
      <c r="V47" s="101">
        <f t="shared" si="33"/>
        <v>1.65392</v>
      </c>
      <c r="W47" s="102">
        <f t="shared" si="34"/>
        <v>0.25</v>
      </c>
      <c r="X47" s="101">
        <f t="shared" si="29"/>
        <v>0.488431876606684</v>
      </c>
      <c r="Y47" s="57">
        <f t="shared" si="35"/>
        <v>0.8</v>
      </c>
      <c r="Z47" s="103">
        <v>0</v>
      </c>
      <c r="AA47" s="103">
        <v>0</v>
      </c>
      <c r="AB47" s="36">
        <v>0</v>
      </c>
      <c r="AC47" s="155">
        <f t="shared" si="36"/>
        <v>4862.83730159383</v>
      </c>
    </row>
    <row r="48" s="1" customFormat="1" ht="15" spans="1:29">
      <c r="B48" s="163"/>
      <c r="C48" s="134" t="s">
        <v>164</v>
      </c>
      <c r="D48" s="134" t="s">
        <v>165</v>
      </c>
      <c r="F48" s="164"/>
      <c r="G48" s="2"/>
      <c r="O48" s="34">
        <v>1</v>
      </c>
      <c r="P48" s="155" t="s">
        <v>161</v>
      </c>
      <c r="Q48" s="49">
        <v>5.2233</v>
      </c>
      <c r="R48" s="57" t="s">
        <v>120</v>
      </c>
      <c r="S48" s="99">
        <f>A34</f>
        <v>3551.269</v>
      </c>
      <c r="T48" s="100">
        <v>0</v>
      </c>
      <c r="U48" s="100">
        <f>E$30+M30</f>
        <v>0.572</v>
      </c>
      <c r="V48" s="101">
        <f>I32+1.6</f>
        <v>3.82</v>
      </c>
      <c r="W48" s="102">
        <f t="shared" si="34"/>
        <v>0.25</v>
      </c>
      <c r="X48" s="101">
        <f t="shared" si="29"/>
        <v>0.488431876606684</v>
      </c>
      <c r="Y48" s="57">
        <f t="shared" si="35"/>
        <v>0.8</v>
      </c>
      <c r="Z48" s="103">
        <v>0</v>
      </c>
      <c r="AA48" s="103">
        <v>0</v>
      </c>
      <c r="AB48" s="36">
        <v>0</v>
      </c>
      <c r="AC48" s="155">
        <f>Q48*S48*(1+T48)*(1+U48)*V48*(1+W48)*X48*Y48*(1+Z48)*(1+AA48)*(1+AB48)*O48</f>
        <v>54406.2064020229</v>
      </c>
    </row>
    <row r="49" s="1" customFormat="1" ht="15" spans="2:29">
      <c r="B49" s="165"/>
      <c r="C49" s="166" t="s">
        <v>177</v>
      </c>
      <c r="D49" s="166" t="s">
        <v>178</v>
      </c>
      <c r="E49" s="128"/>
      <c r="F49" s="52"/>
      <c r="G49" s="2"/>
      <c r="O49" s="51">
        <v>1</v>
      </c>
      <c r="P49" s="155" t="s">
        <v>163</v>
      </c>
      <c r="Q49" s="56">
        <f>258.46%</f>
        <v>2.5846</v>
      </c>
      <c r="R49" s="128" t="s">
        <v>83</v>
      </c>
      <c r="S49" s="129">
        <f>C$34</f>
        <v>1225</v>
      </c>
      <c r="T49" s="130">
        <f>S49/$C$27-1</f>
        <v>0.96</v>
      </c>
      <c r="U49" s="130">
        <f>E$30</f>
        <v>0.4</v>
      </c>
      <c r="V49" s="131">
        <f>1+$G$32*($I$32-1)</f>
        <v>1.65392</v>
      </c>
      <c r="W49" s="132">
        <f t="shared" si="34"/>
        <v>0.25</v>
      </c>
      <c r="X49" s="131">
        <f t="shared" si="29"/>
        <v>0.488431876606684</v>
      </c>
      <c r="Y49" s="128">
        <f t="shared" si="35"/>
        <v>0.8</v>
      </c>
      <c r="Z49" s="133">
        <v>0</v>
      </c>
      <c r="AA49" s="133">
        <v>0</v>
      </c>
      <c r="AB49" s="53">
        <v>0</v>
      </c>
      <c r="AC49" s="155">
        <f>Q49*$C$27*(1+T49)*(1+U49)*V49*(1+W49)*X49*Y49*(1+Z49)*(1+AA49)*(1+AB49)*O49</f>
        <v>3580.76617940154</v>
      </c>
    </row>
    <row r="50" s="1" customFormat="1" spans="2:29">
      <c r="B50" s="4"/>
      <c r="C50" s="4"/>
      <c r="D50" s="4"/>
      <c r="F50" s="4"/>
      <c r="G50" s="2"/>
      <c r="Q50" s="2"/>
      <c r="U50" s="2"/>
      <c r="V50" s="3"/>
      <c r="AB50" s="4"/>
      <c r="AC50" s="4"/>
    </row>
    <row r="51" s="1" customFormat="1" spans="2:29">
      <c r="B51" s="4"/>
      <c r="C51" s="4"/>
      <c r="D51" s="4"/>
      <c r="F51" s="4"/>
      <c r="G51" s="2"/>
      <c r="Q51" s="2"/>
      <c r="U51" s="2"/>
      <c r="V51" s="3"/>
      <c r="AB51" s="4"/>
      <c r="AC51" s="4"/>
    </row>
    <row r="52" s="1" customFormat="1" spans="2:29">
      <c r="G52" s="2"/>
      <c r="Q52" s="2"/>
      <c r="U52" s="2"/>
      <c r="V52" s="3"/>
      <c r="AB52" s="4"/>
      <c r="AC52" s="4"/>
    </row>
    <row r="53" s="1" customFormat="1" spans="2:29">
      <c r="B53" s="4"/>
      <c r="C53" s="4"/>
      <c r="D53" s="4"/>
      <c r="F53" s="4"/>
      <c r="G53" s="2"/>
      <c r="Q53" s="2"/>
      <c r="U53" s="2"/>
      <c r="V53" s="3"/>
      <c r="AB53" s="4"/>
      <c r="AC53" s="4"/>
    </row>
    <row r="54" s="1" customFormat="1" spans="2:29">
      <c r="B54" s="4"/>
      <c r="C54" s="4"/>
      <c r="D54" s="4"/>
      <c r="F54" s="4"/>
      <c r="G54" s="2"/>
      <c r="Q54" s="2"/>
      <c r="U54" s="2"/>
      <c r="V54" s="3"/>
      <c r="AB54" s="4"/>
      <c r="AC54" s="4"/>
    </row>
    <row r="55" s="1" customFormat="1" spans="2:29">
      <c r="G55" s="2"/>
      <c r="Q55" s="2"/>
      <c r="U55" s="2"/>
      <c r="V55" s="3"/>
      <c r="AB55" s="4"/>
      <c r="AC55" s="4"/>
    </row>
    <row r="56" s="1" customFormat="1" spans="2:29">
      <c r="B56" s="4"/>
      <c r="C56" s="4"/>
      <c r="D56" s="4"/>
      <c r="F56" s="4"/>
      <c r="G56" s="2"/>
      <c r="Q56" s="2"/>
      <c r="U56" s="2"/>
      <c r="V56" s="3"/>
      <c r="AB56" s="4"/>
      <c r="AC56" s="4"/>
    </row>
    <row r="57" s="1" customFormat="1" spans="2:29">
      <c r="B57" s="4"/>
      <c r="C57" s="4"/>
      <c r="D57" s="4"/>
      <c r="G57" s="2"/>
      <c r="Q57" s="2"/>
      <c r="U57" s="2"/>
      <c r="V57" s="3"/>
      <c r="AB57" s="4"/>
      <c r="AC57" s="4"/>
    </row>
    <row r="59" s="1" customFormat="1" spans="2:29">
      <c r="B59" s="4"/>
      <c r="C59" s="4"/>
      <c r="D59" s="4"/>
      <c r="G59" s="2"/>
      <c r="H59" s="1"/>
      <c r="I59" s="1"/>
      <c r="J59" s="1"/>
      <c r="Q59" s="2"/>
      <c r="U59" s="2"/>
      <c r="V59" s="3"/>
      <c r="AB59" s="4"/>
      <c r="AC59" s="4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5:M25"/>
    <mergeCell ref="B26:C26"/>
    <mergeCell ref="D26:E26"/>
    <mergeCell ref="F26:G26"/>
    <mergeCell ref="H26:I26"/>
    <mergeCell ref="J26:K26"/>
    <mergeCell ref="L26:M26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9"/>
  <sheetViews>
    <sheetView topLeftCell="D16" workbookViewId="0">
      <selection activeCell="M56" sqref="M56"/>
    </sheetView>
  </sheetViews>
  <sheetFormatPr defaultColWidth="9.69090909090909" defaultRowHeight="14"/>
  <cols>
    <col min="1" max="1" width="7.54545454545455" style="1" customWidth="1"/>
    <col min="2" max="2" width="15" style="1" customWidth="1"/>
    <col min="3" max="3" width="15.3636363636364" style="1" customWidth="1"/>
    <col min="4" max="4" width="13.9090909090909" style="1" customWidth="1"/>
    <col min="5" max="5" width="9.54545454545454" style="1" customWidth="1"/>
    <col min="6" max="6" width="13.9090909090909" style="1" customWidth="1"/>
    <col min="7" max="7" width="8.45454545454546" style="2" customWidth="1"/>
    <col min="8" max="8" width="16.2727272727273" style="1" customWidth="1"/>
    <col min="9" max="9" width="19.3636363636364" style="1" customWidth="1"/>
    <col min="10" max="10" width="9.90909090909091" style="1" customWidth="1"/>
    <col min="11" max="11" width="16.4545454545455" style="1" customWidth="1"/>
    <col min="12" max="12" width="9.54545454545454" style="1" customWidth="1"/>
    <col min="13" max="13" width="7.36363636363636" style="1" customWidth="1"/>
    <col min="14" max="14" width="5.54545454545455" style="1" customWidth="1"/>
    <col min="15" max="15" width="6.09090909090909" style="1" customWidth="1"/>
    <col min="16" max="16" width="17.2727272727273" style="1" customWidth="1"/>
    <col min="17" max="17" width="9.54545454545454" style="2" customWidth="1"/>
    <col min="18" max="18" width="6.09090909090909" style="1" customWidth="1"/>
    <col min="19" max="19" width="10.4545454545455" style="1" customWidth="1"/>
    <col min="20" max="20" width="8.45454545454546" style="1" customWidth="1"/>
    <col min="21" max="21" width="8.45454545454546" style="2" customWidth="1"/>
    <col min="22" max="22" width="8.27272727272727" style="3" customWidth="1"/>
    <col min="23" max="25" width="8.27272727272727" style="1" customWidth="1"/>
    <col min="26" max="26" width="10.4545454545455" style="1" customWidth="1"/>
    <col min="27" max="27" width="8.27272727272727" style="1" customWidth="1"/>
    <col min="28" max="28" width="10.4545454545455" style="4" customWidth="1"/>
    <col min="29" max="29" width="9.45454545454546" style="4" customWidth="1"/>
    <col min="30" max="31" width="5.90909090909091" style="1" customWidth="1"/>
    <col min="32" max="32" width="9.54545454545454" style="1" customWidth="1"/>
    <col min="33" max="33" width="5.90909090909091" style="1" customWidth="1"/>
    <col min="34" max="34" width="8" style="1" customWidth="1"/>
    <col min="35" max="35" width="9.54545454545454" style="1" customWidth="1"/>
    <col min="36" max="16384" width="9.69090909090909" style="1"/>
  </cols>
  <sheetData>
    <row r="1" s="1" customFormat="1" ht="14.75" spans="2:35">
      <c r="B1" s="5" t="s">
        <v>0</v>
      </c>
      <c r="C1" s="5" t="s">
        <v>83</v>
      </c>
      <c r="D1" s="6" t="s">
        <v>2</v>
      </c>
      <c r="E1" s="6">
        <v>2</v>
      </c>
      <c r="Q1" s="2"/>
      <c r="U1" s="2"/>
      <c r="V1" s="3"/>
      <c r="AB1" s="4"/>
      <c r="AC1" s="4"/>
    </row>
    <row r="2" s="1" customFormat="1" ht="15" spans="2:35">
      <c r="B2" s="7" t="s">
        <v>84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4</v>
      </c>
      <c r="P2" s="11" t="s">
        <v>5</v>
      </c>
      <c r="Q2" s="12" t="s">
        <v>6</v>
      </c>
      <c r="R2" s="11" t="s">
        <v>7</v>
      </c>
      <c r="S2" s="11" t="s">
        <v>8</v>
      </c>
      <c r="T2" s="13" t="s">
        <v>9</v>
      </c>
      <c r="U2" s="12" t="s">
        <v>10</v>
      </c>
      <c r="V2" s="14" t="s">
        <v>11</v>
      </c>
      <c r="W2" s="11" t="s">
        <v>12</v>
      </c>
      <c r="X2" s="11" t="s">
        <v>13</v>
      </c>
      <c r="Y2" s="11" t="s">
        <v>14</v>
      </c>
      <c r="Z2" s="11" t="s">
        <v>15</v>
      </c>
      <c r="AA2" s="11" t="s">
        <v>16</v>
      </c>
      <c r="AB2" s="15" t="s">
        <v>17</v>
      </c>
      <c r="AC2" s="16" t="s">
        <v>18</v>
      </c>
      <c r="AD2" s="17" t="s">
        <v>85</v>
      </c>
      <c r="AE2" s="17" t="s">
        <v>86</v>
      </c>
      <c r="AF2" s="18" t="s">
        <v>21</v>
      </c>
      <c r="AG2" s="18" t="s">
        <v>22</v>
      </c>
      <c r="AH2" s="19" t="s">
        <v>13</v>
      </c>
      <c r="AI2" s="19" t="s">
        <v>23</v>
      </c>
    </row>
    <row r="3" s="1" customFormat="1" ht="15" spans="2:35">
      <c r="B3" s="20" t="s">
        <v>24</v>
      </c>
      <c r="C3" s="21"/>
      <c r="D3" s="20" t="s">
        <v>10</v>
      </c>
      <c r="E3" s="21"/>
      <c r="F3" s="20" t="s">
        <v>25</v>
      </c>
      <c r="G3" s="21"/>
      <c r="H3" s="20" t="s">
        <v>26</v>
      </c>
      <c r="I3" s="21"/>
      <c r="J3" s="20" t="s">
        <v>12</v>
      </c>
      <c r="K3" s="21"/>
      <c r="L3" s="20" t="s">
        <v>27</v>
      </c>
      <c r="M3" s="21"/>
      <c r="O3" s="22">
        <v>1</v>
      </c>
      <c r="P3" s="23" t="s">
        <v>87</v>
      </c>
      <c r="Q3" s="24">
        <v>5.9643</v>
      </c>
      <c r="R3" s="25" t="s">
        <v>83</v>
      </c>
      <c r="S3" s="26">
        <f t="shared" ref="S3:S18" si="0">$C$4*(1+C$5+C$6+C$7+C$8)+C$9</f>
        <v>3133.232</v>
      </c>
      <c r="T3" s="27">
        <f t="shared" ref="T3:T27" si="1">S3/$C$4-1</f>
        <v>2.059796875</v>
      </c>
      <c r="U3" s="27">
        <f t="shared" ref="U3:U7" si="2">IF(R3=$C$1,SUM($E$4:$E$9),SUM($E$4:$E$8))</f>
        <v>1.992</v>
      </c>
      <c r="V3" s="28">
        <f t="shared" ref="V3:V27" si="3">1+$G$10*($I$10-1+AD3*2.5%+AE3*1%)</f>
        <v>3.40588</v>
      </c>
      <c r="W3" s="29">
        <f t="shared" ref="W3:W7" si="4">IF(R3=$C$1,$K$4+$K$5,$K$4)</f>
        <v>0.7</v>
      </c>
      <c r="X3" s="28">
        <f t="shared" ref="X3:X27" si="5">$AH$4</f>
        <v>0.514765646166351</v>
      </c>
      <c r="Y3" s="25">
        <f t="shared" ref="Y3:Y30" si="6">$AH$11</f>
        <v>0.8</v>
      </c>
      <c r="Z3" s="30">
        <v>0</v>
      </c>
      <c r="AA3" s="30">
        <v>0</v>
      </c>
      <c r="AB3" s="31">
        <v>0</v>
      </c>
      <c r="AC3" s="23">
        <f t="shared" ref="AC3:AC27" si="7">Q3*$C$4*(1+T3)*(1+U3)*V3*(1+W3)*X3*Y3*(1+Z3)*(1+AA3)*(1+AB3)*O3</f>
        <v>133318.810168173</v>
      </c>
      <c r="AD3" s="32">
        <v>24</v>
      </c>
      <c r="AE3" s="32">
        <v>23</v>
      </c>
      <c r="AF3" s="18">
        <v>0</v>
      </c>
      <c r="AG3" s="18">
        <v>0</v>
      </c>
      <c r="AH3" s="19">
        <f t="shared" ref="AH3:AH8" si="8">1520/(1520+(792+8*AI3)*(1-AG3/100))</f>
        <v>0.488431876606684</v>
      </c>
      <c r="AI3" s="33">
        <v>100</v>
      </c>
    </row>
    <row r="4" s="1" customFormat="1" ht="15" spans="2:35">
      <c r="B4" s="34" t="s">
        <v>28</v>
      </c>
      <c r="C4" s="35">
        <f>437+587</f>
        <v>1024</v>
      </c>
      <c r="D4" s="34" t="s">
        <v>29</v>
      </c>
      <c r="E4" s="36">
        <f>E1*30%</f>
        <v>0.6</v>
      </c>
      <c r="F4" s="34" t="s">
        <v>30</v>
      </c>
      <c r="G4" s="37">
        <v>0.13</v>
      </c>
      <c r="H4" s="34" t="s">
        <v>30</v>
      </c>
      <c r="I4" s="37">
        <v>1.5</v>
      </c>
      <c r="J4" s="38" t="s">
        <v>31</v>
      </c>
      <c r="K4" s="39">
        <f>25%+20%</f>
        <v>0.45</v>
      </c>
      <c r="L4" s="34" t="s">
        <v>32</v>
      </c>
      <c r="M4" s="37">
        <f>8.6%*3</f>
        <v>0.258</v>
      </c>
      <c r="O4" s="40">
        <v>1</v>
      </c>
      <c r="P4" s="23" t="s">
        <v>88</v>
      </c>
      <c r="Q4" s="41">
        <f>39.23%+26.15%*2</f>
        <v>0.9153</v>
      </c>
      <c r="R4" s="42" t="s">
        <v>1</v>
      </c>
      <c r="S4" s="43">
        <f t="shared" si="0"/>
        <v>3133.232</v>
      </c>
      <c r="T4" s="44">
        <f t="shared" si="1"/>
        <v>2.059796875</v>
      </c>
      <c r="U4" s="44">
        <f t="shared" si="2"/>
        <v>1.42</v>
      </c>
      <c r="V4" s="28">
        <f t="shared" si="3"/>
        <v>3.40588</v>
      </c>
      <c r="W4" s="45">
        <f t="shared" si="4"/>
        <v>0.45</v>
      </c>
      <c r="X4" s="46">
        <f t="shared" si="5"/>
        <v>0.514765646166351</v>
      </c>
      <c r="Y4" s="42">
        <f t="shared" si="6"/>
        <v>0.8</v>
      </c>
      <c r="Z4" s="47">
        <v>0</v>
      </c>
      <c r="AA4" s="47">
        <v>0</v>
      </c>
      <c r="AB4" s="48">
        <v>0</v>
      </c>
      <c r="AC4" s="23">
        <f t="shared" si="7"/>
        <v>14114.5900562464</v>
      </c>
      <c r="AD4" s="32">
        <v>24</v>
      </c>
      <c r="AE4" s="32">
        <v>23</v>
      </c>
      <c r="AF4" s="18">
        <v>10</v>
      </c>
      <c r="AG4" s="18">
        <v>0</v>
      </c>
      <c r="AH4" s="19">
        <f>1520/(1520+(792+8*AI4)*(1-AG4/100)*(1-AF4/100))</f>
        <v>0.514765646166351</v>
      </c>
      <c r="AI4" s="33">
        <v>100</v>
      </c>
    </row>
    <row r="5" s="1" customFormat="1" ht="15" spans="2:35">
      <c r="B5" s="34" t="s">
        <v>33</v>
      </c>
      <c r="C5" s="37">
        <f>12%+12%+3%</f>
        <v>0.27</v>
      </c>
      <c r="D5" s="34" t="s">
        <v>34</v>
      </c>
      <c r="E5" s="36">
        <f>12%+10%</f>
        <v>0.22</v>
      </c>
      <c r="F5" s="34" t="s">
        <v>35</v>
      </c>
      <c r="G5" s="37">
        <v>0.243</v>
      </c>
      <c r="H5" s="34" t="s">
        <v>35</v>
      </c>
      <c r="I5" s="37">
        <v>0</v>
      </c>
      <c r="J5" s="49" t="s">
        <v>89</v>
      </c>
      <c r="K5" s="36">
        <v>0.25</v>
      </c>
      <c r="L5" s="34" t="s">
        <v>37</v>
      </c>
      <c r="M5" s="37">
        <f>8.6%*2</f>
        <v>0.172</v>
      </c>
      <c r="O5" s="40">
        <v>1</v>
      </c>
      <c r="P5" s="23" t="s">
        <v>168</v>
      </c>
      <c r="Q5" s="41">
        <v>2.1642</v>
      </c>
      <c r="R5" s="42" t="s">
        <v>96</v>
      </c>
      <c r="S5" s="43">
        <f t="shared" si="0"/>
        <v>3133.232</v>
      </c>
      <c r="T5" s="44">
        <f t="shared" si="1"/>
        <v>2.059796875</v>
      </c>
      <c r="U5" s="44">
        <f>IF(R5=$C$1,SUM($E$4:$E$9),SUM($E$4:$E$8))+$E$10</f>
        <v>1.97</v>
      </c>
      <c r="V5" s="28">
        <f t="shared" si="3"/>
        <v>3.48412</v>
      </c>
      <c r="W5" s="45">
        <f>IF(R5=$C$1,$K$4+$K$5,$K$4)+$K$6</f>
        <v>1.65</v>
      </c>
      <c r="X5" s="46">
        <f t="shared" si="5"/>
        <v>0.514765646166351</v>
      </c>
      <c r="Y5" s="42">
        <f t="shared" si="6"/>
        <v>0.8</v>
      </c>
      <c r="Z5" s="47">
        <v>0</v>
      </c>
      <c r="AA5" s="47">
        <v>0</v>
      </c>
      <c r="AB5" s="48">
        <v>0</v>
      </c>
      <c r="AC5" s="23">
        <f t="shared" si="7"/>
        <v>76574.6316969492</v>
      </c>
      <c r="AD5" s="32">
        <v>24</v>
      </c>
      <c r="AE5" s="32">
        <v>31</v>
      </c>
      <c r="AF5" s="18">
        <v>0</v>
      </c>
      <c r="AG5" s="18">
        <v>30</v>
      </c>
      <c r="AH5" s="19">
        <f t="shared" si="8"/>
        <v>0.57698147585788</v>
      </c>
      <c r="AI5" s="33">
        <v>100</v>
      </c>
    </row>
    <row r="6" s="1" customFormat="1" ht="15" spans="2:35">
      <c r="B6" s="34" t="s">
        <v>39</v>
      </c>
      <c r="C6" s="37">
        <f>18%+18%+M4+(2-E1)*30%</f>
        <v>0.618</v>
      </c>
      <c r="D6" s="34" t="s">
        <v>40</v>
      </c>
      <c r="E6" s="36"/>
      <c r="F6" s="34" t="s">
        <v>41</v>
      </c>
      <c r="G6" s="37">
        <v>0.2</v>
      </c>
      <c r="H6" s="34" t="s">
        <v>41</v>
      </c>
      <c r="I6" s="37">
        <v>0</v>
      </c>
      <c r="J6" s="49" t="s">
        <v>91</v>
      </c>
      <c r="K6" s="36">
        <f>32%+8%+80%</f>
        <v>1.2</v>
      </c>
      <c r="L6" s="34" t="s">
        <v>25</v>
      </c>
      <c r="M6" s="37">
        <f>8.1*5%</f>
        <v>0.405</v>
      </c>
      <c r="O6" s="40">
        <v>1</v>
      </c>
      <c r="P6" s="23" t="s">
        <v>90</v>
      </c>
      <c r="Q6" s="41">
        <f>37.88%*4+117.88%*3</f>
        <v>5.0516</v>
      </c>
      <c r="R6" s="42" t="s">
        <v>83</v>
      </c>
      <c r="S6" s="43">
        <f t="shared" si="0"/>
        <v>3133.232</v>
      </c>
      <c r="T6" s="44">
        <f t="shared" si="1"/>
        <v>2.059796875</v>
      </c>
      <c r="U6" s="44">
        <f t="shared" si="2"/>
        <v>1.992</v>
      </c>
      <c r="V6" s="28">
        <f t="shared" si="3"/>
        <v>3.48412</v>
      </c>
      <c r="W6" s="45">
        <f t="shared" si="4"/>
        <v>0.7</v>
      </c>
      <c r="X6" s="46">
        <f t="shared" si="5"/>
        <v>0.514765646166351</v>
      </c>
      <c r="Y6" s="42">
        <f t="shared" si="6"/>
        <v>0.8</v>
      </c>
      <c r="Z6" s="47">
        <v>0.8</v>
      </c>
      <c r="AA6" s="47">
        <v>0</v>
      </c>
      <c r="AB6" s="48">
        <v>0</v>
      </c>
      <c r="AC6" s="23">
        <f t="shared" si="7"/>
        <v>207920.433008138</v>
      </c>
      <c r="AD6" s="32">
        <v>24</v>
      </c>
      <c r="AE6" s="32">
        <v>31</v>
      </c>
      <c r="AF6" s="18">
        <v>0</v>
      </c>
      <c r="AG6" s="18">
        <v>21.6</v>
      </c>
      <c r="AH6" s="19">
        <f t="shared" si="8"/>
        <v>0.549107555719967</v>
      </c>
      <c r="AI6" s="33">
        <v>100</v>
      </c>
    </row>
    <row r="7" s="1" customFormat="1" ht="15" spans="2:35">
      <c r="B7" s="34" t="s">
        <v>179</v>
      </c>
      <c r="C7" s="37">
        <v>0.33</v>
      </c>
      <c r="D7" s="34" t="s">
        <v>44</v>
      </c>
      <c r="E7" s="36">
        <f>40%</f>
        <v>0.4</v>
      </c>
      <c r="F7" s="34" t="s">
        <v>39</v>
      </c>
      <c r="G7" s="37">
        <f>M6</f>
        <v>0.405</v>
      </c>
      <c r="H7" s="34" t="s">
        <v>39</v>
      </c>
      <c r="I7" s="37">
        <f>M7</f>
        <v>0.81</v>
      </c>
      <c r="J7" s="49"/>
      <c r="K7" s="36"/>
      <c r="L7" s="34" t="s">
        <v>45</v>
      </c>
      <c r="M7" s="36">
        <f>16.2%*5</f>
        <v>0.81</v>
      </c>
      <c r="O7" s="40">
        <v>1</v>
      </c>
      <c r="P7" s="23" t="s">
        <v>83</v>
      </c>
      <c r="Q7" s="41">
        <f>105.97%*2</f>
        <v>2.1194</v>
      </c>
      <c r="R7" s="42" t="s">
        <v>83</v>
      </c>
      <c r="S7" s="43">
        <f t="shared" si="0"/>
        <v>3133.232</v>
      </c>
      <c r="T7" s="44">
        <f t="shared" si="1"/>
        <v>2.059796875</v>
      </c>
      <c r="U7" s="44">
        <f t="shared" si="2"/>
        <v>1.992</v>
      </c>
      <c r="V7" s="28">
        <f t="shared" si="3"/>
        <v>3.48412</v>
      </c>
      <c r="W7" s="45">
        <f t="shared" si="4"/>
        <v>0.7</v>
      </c>
      <c r="X7" s="46">
        <f t="shared" si="5"/>
        <v>0.514765646166351</v>
      </c>
      <c r="Y7" s="42">
        <f t="shared" si="6"/>
        <v>0.8</v>
      </c>
      <c r="Z7" s="47">
        <v>0</v>
      </c>
      <c r="AA7" s="47">
        <v>0</v>
      </c>
      <c r="AB7" s="48">
        <v>0</v>
      </c>
      <c r="AC7" s="23">
        <f t="shared" si="7"/>
        <v>48462.815490521</v>
      </c>
      <c r="AD7" s="32">
        <v>24</v>
      </c>
      <c r="AE7" s="32">
        <v>31</v>
      </c>
      <c r="AF7" s="18">
        <v>0</v>
      </c>
      <c r="AG7" s="18">
        <v>28.8</v>
      </c>
      <c r="AH7" s="19">
        <f t="shared" si="8"/>
        <v>0.572827476423627</v>
      </c>
      <c r="AI7" s="33">
        <v>100</v>
      </c>
    </row>
    <row r="8" s="1" customFormat="1" ht="15" spans="2:35">
      <c r="B8" s="34" t="s">
        <v>46</v>
      </c>
      <c r="C8" s="37">
        <f>25%+25%</f>
        <v>0.5</v>
      </c>
      <c r="D8" s="34" t="s">
        <v>47</v>
      </c>
      <c r="E8" s="50">
        <v>0.2</v>
      </c>
      <c r="F8" s="34" t="s">
        <v>48</v>
      </c>
      <c r="G8" s="37">
        <v>0</v>
      </c>
      <c r="H8" s="34" t="s">
        <v>48</v>
      </c>
      <c r="I8" s="37">
        <v>0</v>
      </c>
      <c r="J8" s="49"/>
      <c r="K8" s="36"/>
      <c r="L8" s="34"/>
      <c r="M8" s="35"/>
      <c r="O8" s="40">
        <v>1</v>
      </c>
      <c r="P8" s="23" t="s">
        <v>168</v>
      </c>
      <c r="Q8" s="41">
        <v>2.1642</v>
      </c>
      <c r="R8" s="42" t="s">
        <v>96</v>
      </c>
      <c r="S8" s="43">
        <f t="shared" si="0"/>
        <v>3133.232</v>
      </c>
      <c r="T8" s="44">
        <f t="shared" si="1"/>
        <v>2.059796875</v>
      </c>
      <c r="U8" s="44">
        <f>IF(R8=$C$1,SUM($E$4:$E$9),SUM($E$4:$E$8))+$E$10</f>
        <v>1.97</v>
      </c>
      <c r="V8" s="28">
        <f t="shared" si="3"/>
        <v>3.56236</v>
      </c>
      <c r="W8" s="45">
        <f>IF(R8=$C$1,$K$4+$K$5,$K$4)+$K$6</f>
        <v>1.65</v>
      </c>
      <c r="X8" s="46">
        <f t="shared" si="5"/>
        <v>0.514765646166351</v>
      </c>
      <c r="Y8" s="42">
        <f t="shared" si="6"/>
        <v>0.8</v>
      </c>
      <c r="Z8" s="47">
        <v>0</v>
      </c>
      <c r="AA8" s="47">
        <v>0</v>
      </c>
      <c r="AB8" s="48">
        <v>0</v>
      </c>
      <c r="AC8" s="23">
        <f t="shared" si="7"/>
        <v>78294.2048413786</v>
      </c>
      <c r="AD8" s="32">
        <v>24</v>
      </c>
      <c r="AE8" s="32">
        <v>39</v>
      </c>
      <c r="AF8" s="18">
        <v>0</v>
      </c>
      <c r="AG8" s="18">
        <v>36</v>
      </c>
      <c r="AH8" s="19">
        <f t="shared" si="8"/>
        <v>0.598689185782707</v>
      </c>
      <c r="AI8" s="33">
        <v>100</v>
      </c>
    </row>
    <row r="9" s="1" customFormat="1" ht="15" spans="2:35">
      <c r="B9" s="34" t="s">
        <v>49</v>
      </c>
      <c r="C9" s="35">
        <v>350</v>
      </c>
      <c r="D9" s="34" t="s">
        <v>93</v>
      </c>
      <c r="E9" s="36">
        <f>32%+8%+M5</f>
        <v>0.572</v>
      </c>
      <c r="F9" s="34" t="s">
        <v>51</v>
      </c>
      <c r="G9" s="37"/>
      <c r="H9" s="34" t="s">
        <v>51</v>
      </c>
      <c r="I9" s="37">
        <v>0.32</v>
      </c>
      <c r="J9" s="49"/>
      <c r="K9" s="36"/>
      <c r="L9" s="34"/>
      <c r="M9" s="35"/>
      <c r="O9" s="40">
        <v>1</v>
      </c>
      <c r="P9" s="23" t="s">
        <v>90</v>
      </c>
      <c r="Q9" s="41">
        <f>37.88%*4+117.88%*3</f>
        <v>5.0516</v>
      </c>
      <c r="R9" s="42" t="s">
        <v>83</v>
      </c>
      <c r="S9" s="43">
        <f t="shared" si="0"/>
        <v>3133.232</v>
      </c>
      <c r="T9" s="44">
        <f t="shared" si="1"/>
        <v>2.059796875</v>
      </c>
      <c r="U9" s="44">
        <f t="shared" ref="U9:U13" si="9">IF(R9=$C$1,SUM($E$4:$E$9),SUM($E$4:$E$8))</f>
        <v>1.992</v>
      </c>
      <c r="V9" s="28">
        <f t="shared" si="3"/>
        <v>3.56236</v>
      </c>
      <c r="W9" s="45">
        <f t="shared" ref="W9:W13" si="10">IF(R9=$C$1,$K$4+$K$5,$K$4)</f>
        <v>0.7</v>
      </c>
      <c r="X9" s="46">
        <f t="shared" si="5"/>
        <v>0.514765646166351</v>
      </c>
      <c r="Y9" s="42">
        <f t="shared" si="6"/>
        <v>0.8</v>
      </c>
      <c r="Z9" s="47">
        <v>0.8</v>
      </c>
      <c r="AA9" s="47">
        <v>0</v>
      </c>
      <c r="AB9" s="48">
        <v>0</v>
      </c>
      <c r="AC9" s="23">
        <f t="shared" si="7"/>
        <v>212589.530134115</v>
      </c>
      <c r="AD9" s="32">
        <v>24</v>
      </c>
      <c r="AE9" s="32">
        <v>39</v>
      </c>
    </row>
    <row r="10" s="1" customFormat="1" ht="15" spans="2:35">
      <c r="B10" s="51" t="s">
        <v>52</v>
      </c>
      <c r="C10" s="52"/>
      <c r="D10" s="51" t="s">
        <v>94</v>
      </c>
      <c r="E10" s="53">
        <f>20%+35%</f>
        <v>0.55</v>
      </c>
      <c r="F10" s="54" t="s">
        <v>53</v>
      </c>
      <c r="G10" s="55">
        <f>MIN(100%,SUM(G4:G9))</f>
        <v>0.978</v>
      </c>
      <c r="H10" s="54" t="s">
        <v>54</v>
      </c>
      <c r="I10" s="55">
        <f>SUM(I4:I9)</f>
        <v>2.63</v>
      </c>
      <c r="J10" s="56"/>
      <c r="K10" s="53"/>
      <c r="L10" s="51"/>
      <c r="M10" s="52"/>
      <c r="O10" s="40">
        <v>1</v>
      </c>
      <c r="P10" s="23" t="s">
        <v>92</v>
      </c>
      <c r="Q10" s="41">
        <f>53.45%*2+95.43%+39.23%+26.15%*2</f>
        <v>2.9386</v>
      </c>
      <c r="R10" s="42" t="s">
        <v>1</v>
      </c>
      <c r="S10" s="43">
        <f t="shared" si="0"/>
        <v>3133.232</v>
      </c>
      <c r="T10" s="44">
        <f t="shared" si="1"/>
        <v>2.059796875</v>
      </c>
      <c r="U10" s="44">
        <f t="shared" si="9"/>
        <v>1.42</v>
      </c>
      <c r="V10" s="28">
        <f t="shared" si="3"/>
        <v>3.56236</v>
      </c>
      <c r="W10" s="45">
        <f t="shared" si="10"/>
        <v>0.45</v>
      </c>
      <c r="X10" s="46">
        <f t="shared" si="5"/>
        <v>0.514765646166351</v>
      </c>
      <c r="Y10" s="42">
        <f t="shared" si="6"/>
        <v>0.8</v>
      </c>
      <c r="Z10" s="47">
        <v>0</v>
      </c>
      <c r="AA10" s="47">
        <v>0</v>
      </c>
      <c r="AB10" s="48">
        <v>0</v>
      </c>
      <c r="AC10" s="23">
        <f t="shared" si="7"/>
        <v>47397.3154540868</v>
      </c>
      <c r="AD10" s="32">
        <v>24</v>
      </c>
      <c r="AE10" s="32">
        <v>39</v>
      </c>
    </row>
    <row r="11" s="1" customFormat="1" ht="15" spans="2:35">
      <c r="B11" s="57"/>
      <c r="C11" s="57"/>
      <c r="E11" s="58"/>
      <c r="F11" s="20" t="s">
        <v>55</v>
      </c>
      <c r="G11" s="59">
        <f>MAX(0,SUM(G4:G9)-1)</f>
        <v>0</v>
      </c>
      <c r="J11" s="2"/>
      <c r="K11" s="2"/>
      <c r="O11" s="40">
        <v>1</v>
      </c>
      <c r="P11" s="23" t="s">
        <v>168</v>
      </c>
      <c r="Q11" s="41">
        <v>2.1642</v>
      </c>
      <c r="R11" s="42" t="s">
        <v>96</v>
      </c>
      <c r="S11" s="43">
        <f t="shared" si="0"/>
        <v>3133.232</v>
      </c>
      <c r="T11" s="44">
        <f t="shared" si="1"/>
        <v>2.059796875</v>
      </c>
      <c r="U11" s="44">
        <f t="shared" ref="U11:U15" si="11">IF(R11=$C$1,SUM($E$4:$E$9),SUM($E$4:$E$8))+$E$10</f>
        <v>1.97</v>
      </c>
      <c r="V11" s="28">
        <f t="shared" si="3"/>
        <v>3.6406</v>
      </c>
      <c r="W11" s="45">
        <f t="shared" ref="W11:W15" si="12">IF(R11=$C$1,$K$4+$K$5,$K$4)+$K$6</f>
        <v>1.65</v>
      </c>
      <c r="X11" s="46">
        <f t="shared" si="5"/>
        <v>0.514765646166351</v>
      </c>
      <c r="Y11" s="42">
        <f t="shared" si="6"/>
        <v>0.8</v>
      </c>
      <c r="Z11" s="47">
        <v>0</v>
      </c>
      <c r="AA11" s="47">
        <v>0</v>
      </c>
      <c r="AB11" s="48">
        <v>0</v>
      </c>
      <c r="AC11" s="23">
        <f t="shared" si="7"/>
        <v>80013.777985808</v>
      </c>
      <c r="AD11" s="32">
        <v>24</v>
      </c>
      <c r="AE11" s="32">
        <v>47</v>
      </c>
      <c r="AG11" s="60" t="s">
        <v>97</v>
      </c>
      <c r="AH11" s="60">
        <v>0.8</v>
      </c>
    </row>
    <row r="12" s="1" customFormat="1" ht="15" spans="2:35">
      <c r="B12" s="57"/>
      <c r="C12" s="57"/>
      <c r="E12" s="58"/>
      <c r="G12" s="61"/>
      <c r="J12" s="2"/>
      <c r="K12" s="2"/>
      <c r="O12" s="40">
        <v>1</v>
      </c>
      <c r="P12" s="23" t="s">
        <v>90</v>
      </c>
      <c r="Q12" s="41">
        <f>37.88%*4+117.88%*3</f>
        <v>5.0516</v>
      </c>
      <c r="R12" s="42" t="s">
        <v>83</v>
      </c>
      <c r="S12" s="43">
        <f t="shared" si="0"/>
        <v>3133.232</v>
      </c>
      <c r="T12" s="44">
        <f t="shared" si="1"/>
        <v>2.059796875</v>
      </c>
      <c r="U12" s="44">
        <f t="shared" si="9"/>
        <v>1.992</v>
      </c>
      <c r="V12" s="28">
        <f t="shared" si="3"/>
        <v>3.6406</v>
      </c>
      <c r="W12" s="45">
        <f t="shared" si="10"/>
        <v>0.7</v>
      </c>
      <c r="X12" s="46">
        <f t="shared" si="5"/>
        <v>0.514765646166351</v>
      </c>
      <c r="Y12" s="42">
        <f t="shared" si="6"/>
        <v>0.8</v>
      </c>
      <c r="Z12" s="47">
        <v>0.8</v>
      </c>
      <c r="AA12" s="47">
        <v>0</v>
      </c>
      <c r="AB12" s="48">
        <v>0</v>
      </c>
      <c r="AC12" s="23">
        <f t="shared" si="7"/>
        <v>217258.627260091</v>
      </c>
      <c r="AD12" s="32">
        <v>24</v>
      </c>
      <c r="AE12" s="32">
        <v>47</v>
      </c>
      <c r="AG12" s="62" t="s">
        <v>98</v>
      </c>
      <c r="AH12" s="62">
        <v>0.8</v>
      </c>
    </row>
    <row r="13" s="1" customFormat="1" ht="15" spans="2:35">
      <c r="B13" s="5" t="s">
        <v>0</v>
      </c>
      <c r="C13" s="5" t="s">
        <v>1</v>
      </c>
      <c r="D13" s="6" t="s">
        <v>2</v>
      </c>
      <c r="E13" s="6">
        <v>2</v>
      </c>
      <c r="O13" s="40">
        <v>1</v>
      </c>
      <c r="P13" s="23" t="s">
        <v>92</v>
      </c>
      <c r="Q13" s="41">
        <f>53.45%*2+95.43%+39.23%+26.15%*2</f>
        <v>2.9386</v>
      </c>
      <c r="R13" s="42" t="s">
        <v>1</v>
      </c>
      <c r="S13" s="43">
        <f t="shared" si="0"/>
        <v>3133.232</v>
      </c>
      <c r="T13" s="44">
        <f t="shared" si="1"/>
        <v>2.059796875</v>
      </c>
      <c r="U13" s="44">
        <f t="shared" si="9"/>
        <v>1.42</v>
      </c>
      <c r="V13" s="28">
        <f t="shared" si="3"/>
        <v>3.6406</v>
      </c>
      <c r="W13" s="45">
        <f t="shared" si="10"/>
        <v>0.45</v>
      </c>
      <c r="X13" s="46">
        <f t="shared" si="5"/>
        <v>0.514765646166351</v>
      </c>
      <c r="Y13" s="42">
        <f t="shared" si="6"/>
        <v>0.8</v>
      </c>
      <c r="Z13" s="47">
        <v>0</v>
      </c>
      <c r="AA13" s="47">
        <v>0</v>
      </c>
      <c r="AB13" s="48">
        <v>0</v>
      </c>
      <c r="AC13" s="23">
        <f t="shared" si="7"/>
        <v>48438.3011941939</v>
      </c>
      <c r="AD13" s="32">
        <v>24</v>
      </c>
      <c r="AE13" s="32">
        <v>47</v>
      </c>
      <c r="AG13" s="1" t="s">
        <v>63</v>
      </c>
      <c r="AH13" s="1">
        <v>0.8</v>
      </c>
    </row>
    <row r="14" s="1" customFormat="1" ht="15" spans="2:35">
      <c r="B14" s="63" t="s">
        <v>100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O14" s="40">
        <v>1</v>
      </c>
      <c r="P14" s="23" t="s">
        <v>95</v>
      </c>
      <c r="Q14" s="41">
        <f>152.39%*3</f>
        <v>4.5717</v>
      </c>
      <c r="R14" s="42" t="s">
        <v>96</v>
      </c>
      <c r="S14" s="43">
        <f t="shared" si="0"/>
        <v>3133.232</v>
      </c>
      <c r="T14" s="44">
        <f t="shared" si="1"/>
        <v>2.059796875</v>
      </c>
      <c r="U14" s="44">
        <f t="shared" si="11"/>
        <v>1.97</v>
      </c>
      <c r="V14" s="28">
        <f t="shared" si="3"/>
        <v>3.6406</v>
      </c>
      <c r="W14" s="45">
        <f t="shared" si="12"/>
        <v>1.65</v>
      </c>
      <c r="X14" s="46">
        <f t="shared" si="5"/>
        <v>0.514765646166351</v>
      </c>
      <c r="Y14" s="42">
        <f t="shared" si="6"/>
        <v>0.8</v>
      </c>
      <c r="Z14" s="47">
        <v>0</v>
      </c>
      <c r="AA14" s="47">
        <v>0</v>
      </c>
      <c r="AB14" s="48">
        <v>0</v>
      </c>
      <c r="AC14" s="23">
        <f t="shared" si="7"/>
        <v>169022.728406671</v>
      </c>
      <c r="AD14" s="32">
        <v>24</v>
      </c>
      <c r="AE14" s="32">
        <v>47</v>
      </c>
      <c r="AG14" s="64" t="s">
        <v>137</v>
      </c>
      <c r="AH14" s="64">
        <v>0.8</v>
      </c>
    </row>
    <row r="15" s="1" customFormat="1" ht="15" spans="2:35">
      <c r="B15" s="65" t="s">
        <v>24</v>
      </c>
      <c r="C15" s="65"/>
      <c r="D15" s="65" t="s">
        <v>10</v>
      </c>
      <c r="E15" s="65"/>
      <c r="F15" s="65" t="s">
        <v>25</v>
      </c>
      <c r="G15" s="65"/>
      <c r="H15" s="65" t="s">
        <v>26</v>
      </c>
      <c r="I15" s="65"/>
      <c r="J15" s="65" t="s">
        <v>12</v>
      </c>
      <c r="K15" s="65"/>
      <c r="L15" s="65" t="s">
        <v>27</v>
      </c>
      <c r="M15" s="65"/>
      <c r="O15" s="40">
        <v>1</v>
      </c>
      <c r="P15" s="23" t="s">
        <v>168</v>
      </c>
      <c r="Q15" s="41">
        <v>2.1642</v>
      </c>
      <c r="R15" s="42" t="s">
        <v>96</v>
      </c>
      <c r="S15" s="43">
        <f t="shared" si="0"/>
        <v>3133.232</v>
      </c>
      <c r="T15" s="44">
        <f t="shared" si="1"/>
        <v>2.059796875</v>
      </c>
      <c r="U15" s="44">
        <f t="shared" si="11"/>
        <v>1.97</v>
      </c>
      <c r="V15" s="28">
        <f t="shared" si="3"/>
        <v>3.71884</v>
      </c>
      <c r="W15" s="45">
        <f t="shared" si="12"/>
        <v>1.65</v>
      </c>
      <c r="X15" s="46">
        <f t="shared" si="5"/>
        <v>0.514765646166351</v>
      </c>
      <c r="Y15" s="42">
        <f t="shared" si="6"/>
        <v>0.8</v>
      </c>
      <c r="Z15" s="47">
        <v>0</v>
      </c>
      <c r="AA15" s="47">
        <v>0</v>
      </c>
      <c r="AB15" s="48">
        <v>0</v>
      </c>
      <c r="AC15" s="23">
        <f t="shared" si="7"/>
        <v>81733.3511302374</v>
      </c>
      <c r="AD15" s="32">
        <v>24</v>
      </c>
      <c r="AE15" s="32">
        <v>55</v>
      </c>
    </row>
    <row r="16" s="1" customFormat="1" ht="15" spans="2:35">
      <c r="B16" s="66" t="s">
        <v>28</v>
      </c>
      <c r="C16" s="67">
        <f>400+500</f>
        <v>900</v>
      </c>
      <c r="D16" s="66" t="s">
        <v>29</v>
      </c>
      <c r="E16" s="39">
        <f>E13*30%</f>
        <v>0.6</v>
      </c>
      <c r="F16" s="66" t="s">
        <v>30</v>
      </c>
      <c r="G16" s="68">
        <v>0.13</v>
      </c>
      <c r="H16" s="66" t="s">
        <v>30</v>
      </c>
      <c r="I16" s="68">
        <v>1.5</v>
      </c>
      <c r="J16" s="38" t="s">
        <v>31</v>
      </c>
      <c r="K16" s="39">
        <v>0.25</v>
      </c>
      <c r="L16" s="66" t="s">
        <v>32</v>
      </c>
      <c r="M16" s="68">
        <v>0.086</v>
      </c>
      <c r="O16" s="40">
        <v>1</v>
      </c>
      <c r="P16" s="23" t="s">
        <v>90</v>
      </c>
      <c r="Q16" s="41">
        <f>37.88%*4+117.88%*3</f>
        <v>5.0516</v>
      </c>
      <c r="R16" s="42" t="s">
        <v>83</v>
      </c>
      <c r="S16" s="43">
        <f t="shared" si="0"/>
        <v>3133.232</v>
      </c>
      <c r="T16" s="44">
        <f t="shared" si="1"/>
        <v>2.059796875</v>
      </c>
      <c r="U16" s="44">
        <f t="shared" ref="U16:U18" si="13">IF(R16=$C$1,SUM($E$4:$E$9),SUM($E$4:$E$8))</f>
        <v>1.992</v>
      </c>
      <c r="V16" s="28">
        <f t="shared" si="3"/>
        <v>3.71884</v>
      </c>
      <c r="W16" s="45">
        <f t="shared" ref="W16:W18" si="14">IF(R16=$C$1,$K$4+$K$5,$K$4)</f>
        <v>0.7</v>
      </c>
      <c r="X16" s="46">
        <f t="shared" si="5"/>
        <v>0.514765646166351</v>
      </c>
      <c r="Y16" s="42">
        <f t="shared" si="6"/>
        <v>0.8</v>
      </c>
      <c r="Z16" s="47">
        <v>0.8</v>
      </c>
      <c r="AA16" s="47">
        <v>0</v>
      </c>
      <c r="AB16" s="48">
        <v>0</v>
      </c>
      <c r="AC16" s="23">
        <f t="shared" si="7"/>
        <v>221927.724386067</v>
      </c>
      <c r="AD16" s="32">
        <v>24</v>
      </c>
      <c r="AE16" s="32">
        <v>55</v>
      </c>
    </row>
    <row r="17" s="1" customFormat="1" ht="15" spans="1:31">
      <c r="B17" s="34" t="s">
        <v>33</v>
      </c>
      <c r="C17" s="36">
        <f>12%+53.9%</f>
        <v>0.659</v>
      </c>
      <c r="D17" s="34" t="s">
        <v>34</v>
      </c>
      <c r="E17" s="36"/>
      <c r="F17" s="34" t="s">
        <v>35</v>
      </c>
      <c r="G17" s="37"/>
      <c r="H17" s="34" t="s">
        <v>35</v>
      </c>
      <c r="I17" s="37"/>
      <c r="J17" s="49" t="s">
        <v>36</v>
      </c>
      <c r="K17" s="36"/>
      <c r="L17" s="34" t="s">
        <v>104</v>
      </c>
      <c r="M17" s="37">
        <f>2*8.6%</f>
        <v>0.172</v>
      </c>
      <c r="O17" s="40">
        <v>1</v>
      </c>
      <c r="P17" s="23" t="s">
        <v>99</v>
      </c>
      <c r="Q17" s="41">
        <f>33.01%*2+12.38%*8+495.1%</f>
        <v>6.6016</v>
      </c>
      <c r="R17" s="42" t="s">
        <v>83</v>
      </c>
      <c r="S17" s="43">
        <f t="shared" si="0"/>
        <v>3133.232</v>
      </c>
      <c r="T17" s="44">
        <f t="shared" si="1"/>
        <v>2.059796875</v>
      </c>
      <c r="U17" s="44">
        <f t="shared" si="13"/>
        <v>1.992</v>
      </c>
      <c r="V17" s="28">
        <f t="shared" si="3"/>
        <v>3.85576</v>
      </c>
      <c r="W17" s="45">
        <f t="shared" si="14"/>
        <v>0.7</v>
      </c>
      <c r="X17" s="46">
        <f t="shared" si="5"/>
        <v>0.514765646166351</v>
      </c>
      <c r="Y17" s="42">
        <f t="shared" si="6"/>
        <v>0.8</v>
      </c>
      <c r="Z17" s="47">
        <v>0.75</v>
      </c>
      <c r="AA17" s="47">
        <v>0</v>
      </c>
      <c r="AB17" s="48">
        <v>0</v>
      </c>
      <c r="AC17" s="23">
        <f t="shared" si="7"/>
        <v>292347.817030696</v>
      </c>
      <c r="AD17" s="32">
        <v>24</v>
      </c>
      <c r="AE17" s="32">
        <v>69</v>
      </c>
    </row>
    <row r="18" s="1" customFormat="1" ht="15" spans="1:31">
      <c r="B18" s="34" t="s">
        <v>39</v>
      </c>
      <c r="C18" s="36">
        <f>18%+18%+M16+(2-E13)*30%</f>
        <v>0.446</v>
      </c>
      <c r="D18" s="34" t="s">
        <v>40</v>
      </c>
      <c r="E18" s="36">
        <v>0.12</v>
      </c>
      <c r="F18" s="34" t="s">
        <v>176</v>
      </c>
      <c r="G18" s="37">
        <v>0.22</v>
      </c>
      <c r="H18" s="34" t="s">
        <v>41</v>
      </c>
      <c r="I18" s="37">
        <v>0</v>
      </c>
      <c r="J18" s="49"/>
      <c r="K18" s="37"/>
      <c r="L18" s="34" t="s">
        <v>25</v>
      </c>
      <c r="M18" s="37">
        <f>8.1*5%</f>
        <v>0.405</v>
      </c>
      <c r="O18" s="40">
        <v>1</v>
      </c>
      <c r="P18" s="23" t="s">
        <v>101</v>
      </c>
      <c r="Q18" s="41">
        <f>82.55%*AD18</f>
        <v>19.812</v>
      </c>
      <c r="R18" s="42" t="s">
        <v>83</v>
      </c>
      <c r="S18" s="43">
        <f t="shared" si="0"/>
        <v>3133.232</v>
      </c>
      <c r="T18" s="44">
        <f t="shared" si="1"/>
        <v>2.059796875</v>
      </c>
      <c r="U18" s="44">
        <f t="shared" si="13"/>
        <v>1.992</v>
      </c>
      <c r="V18" s="28">
        <f t="shared" si="3"/>
        <v>3.85576</v>
      </c>
      <c r="W18" s="45">
        <f t="shared" si="14"/>
        <v>0.7</v>
      </c>
      <c r="X18" s="46">
        <f t="shared" si="5"/>
        <v>0.514765646166351</v>
      </c>
      <c r="Y18" s="42">
        <f t="shared" si="6"/>
        <v>0.8</v>
      </c>
      <c r="Z18" s="47">
        <v>0.75</v>
      </c>
      <c r="AA18" s="47">
        <v>0</v>
      </c>
      <c r="AB18" s="48">
        <v>0</v>
      </c>
      <c r="AC18" s="23">
        <f t="shared" si="7"/>
        <v>877362.298687007</v>
      </c>
      <c r="AD18" s="32">
        <v>24</v>
      </c>
      <c r="AE18" s="32">
        <v>69</v>
      </c>
    </row>
    <row r="19" s="1" customFormat="1" ht="15" spans="1:31">
      <c r="B19" s="34" t="s">
        <v>43</v>
      </c>
      <c r="C19" s="69"/>
      <c r="D19" s="34" t="s">
        <v>44</v>
      </c>
      <c r="E19" s="36">
        <v>0.4</v>
      </c>
      <c r="F19" s="34" t="s">
        <v>39</v>
      </c>
      <c r="G19" s="37">
        <f>M18</f>
        <v>0.405</v>
      </c>
      <c r="H19" s="34" t="s">
        <v>39</v>
      </c>
      <c r="I19" s="37">
        <f>M19</f>
        <v>0.81</v>
      </c>
      <c r="J19" s="49"/>
      <c r="K19" s="37"/>
      <c r="L19" s="34" t="s">
        <v>45</v>
      </c>
      <c r="M19" s="36">
        <f>16.2%*5</f>
        <v>0.81</v>
      </c>
      <c r="O19" s="40">
        <v>1</v>
      </c>
      <c r="P19" s="23" t="s">
        <v>102</v>
      </c>
      <c r="Q19" s="41">
        <f t="shared" ref="Q19:Q26" si="15">104.38%+243.55%</f>
        <v>3.4793</v>
      </c>
      <c r="R19" s="42" t="s">
        <v>96</v>
      </c>
      <c r="S19" s="43">
        <f t="shared" ref="S19:S27" si="16">$C$4*(1+C$5+C$6+C$7+C$8+120%)+C$9</f>
        <v>4362.032</v>
      </c>
      <c r="T19" s="44">
        <f t="shared" si="1"/>
        <v>3.259796875</v>
      </c>
      <c r="U19" s="44">
        <f t="shared" ref="U19:U27" si="17">IF(R19=$C$1,SUM($E$4:$E$9),SUM($E$4:$E$8))+$E$10</f>
        <v>1.97</v>
      </c>
      <c r="V19" s="28">
        <f t="shared" si="3"/>
        <v>3.85576</v>
      </c>
      <c r="W19" s="45">
        <f t="shared" ref="W19:W27" si="18">IF(R19=$C$1,$K$4+$K$5,$K$4)+$K$6-20%</f>
        <v>1.45</v>
      </c>
      <c r="X19" s="46">
        <f t="shared" si="5"/>
        <v>0.514765646166351</v>
      </c>
      <c r="Y19" s="42">
        <f t="shared" si="6"/>
        <v>0.8</v>
      </c>
      <c r="Z19" s="47">
        <v>0.24</v>
      </c>
      <c r="AA19" s="47">
        <v>0</v>
      </c>
      <c r="AB19" s="48">
        <v>0.4</v>
      </c>
      <c r="AC19" s="23">
        <f t="shared" si="7"/>
        <v>304412.523439292</v>
      </c>
      <c r="AD19" s="32">
        <v>24</v>
      </c>
      <c r="AE19" s="32">
        <v>69</v>
      </c>
    </row>
    <row r="20" s="1" customFormat="1" ht="15" spans="1:31">
      <c r="B20" s="34" t="s">
        <v>46</v>
      </c>
      <c r="C20" s="69">
        <f>25%+25%</f>
        <v>0.5</v>
      </c>
      <c r="D20" s="34" t="s">
        <v>47</v>
      </c>
      <c r="E20" s="50">
        <v>0.2</v>
      </c>
      <c r="F20" s="34" t="s">
        <v>48</v>
      </c>
      <c r="G20" s="37">
        <v>0</v>
      </c>
      <c r="H20" s="34" t="s">
        <v>48</v>
      </c>
      <c r="I20" s="37">
        <v>0</v>
      </c>
      <c r="J20" s="49"/>
      <c r="K20" s="37"/>
      <c r="L20" s="34"/>
      <c r="M20" s="35"/>
      <c r="O20" s="40">
        <v>1</v>
      </c>
      <c r="P20" s="23" t="s">
        <v>103</v>
      </c>
      <c r="Q20" s="41">
        <f t="shared" si="15"/>
        <v>3.4793</v>
      </c>
      <c r="R20" s="42" t="s">
        <v>96</v>
      </c>
      <c r="S20" s="43">
        <f t="shared" si="16"/>
        <v>4362.032</v>
      </c>
      <c r="T20" s="44">
        <f t="shared" si="1"/>
        <v>3.259796875</v>
      </c>
      <c r="U20" s="44">
        <f t="shared" si="17"/>
        <v>1.97</v>
      </c>
      <c r="V20" s="28">
        <f t="shared" si="3"/>
        <v>3.86554</v>
      </c>
      <c r="W20" s="45">
        <f t="shared" si="18"/>
        <v>1.45</v>
      </c>
      <c r="X20" s="46">
        <f t="shared" si="5"/>
        <v>0.514765646166351</v>
      </c>
      <c r="Y20" s="42">
        <f t="shared" si="6"/>
        <v>0.8</v>
      </c>
      <c r="Z20" s="47">
        <v>0.24</v>
      </c>
      <c r="AA20" s="47">
        <v>0</v>
      </c>
      <c r="AB20" s="48">
        <v>0.4</v>
      </c>
      <c r="AC20" s="23">
        <f t="shared" si="7"/>
        <v>305184.655127788</v>
      </c>
      <c r="AD20" s="32">
        <v>24</v>
      </c>
      <c r="AE20" s="32">
        <v>70</v>
      </c>
    </row>
    <row r="21" s="1" customFormat="1" ht="15" spans="1:31">
      <c r="B21" s="34" t="s">
        <v>49</v>
      </c>
      <c r="C21" s="35">
        <v>350</v>
      </c>
      <c r="D21" s="34" t="s">
        <v>107</v>
      </c>
      <c r="E21" s="36">
        <f>M17+16%</f>
        <v>0.332</v>
      </c>
      <c r="F21" s="34" t="s">
        <v>51</v>
      </c>
      <c r="G21" s="37"/>
      <c r="H21" s="34" t="s">
        <v>51</v>
      </c>
      <c r="I21" s="37">
        <v>0.32</v>
      </c>
      <c r="J21" s="49"/>
      <c r="K21" s="37"/>
      <c r="L21" s="34"/>
      <c r="M21" s="35"/>
      <c r="O21" s="40">
        <v>1</v>
      </c>
      <c r="P21" s="23" t="s">
        <v>103</v>
      </c>
      <c r="Q21" s="41">
        <f>99.16%+231.37%</f>
        <v>3.3053</v>
      </c>
      <c r="R21" s="42" t="s">
        <v>96</v>
      </c>
      <c r="S21" s="43">
        <f t="shared" si="16"/>
        <v>4362.032</v>
      </c>
      <c r="T21" s="44">
        <f t="shared" si="1"/>
        <v>3.259796875</v>
      </c>
      <c r="U21" s="44">
        <f t="shared" si="17"/>
        <v>1.97</v>
      </c>
      <c r="V21" s="28">
        <f t="shared" si="3"/>
        <v>3.87532</v>
      </c>
      <c r="W21" s="45">
        <f t="shared" si="18"/>
        <v>1.45</v>
      </c>
      <c r="X21" s="46">
        <f t="shared" si="5"/>
        <v>0.514765646166351</v>
      </c>
      <c r="Y21" s="42">
        <f t="shared" si="6"/>
        <v>0.8</v>
      </c>
      <c r="Z21" s="47">
        <v>0.24</v>
      </c>
      <c r="AA21" s="47">
        <v>0</v>
      </c>
      <c r="AB21" s="70">
        <v>0.4</v>
      </c>
      <c r="AC21" s="23">
        <f t="shared" si="7"/>
        <v>290655.869704787</v>
      </c>
      <c r="AD21" s="32">
        <v>24</v>
      </c>
      <c r="AE21" s="32">
        <v>71</v>
      </c>
    </row>
    <row r="22" s="1" customFormat="1" ht="15" spans="1:31">
      <c r="B22" s="51" t="s">
        <v>52</v>
      </c>
      <c r="C22" s="52"/>
      <c r="D22" s="51"/>
      <c r="E22" s="53"/>
      <c r="F22" s="54" t="s">
        <v>53</v>
      </c>
      <c r="G22" s="55">
        <f>MIN(100%,SUM(G16:G21))</f>
        <v>0.755</v>
      </c>
      <c r="H22" s="54" t="s">
        <v>54</v>
      </c>
      <c r="I22" s="55">
        <f>SUM(I16:I21)</f>
        <v>2.63</v>
      </c>
      <c r="J22" s="56"/>
      <c r="K22" s="71"/>
      <c r="L22" s="51"/>
      <c r="M22" s="52"/>
      <c r="O22" s="40">
        <v>1</v>
      </c>
      <c r="P22" s="23" t="s">
        <v>138</v>
      </c>
      <c r="Q22" s="41">
        <f>99.16%+231.37%</f>
        <v>3.3053</v>
      </c>
      <c r="R22" s="42" t="s">
        <v>96</v>
      </c>
      <c r="S22" s="43">
        <f t="shared" si="16"/>
        <v>4362.032</v>
      </c>
      <c r="T22" s="44">
        <f t="shared" si="1"/>
        <v>3.259796875</v>
      </c>
      <c r="U22" s="44">
        <f t="shared" si="17"/>
        <v>1.97</v>
      </c>
      <c r="V22" s="28">
        <f t="shared" si="3"/>
        <v>3.8851</v>
      </c>
      <c r="W22" s="45">
        <f t="shared" si="18"/>
        <v>1.45</v>
      </c>
      <c r="X22" s="46">
        <f t="shared" si="5"/>
        <v>0.514765646166351</v>
      </c>
      <c r="Y22" s="42">
        <f t="shared" si="6"/>
        <v>0.8</v>
      </c>
      <c r="Z22" s="47">
        <v>0.24</v>
      </c>
      <c r="AA22" s="47">
        <v>0</v>
      </c>
      <c r="AB22" s="48">
        <v>0.4</v>
      </c>
      <c r="AC22" s="23">
        <f t="shared" si="7"/>
        <v>291389.387041603</v>
      </c>
      <c r="AD22" s="32">
        <v>24</v>
      </c>
      <c r="AE22" s="32">
        <v>72</v>
      </c>
    </row>
    <row r="23" s="1" customFormat="1" ht="15" spans="1:31">
      <c r="B23" s="57"/>
      <c r="C23" s="57"/>
      <c r="E23" s="58"/>
      <c r="F23" s="20" t="s">
        <v>55</v>
      </c>
      <c r="G23" s="59">
        <f>MAX(0,SUM(G16:G21)-1)</f>
        <v>0</v>
      </c>
      <c r="J23" s="2"/>
      <c r="K23" s="2"/>
      <c r="O23" s="40">
        <v>1</v>
      </c>
      <c r="P23" s="23" t="s">
        <v>106</v>
      </c>
      <c r="Q23" s="41">
        <f t="shared" si="15"/>
        <v>3.4793</v>
      </c>
      <c r="R23" s="42" t="s">
        <v>96</v>
      </c>
      <c r="S23" s="43">
        <f t="shared" si="16"/>
        <v>4362.032</v>
      </c>
      <c r="T23" s="44">
        <f t="shared" si="1"/>
        <v>3.259796875</v>
      </c>
      <c r="U23" s="44">
        <f t="shared" si="17"/>
        <v>1.97</v>
      </c>
      <c r="V23" s="28">
        <f t="shared" si="3"/>
        <v>3.89488</v>
      </c>
      <c r="W23" s="45">
        <f t="shared" si="18"/>
        <v>1.45</v>
      </c>
      <c r="X23" s="46">
        <f t="shared" si="5"/>
        <v>0.514765646166351</v>
      </c>
      <c r="Y23" s="42">
        <f t="shared" si="6"/>
        <v>0.8</v>
      </c>
      <c r="Z23" s="47">
        <v>0.24</v>
      </c>
      <c r="AA23" s="47">
        <v>0</v>
      </c>
      <c r="AB23" s="48">
        <v>0.4</v>
      </c>
      <c r="AC23" s="23">
        <f t="shared" si="7"/>
        <v>307501.050193277</v>
      </c>
      <c r="AD23" s="32">
        <v>24</v>
      </c>
      <c r="AE23" s="32">
        <v>73</v>
      </c>
    </row>
    <row r="24" s="1" customFormat="1" ht="15" spans="1:31">
      <c r="B24" s="57"/>
      <c r="C24" s="57"/>
      <c r="E24" s="58"/>
      <c r="J24" s="2"/>
      <c r="K24" s="2"/>
      <c r="O24" s="40">
        <v>1</v>
      </c>
      <c r="P24" s="23" t="s">
        <v>106</v>
      </c>
      <c r="Q24" s="41">
        <f t="shared" si="15"/>
        <v>3.4793</v>
      </c>
      <c r="R24" s="42" t="s">
        <v>96</v>
      </c>
      <c r="S24" s="43">
        <f t="shared" si="16"/>
        <v>4362.032</v>
      </c>
      <c r="T24" s="44">
        <f t="shared" si="1"/>
        <v>3.259796875</v>
      </c>
      <c r="U24" s="44">
        <f t="shared" si="17"/>
        <v>1.97</v>
      </c>
      <c r="V24" s="28">
        <f t="shared" si="3"/>
        <v>3.90466</v>
      </c>
      <c r="W24" s="45">
        <f t="shared" si="18"/>
        <v>1.45</v>
      </c>
      <c r="X24" s="46">
        <f t="shared" si="5"/>
        <v>0.514765646166351</v>
      </c>
      <c r="Y24" s="42">
        <f t="shared" si="6"/>
        <v>0.8</v>
      </c>
      <c r="Z24" s="47">
        <v>0.24</v>
      </c>
      <c r="AA24" s="47">
        <v>0</v>
      </c>
      <c r="AB24" s="70">
        <v>0.4</v>
      </c>
      <c r="AC24" s="23">
        <f t="shared" si="7"/>
        <v>308273.181881773</v>
      </c>
      <c r="AD24" s="32">
        <v>24</v>
      </c>
      <c r="AE24" s="32">
        <v>74</v>
      </c>
    </row>
    <row r="25" s="1" customFormat="1" ht="15" spans="1:31">
      <c r="A25" s="72"/>
      <c r="B25" s="73" t="s">
        <v>137</v>
      </c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O25" s="40">
        <v>1</v>
      </c>
      <c r="P25" s="23" t="s">
        <v>106</v>
      </c>
      <c r="Q25" s="41">
        <f t="shared" si="15"/>
        <v>3.4793</v>
      </c>
      <c r="R25" s="42" t="s">
        <v>96</v>
      </c>
      <c r="S25" s="43">
        <f t="shared" si="16"/>
        <v>4362.032</v>
      </c>
      <c r="T25" s="44">
        <f t="shared" si="1"/>
        <v>3.259796875</v>
      </c>
      <c r="U25" s="44">
        <f t="shared" si="17"/>
        <v>1.97</v>
      </c>
      <c r="V25" s="28">
        <f t="shared" si="3"/>
        <v>3.91444</v>
      </c>
      <c r="W25" s="45">
        <f t="shared" si="18"/>
        <v>1.45</v>
      </c>
      <c r="X25" s="46">
        <f t="shared" si="5"/>
        <v>0.514765646166351</v>
      </c>
      <c r="Y25" s="42">
        <f t="shared" si="6"/>
        <v>0.8</v>
      </c>
      <c r="Z25" s="47">
        <v>0.24</v>
      </c>
      <c r="AA25" s="47">
        <v>0</v>
      </c>
      <c r="AB25" s="48">
        <v>0.4</v>
      </c>
      <c r="AC25" s="23">
        <f t="shared" si="7"/>
        <v>309045.313570269</v>
      </c>
      <c r="AD25" s="32">
        <v>24</v>
      </c>
      <c r="AE25" s="32">
        <v>75</v>
      </c>
    </row>
    <row r="26" s="1" customFormat="1" ht="15" spans="1:31">
      <c r="A26" s="72" t="s">
        <v>140</v>
      </c>
      <c r="B26" s="74" t="s">
        <v>24</v>
      </c>
      <c r="C26" s="75"/>
      <c r="D26" s="74" t="s">
        <v>10</v>
      </c>
      <c r="E26" s="75"/>
      <c r="F26" s="74" t="s">
        <v>25</v>
      </c>
      <c r="G26" s="75"/>
      <c r="H26" s="74" t="s">
        <v>26</v>
      </c>
      <c r="I26" s="75"/>
      <c r="J26" s="74" t="s">
        <v>12</v>
      </c>
      <c r="K26" s="75"/>
      <c r="L26" s="74" t="s">
        <v>141</v>
      </c>
      <c r="M26" s="75"/>
      <c r="O26" s="40">
        <v>1</v>
      </c>
      <c r="P26" s="23" t="s">
        <v>106</v>
      </c>
      <c r="Q26" s="41">
        <f t="shared" si="15"/>
        <v>3.4793</v>
      </c>
      <c r="R26" s="42" t="s">
        <v>96</v>
      </c>
      <c r="S26" s="43">
        <f t="shared" si="16"/>
        <v>4362.032</v>
      </c>
      <c r="T26" s="44">
        <f t="shared" si="1"/>
        <v>3.259796875</v>
      </c>
      <c r="U26" s="44">
        <f t="shared" si="17"/>
        <v>1.97</v>
      </c>
      <c r="V26" s="28">
        <f t="shared" si="3"/>
        <v>3.92422</v>
      </c>
      <c r="W26" s="45">
        <f t="shared" si="18"/>
        <v>1.45</v>
      </c>
      <c r="X26" s="46">
        <f t="shared" si="5"/>
        <v>0.514765646166351</v>
      </c>
      <c r="Y26" s="42">
        <f t="shared" si="6"/>
        <v>0.8</v>
      </c>
      <c r="Z26" s="47">
        <v>0.24</v>
      </c>
      <c r="AA26" s="47">
        <v>0</v>
      </c>
      <c r="AB26" s="48">
        <v>0.4</v>
      </c>
      <c r="AC26" s="23">
        <f t="shared" si="7"/>
        <v>309817.445258765</v>
      </c>
      <c r="AD26" s="32">
        <v>24</v>
      </c>
      <c r="AE26" s="32">
        <v>76</v>
      </c>
    </row>
    <row r="27" s="1" customFormat="1" ht="15" spans="1:31">
      <c r="A27" s="72">
        <v>1357</v>
      </c>
      <c r="B27" s="76" t="s">
        <v>28</v>
      </c>
      <c r="C27" s="77">
        <f>288+337</f>
        <v>625</v>
      </c>
      <c r="D27" s="76" t="s">
        <v>29</v>
      </c>
      <c r="E27" s="78"/>
      <c r="F27" s="76" t="s">
        <v>142</v>
      </c>
      <c r="G27" s="79">
        <v>0.05</v>
      </c>
      <c r="H27" s="76" t="s">
        <v>142</v>
      </c>
      <c r="I27" s="78">
        <v>1.5</v>
      </c>
      <c r="J27" s="80" t="s">
        <v>31</v>
      </c>
      <c r="K27" s="78">
        <f>25%</f>
        <v>0.25</v>
      </c>
      <c r="L27" s="76" t="s">
        <v>140</v>
      </c>
      <c r="M27" s="79">
        <f>10.9%*3</f>
        <v>0.327</v>
      </c>
      <c r="O27" s="34">
        <v>1</v>
      </c>
      <c r="P27" s="23" t="s">
        <v>108</v>
      </c>
      <c r="Q27" s="81">
        <f>(27.84%+13.92%*2)*3</f>
        <v>1.6704</v>
      </c>
      <c r="R27" s="82" t="s">
        <v>96</v>
      </c>
      <c r="S27" s="43">
        <f t="shared" si="16"/>
        <v>4362.032</v>
      </c>
      <c r="T27" s="83">
        <f t="shared" si="1"/>
        <v>3.259796875</v>
      </c>
      <c r="U27" s="44">
        <f t="shared" si="17"/>
        <v>1.97</v>
      </c>
      <c r="V27" s="28">
        <f t="shared" si="3"/>
        <v>3.89488</v>
      </c>
      <c r="W27" s="84">
        <f t="shared" si="18"/>
        <v>1.45</v>
      </c>
      <c r="X27" s="85">
        <f t="shared" si="5"/>
        <v>0.514765646166351</v>
      </c>
      <c r="Y27" s="82">
        <f t="shared" si="6"/>
        <v>0.8</v>
      </c>
      <c r="Z27" s="86">
        <v>0</v>
      </c>
      <c r="AA27" s="86">
        <v>0</v>
      </c>
      <c r="AB27" s="70">
        <v>0.4</v>
      </c>
      <c r="AC27" s="23">
        <f t="shared" si="7"/>
        <v>119056.612760179</v>
      </c>
      <c r="AD27" s="32">
        <v>24</v>
      </c>
      <c r="AE27" s="32">
        <v>73</v>
      </c>
    </row>
    <row r="28" s="1" customFormat="1" ht="15" spans="1:31">
      <c r="A28" s="87">
        <f>16%+7.6*2%</f>
        <v>0.312</v>
      </c>
      <c r="B28" s="76" t="s">
        <v>143</v>
      </c>
      <c r="C28" s="78"/>
      <c r="D28" s="76" t="s">
        <v>144</v>
      </c>
      <c r="E28" s="78"/>
      <c r="F28" s="76" t="s">
        <v>35</v>
      </c>
      <c r="G28" s="79"/>
      <c r="H28" s="76" t="s">
        <v>145</v>
      </c>
      <c r="I28" s="79">
        <v>0.2</v>
      </c>
      <c r="J28" s="88" t="s">
        <v>146</v>
      </c>
      <c r="K28" s="79"/>
      <c r="L28" s="76" t="s">
        <v>25</v>
      </c>
      <c r="M28" s="79">
        <f>2*8.1%</f>
        <v>0.162</v>
      </c>
      <c r="O28" s="65">
        <v>1</v>
      </c>
      <c r="P28" s="89" t="s">
        <v>109</v>
      </c>
      <c r="Q28" s="90">
        <v>1.69</v>
      </c>
      <c r="R28" s="91" t="s">
        <v>110</v>
      </c>
      <c r="S28" s="92">
        <f t="shared" ref="S28:S39" si="19">$C$16*(1+$C$17+$C$18+$C$19+$C$20)+($C$21+$C$22)</f>
        <v>2694.5</v>
      </c>
      <c r="T28" s="93">
        <f t="shared" ref="T28:T39" si="20">($C$17+$C$18+$C$19+$C$20)+($C$21+$C$22)/$C$16</f>
        <v>1.99388888888889</v>
      </c>
      <c r="U28" s="93">
        <f>IF(R28=$C$13,SUM($E$16:$E$21),SUM($E$16:$E$20))-12%</f>
        <v>1.2</v>
      </c>
      <c r="V28" s="94">
        <f t="shared" ref="V28:V38" si="21">1+$G$22*($I$22-1)</f>
        <v>2.23065</v>
      </c>
      <c r="W28" s="95">
        <f t="shared" ref="W28:W39" si="22">IF(R28=$C$1,$K$16+$K$17,$K$16)</f>
        <v>0.25</v>
      </c>
      <c r="X28" s="94">
        <f t="shared" ref="X28:X39" si="23">$AH$3</f>
        <v>0.488431876606684</v>
      </c>
      <c r="Y28" s="91">
        <f t="shared" si="6"/>
        <v>0.8</v>
      </c>
      <c r="Z28" s="96">
        <v>0</v>
      </c>
      <c r="AA28" s="96">
        <v>0</v>
      </c>
      <c r="AB28" s="39">
        <v>0</v>
      </c>
      <c r="AC28" s="97">
        <f t="shared" ref="AC28:AC39" si="24">Q28*$C$16*(1+T28)*(1+U28)*V28*(1+W28)*X28*Y28*(1+Z28)*(1+AA28)*(1+AB28)*O28</f>
        <v>10914.9815433123</v>
      </c>
    </row>
    <row r="29" s="1" customFormat="1" ht="15" spans="1:31">
      <c r="A29" s="87">
        <f>36%+M27</f>
        <v>0.687</v>
      </c>
      <c r="B29" s="76" t="s">
        <v>147</v>
      </c>
      <c r="C29" s="78"/>
      <c r="D29" s="76" t="s">
        <v>148</v>
      </c>
      <c r="E29" s="78"/>
      <c r="F29" s="76" t="s">
        <v>41</v>
      </c>
      <c r="G29" s="79"/>
      <c r="H29" s="76" t="s">
        <v>149</v>
      </c>
      <c r="I29" s="79"/>
      <c r="J29" s="88" t="s">
        <v>150</v>
      </c>
      <c r="K29" s="79"/>
      <c r="L29" s="76" t="s">
        <v>45</v>
      </c>
      <c r="M29" s="79">
        <f>3*16.2%</f>
        <v>0.486</v>
      </c>
      <c r="O29" s="98">
        <v>1</v>
      </c>
      <c r="P29" s="89" t="s">
        <v>111</v>
      </c>
      <c r="Q29" s="49">
        <v>1.472</v>
      </c>
      <c r="R29" s="57" t="s">
        <v>83</v>
      </c>
      <c r="S29" s="99">
        <f t="shared" si="19"/>
        <v>2694.5</v>
      </c>
      <c r="T29" s="100">
        <f t="shared" si="20"/>
        <v>1.99388888888889</v>
      </c>
      <c r="U29" s="100">
        <f>IF(R29=$C$13,SUM($E$16:$E$21),SUM($E$16:$E$20))-12%</f>
        <v>1.2</v>
      </c>
      <c r="V29" s="101">
        <f t="shared" si="21"/>
        <v>2.23065</v>
      </c>
      <c r="W29" s="102">
        <f t="shared" si="22"/>
        <v>0.25</v>
      </c>
      <c r="X29" s="101">
        <f t="shared" si="23"/>
        <v>0.488431876606684</v>
      </c>
      <c r="Y29" s="57">
        <f t="shared" si="6"/>
        <v>0.8</v>
      </c>
      <c r="Z29" s="103">
        <v>0</v>
      </c>
      <c r="AA29" s="103">
        <v>0</v>
      </c>
      <c r="AB29" s="36">
        <v>0</v>
      </c>
      <c r="AC29" s="97">
        <f t="shared" si="24"/>
        <v>9507.01350991465</v>
      </c>
    </row>
    <row r="30" s="1" customFormat="1" ht="15" spans="1:31">
      <c r="A30" s="87">
        <v>0.418</v>
      </c>
      <c r="B30" s="76" t="s">
        <v>145</v>
      </c>
      <c r="C30" s="104">
        <f>25%+15%</f>
        <v>0.4</v>
      </c>
      <c r="D30" s="76" t="s">
        <v>151</v>
      </c>
      <c r="E30" s="78">
        <f>40%</f>
        <v>0.4</v>
      </c>
      <c r="F30" s="76" t="s">
        <v>145</v>
      </c>
      <c r="G30" s="79">
        <f>M29</f>
        <v>0.486</v>
      </c>
      <c r="H30" s="76"/>
      <c r="I30" s="79"/>
      <c r="J30" s="88"/>
      <c r="K30" s="79"/>
      <c r="L30" s="76" t="s">
        <v>152</v>
      </c>
      <c r="M30" s="79">
        <f>8.6%*2</f>
        <v>0.172</v>
      </c>
      <c r="O30" s="98">
        <v>1</v>
      </c>
      <c r="P30" s="89" t="s">
        <v>42</v>
      </c>
      <c r="Q30" s="49">
        <v>1.061</v>
      </c>
      <c r="R30" s="57" t="s">
        <v>42</v>
      </c>
      <c r="S30" s="99">
        <f t="shared" si="19"/>
        <v>2694.5</v>
      </c>
      <c r="T30" s="100">
        <f t="shared" si="20"/>
        <v>1.99388888888889</v>
      </c>
      <c r="U30" s="100">
        <f>IF(R30=$C$13,SUM($E$16:$E$21),SUM($E$16:$E$20))-6%</f>
        <v>1.26</v>
      </c>
      <c r="V30" s="101">
        <f t="shared" si="21"/>
        <v>2.23065</v>
      </c>
      <c r="W30" s="102">
        <f t="shared" si="22"/>
        <v>0.25</v>
      </c>
      <c r="X30" s="101">
        <f t="shared" si="23"/>
        <v>0.488431876606684</v>
      </c>
      <c r="Y30" s="57">
        <f t="shared" si="6"/>
        <v>0.8</v>
      </c>
      <c r="Z30" s="103">
        <v>0</v>
      </c>
      <c r="AA30" s="103">
        <v>0</v>
      </c>
      <c r="AB30" s="36">
        <v>0</v>
      </c>
      <c r="AC30" s="97">
        <f t="shared" si="24"/>
        <v>7039.42916714549</v>
      </c>
    </row>
    <row r="31" s="1" customFormat="1" ht="15" spans="1:31">
      <c r="A31" s="105">
        <v>0.2</v>
      </c>
      <c r="B31" s="76" t="s">
        <v>153</v>
      </c>
      <c r="C31" s="104"/>
      <c r="D31" s="76" t="s">
        <v>154</v>
      </c>
      <c r="E31" s="78">
        <v>0.2</v>
      </c>
      <c r="F31" s="76" t="s">
        <v>121</v>
      </c>
      <c r="G31" s="79"/>
      <c r="H31" s="76" t="s">
        <v>51</v>
      </c>
      <c r="I31" s="79">
        <v>0.32</v>
      </c>
      <c r="J31" s="88"/>
      <c r="K31" s="79"/>
      <c r="L31" s="76"/>
      <c r="M31" s="79"/>
      <c r="O31" s="98">
        <v>1</v>
      </c>
      <c r="P31" s="89" t="s">
        <v>117</v>
      </c>
      <c r="Q31" s="49">
        <v>1.9623</v>
      </c>
      <c r="R31" s="57" t="s">
        <v>83</v>
      </c>
      <c r="S31" s="99">
        <f t="shared" si="19"/>
        <v>2694.5</v>
      </c>
      <c r="T31" s="100">
        <f t="shared" si="20"/>
        <v>1.99388888888889</v>
      </c>
      <c r="U31" s="100">
        <f t="shared" ref="U31:U39" si="25">IF(R31=$C$13,SUM($E$16:$E$21),SUM($E$16:$E$20))</f>
        <v>1.32</v>
      </c>
      <c r="V31" s="101">
        <f t="shared" si="21"/>
        <v>2.23065</v>
      </c>
      <c r="W31" s="102">
        <f t="shared" si="22"/>
        <v>0.25</v>
      </c>
      <c r="X31" s="101">
        <f t="shared" si="23"/>
        <v>0.488431876606684</v>
      </c>
      <c r="Y31" s="57">
        <f t="shared" ref="Y31:Y39" si="26">$AH$12</f>
        <v>0.8</v>
      </c>
      <c r="Z31" s="103">
        <v>0</v>
      </c>
      <c r="AA31" s="103">
        <v>0</v>
      </c>
      <c r="AB31" s="36">
        <v>0</v>
      </c>
      <c r="AC31" s="97">
        <f t="shared" si="24"/>
        <v>13364.9398642456</v>
      </c>
    </row>
    <row r="32" s="1" customFormat="1" ht="15" spans="1:31">
      <c r="A32" s="72"/>
      <c r="B32" s="76" t="s">
        <v>49</v>
      </c>
      <c r="C32" s="77">
        <v>350</v>
      </c>
      <c r="D32" s="76" t="s">
        <v>93</v>
      </c>
      <c r="E32" s="78"/>
      <c r="F32" s="106" t="s">
        <v>53</v>
      </c>
      <c r="G32" s="107">
        <f>MIN(100%,SUM(G27:G31))</f>
        <v>0.536</v>
      </c>
      <c r="H32" s="106" t="s">
        <v>54</v>
      </c>
      <c r="I32" s="108">
        <f>SUM(I27:I31)</f>
        <v>2.02</v>
      </c>
      <c r="J32" s="88"/>
      <c r="K32" s="79"/>
      <c r="L32" s="76"/>
      <c r="M32" s="77"/>
      <c r="O32" s="98">
        <v>1</v>
      </c>
      <c r="P32" s="89" t="s">
        <v>118</v>
      </c>
      <c r="Q32" s="49">
        <v>1.9801</v>
      </c>
      <c r="R32" s="57" t="s">
        <v>1</v>
      </c>
      <c r="S32" s="99">
        <f t="shared" si="19"/>
        <v>2694.5</v>
      </c>
      <c r="T32" s="100">
        <f t="shared" si="20"/>
        <v>1.99388888888889</v>
      </c>
      <c r="U32" s="100">
        <f t="shared" si="25"/>
        <v>1.652</v>
      </c>
      <c r="V32" s="101">
        <f t="shared" si="21"/>
        <v>2.23065</v>
      </c>
      <c r="W32" s="102">
        <f t="shared" si="22"/>
        <v>0.25</v>
      </c>
      <c r="X32" s="101">
        <f t="shared" si="23"/>
        <v>0.488431876606684</v>
      </c>
      <c r="Y32" s="57">
        <f t="shared" si="26"/>
        <v>0.8</v>
      </c>
      <c r="Z32" s="103">
        <v>0</v>
      </c>
      <c r="AA32" s="103">
        <v>0</v>
      </c>
      <c r="AB32" s="36">
        <v>0</v>
      </c>
      <c r="AC32" s="97">
        <f t="shared" si="24"/>
        <v>15416.0909461476</v>
      </c>
    </row>
    <row r="33" s="1" customFormat="1" ht="15" spans="1:29">
      <c r="A33" s="72"/>
      <c r="B33" s="109" t="s">
        <v>52</v>
      </c>
      <c r="C33" s="110"/>
      <c r="D33" s="109" t="s">
        <v>94</v>
      </c>
      <c r="E33" s="111"/>
      <c r="F33" s="109"/>
      <c r="G33" s="112"/>
      <c r="H33" s="109"/>
      <c r="I33" s="110"/>
      <c r="J33" s="113"/>
      <c r="K33" s="112"/>
      <c r="L33" s="109"/>
      <c r="M33" s="110"/>
      <c r="N33" s="114"/>
      <c r="O33" s="98">
        <v>1</v>
      </c>
      <c r="P33" s="89" t="s">
        <v>120</v>
      </c>
      <c r="Q33" s="49">
        <v>3.76</v>
      </c>
      <c r="R33" s="57" t="s">
        <v>1</v>
      </c>
      <c r="S33" s="99">
        <f t="shared" si="19"/>
        <v>2694.5</v>
      </c>
      <c r="T33" s="100">
        <f t="shared" si="20"/>
        <v>1.99388888888889</v>
      </c>
      <c r="U33" s="100">
        <f t="shared" si="25"/>
        <v>1.652</v>
      </c>
      <c r="V33" s="101">
        <f t="shared" si="21"/>
        <v>2.23065</v>
      </c>
      <c r="W33" s="102">
        <f t="shared" si="22"/>
        <v>0.25</v>
      </c>
      <c r="X33" s="101">
        <f t="shared" si="23"/>
        <v>0.488431876606684</v>
      </c>
      <c r="Y33" s="57">
        <f t="shared" si="26"/>
        <v>0.8</v>
      </c>
      <c r="Z33" s="103">
        <v>0</v>
      </c>
      <c r="AA33" s="103">
        <v>0</v>
      </c>
      <c r="AB33" s="36">
        <v>0</v>
      </c>
      <c r="AC33" s="97">
        <f t="shared" si="24"/>
        <v>29273.5225279101</v>
      </c>
    </row>
    <row r="34" s="1" customFormat="1" ht="15" spans="1:29">
      <c r="A34" s="72">
        <f>A27*(1+A28+A29+A30+A31)</f>
        <v>3551.269</v>
      </c>
      <c r="B34" s="115"/>
      <c r="C34" s="115">
        <f>C27*(1+C30)+C32</f>
        <v>1225</v>
      </c>
      <c r="D34" s="115"/>
      <c r="E34" s="115"/>
      <c r="F34" s="115" t="s">
        <v>155</v>
      </c>
      <c r="G34" s="116"/>
      <c r="H34" s="115"/>
      <c r="I34" s="115"/>
      <c r="J34" s="115"/>
      <c r="K34" s="115"/>
      <c r="L34" s="115"/>
      <c r="M34" s="115"/>
      <c r="N34" s="57"/>
      <c r="O34" s="98">
        <v>1</v>
      </c>
      <c r="P34" s="89" t="s">
        <v>122</v>
      </c>
      <c r="Q34" s="49">
        <v>4.9033</v>
      </c>
      <c r="R34" s="57" t="s">
        <v>1</v>
      </c>
      <c r="S34" s="99">
        <f t="shared" si="19"/>
        <v>2694.5</v>
      </c>
      <c r="T34" s="100">
        <f t="shared" si="20"/>
        <v>1.99388888888889</v>
      </c>
      <c r="U34" s="100">
        <f t="shared" si="25"/>
        <v>1.652</v>
      </c>
      <c r="V34" s="101">
        <f t="shared" si="21"/>
        <v>2.23065</v>
      </c>
      <c r="W34" s="102">
        <f t="shared" si="22"/>
        <v>0.25</v>
      </c>
      <c r="X34" s="101">
        <f t="shared" si="23"/>
        <v>0.488431876606684</v>
      </c>
      <c r="Y34" s="57">
        <f t="shared" si="26"/>
        <v>0.8</v>
      </c>
      <c r="Z34" s="103">
        <v>0</v>
      </c>
      <c r="AA34" s="103">
        <v>0</v>
      </c>
      <c r="AB34" s="36">
        <v>0</v>
      </c>
      <c r="AC34" s="97">
        <f t="shared" si="24"/>
        <v>38174.6976093356</v>
      </c>
    </row>
    <row r="35" s="1" customFormat="1" ht="15" spans="1:29">
      <c r="A35" s="117"/>
      <c r="B35" s="118"/>
      <c r="C35" s="118"/>
      <c r="D35" s="118"/>
      <c r="E35" s="118"/>
      <c r="F35" s="118"/>
      <c r="G35" s="119"/>
      <c r="N35" s="57"/>
      <c r="O35" s="98">
        <v>1</v>
      </c>
      <c r="P35" s="89" t="s">
        <v>123</v>
      </c>
      <c r="Q35" s="49">
        <v>13.3598</v>
      </c>
      <c r="R35" s="57" t="s">
        <v>1</v>
      </c>
      <c r="S35" s="99">
        <f t="shared" si="19"/>
        <v>2694.5</v>
      </c>
      <c r="T35" s="100">
        <f t="shared" si="20"/>
        <v>1.99388888888889</v>
      </c>
      <c r="U35" s="100">
        <f t="shared" si="25"/>
        <v>1.652</v>
      </c>
      <c r="V35" s="101">
        <f t="shared" si="21"/>
        <v>2.23065</v>
      </c>
      <c r="W35" s="102">
        <f t="shared" si="22"/>
        <v>0.25</v>
      </c>
      <c r="X35" s="101">
        <f t="shared" si="23"/>
        <v>0.488431876606684</v>
      </c>
      <c r="Y35" s="57">
        <f t="shared" si="26"/>
        <v>0.8</v>
      </c>
      <c r="Z35" s="103">
        <v>0</v>
      </c>
      <c r="AA35" s="103">
        <v>0</v>
      </c>
      <c r="AB35" s="36">
        <v>0</v>
      </c>
      <c r="AC35" s="97">
        <f t="shared" si="24"/>
        <v>104012.874007546</v>
      </c>
    </row>
    <row r="36" s="1" customFormat="1" ht="15" spans="1:29">
      <c r="B36" s="120" t="s">
        <v>68</v>
      </c>
      <c r="C36" s="1" t="s">
        <v>112</v>
      </c>
      <c r="D36" s="1" t="s">
        <v>113</v>
      </c>
      <c r="E36" s="1" t="s">
        <v>114</v>
      </c>
      <c r="F36" s="1" t="s">
        <v>115</v>
      </c>
      <c r="G36" s="2"/>
      <c r="N36" s="57"/>
      <c r="O36" s="98">
        <v>1</v>
      </c>
      <c r="P36" s="89" t="s">
        <v>118</v>
      </c>
      <c r="Q36" s="49">
        <v>1.9801</v>
      </c>
      <c r="R36" s="57" t="s">
        <v>1</v>
      </c>
      <c r="S36" s="99">
        <f t="shared" si="19"/>
        <v>2694.5</v>
      </c>
      <c r="T36" s="100">
        <f t="shared" si="20"/>
        <v>1.99388888888889</v>
      </c>
      <c r="U36" s="100">
        <f t="shared" si="25"/>
        <v>1.652</v>
      </c>
      <c r="V36" s="101">
        <f t="shared" si="21"/>
        <v>2.23065</v>
      </c>
      <c r="W36" s="102">
        <f t="shared" si="22"/>
        <v>0.25</v>
      </c>
      <c r="X36" s="101">
        <f t="shared" si="23"/>
        <v>0.488431876606684</v>
      </c>
      <c r="Y36" s="57">
        <f t="shared" si="26"/>
        <v>0.8</v>
      </c>
      <c r="Z36" s="103">
        <v>0</v>
      </c>
      <c r="AA36" s="103">
        <v>0</v>
      </c>
      <c r="AB36" s="36">
        <v>0</v>
      </c>
      <c r="AC36" s="97">
        <f t="shared" si="24"/>
        <v>15416.0909461476</v>
      </c>
    </row>
    <row r="37" s="1" customFormat="1" ht="15" spans="1:29">
      <c r="B37" s="121" t="s">
        <v>156</v>
      </c>
      <c r="C37" s="122" t="s">
        <v>70</v>
      </c>
      <c r="D37" s="122" t="s">
        <v>71</v>
      </c>
      <c r="E37" s="122" t="s">
        <v>72</v>
      </c>
      <c r="F37" s="122" t="s">
        <v>73</v>
      </c>
      <c r="G37" s="2"/>
      <c r="N37" s="57"/>
      <c r="O37" s="98">
        <v>1</v>
      </c>
      <c r="P37" s="89" t="s">
        <v>124</v>
      </c>
      <c r="Q37" s="49">
        <v>1.0599</v>
      </c>
      <c r="R37" s="57" t="s">
        <v>1</v>
      </c>
      <c r="S37" s="99">
        <f t="shared" si="19"/>
        <v>2694.5</v>
      </c>
      <c r="T37" s="100">
        <f t="shared" si="20"/>
        <v>1.99388888888889</v>
      </c>
      <c r="U37" s="100">
        <f t="shared" si="25"/>
        <v>1.652</v>
      </c>
      <c r="V37" s="101">
        <f t="shared" si="21"/>
        <v>2.23065</v>
      </c>
      <c r="W37" s="102">
        <f t="shared" si="22"/>
        <v>0.25</v>
      </c>
      <c r="X37" s="101">
        <f t="shared" si="23"/>
        <v>0.488431876606684</v>
      </c>
      <c r="Y37" s="57">
        <f t="shared" si="26"/>
        <v>0.8</v>
      </c>
      <c r="Z37" s="103">
        <v>0</v>
      </c>
      <c r="AA37" s="103">
        <v>0</v>
      </c>
      <c r="AB37" s="36">
        <v>0</v>
      </c>
      <c r="AC37" s="97">
        <f t="shared" si="24"/>
        <v>8251.8634381202</v>
      </c>
    </row>
    <row r="38" s="1" customFormat="1" ht="15" spans="1:29">
      <c r="B38" s="4" t="s">
        <v>84</v>
      </c>
      <c r="C38" s="123">
        <f>SUM(AC3:AC27)</f>
        <v>5352112.99590811</v>
      </c>
      <c r="D38" s="123">
        <f t="shared" ref="D38:D41" si="27">C38/$E$38</f>
        <v>214084.519836325</v>
      </c>
      <c r="E38" s="124">
        <v>25</v>
      </c>
      <c r="F38" s="125">
        <f t="shared" ref="F38:F41" si="28">C38/$C$42</f>
        <v>0.917576088262797</v>
      </c>
      <c r="G38" s="2"/>
      <c r="O38" s="98">
        <v>0</v>
      </c>
      <c r="P38" s="89" t="s">
        <v>130</v>
      </c>
      <c r="Q38" s="49">
        <v>3.1056</v>
      </c>
      <c r="R38" s="57" t="s">
        <v>96</v>
      </c>
      <c r="S38" s="99">
        <f t="shared" si="19"/>
        <v>2694.5</v>
      </c>
      <c r="T38" s="100">
        <f t="shared" si="20"/>
        <v>1.99388888888889</v>
      </c>
      <c r="U38" s="100">
        <f t="shared" si="25"/>
        <v>1.32</v>
      </c>
      <c r="V38" s="101">
        <f t="shared" si="21"/>
        <v>2.23065</v>
      </c>
      <c r="W38" s="102">
        <f t="shared" si="22"/>
        <v>0.25</v>
      </c>
      <c r="X38" s="101">
        <f t="shared" si="23"/>
        <v>0.488431876606684</v>
      </c>
      <c r="Y38" s="57">
        <f t="shared" si="26"/>
        <v>0.8</v>
      </c>
      <c r="Z38" s="103">
        <v>0</v>
      </c>
      <c r="AA38" s="103">
        <v>0</v>
      </c>
      <c r="AB38" s="36">
        <v>0</v>
      </c>
      <c r="AC38" s="97">
        <f t="shared" si="24"/>
        <v>0</v>
      </c>
    </row>
    <row r="39" s="1" customFormat="1" ht="15" spans="1:29">
      <c r="A39" s="1" t="s">
        <v>157</v>
      </c>
      <c r="B39" s="4" t="s">
        <v>100</v>
      </c>
      <c r="C39" s="123">
        <f>SUM(AC28:AC39)</f>
        <v>283294.315400208</v>
      </c>
      <c r="D39" s="123">
        <f t="shared" si="27"/>
        <v>11331.7726160083</v>
      </c>
      <c r="E39" s="126"/>
      <c r="F39" s="125">
        <f t="shared" si="28"/>
        <v>0.048568498077441</v>
      </c>
      <c r="G39" s="2"/>
      <c r="O39" s="127">
        <v>1</v>
      </c>
      <c r="P39" s="89" t="s">
        <v>131</v>
      </c>
      <c r="Q39" s="56">
        <v>3.7804</v>
      </c>
      <c r="R39" s="128" t="s">
        <v>1</v>
      </c>
      <c r="S39" s="129">
        <f t="shared" si="19"/>
        <v>2694.5</v>
      </c>
      <c r="T39" s="130">
        <f t="shared" si="20"/>
        <v>1.99388888888889</v>
      </c>
      <c r="U39" s="130">
        <f t="shared" si="25"/>
        <v>1.652</v>
      </c>
      <c r="V39" s="131">
        <f>1+$G$22*($I$22-1+25%)</f>
        <v>2.4194</v>
      </c>
      <c r="W39" s="132">
        <f t="shared" si="22"/>
        <v>0.25</v>
      </c>
      <c r="X39" s="131">
        <f t="shared" si="23"/>
        <v>0.488431876606684</v>
      </c>
      <c r="Y39" s="128">
        <f t="shared" si="26"/>
        <v>0.8</v>
      </c>
      <c r="Z39" s="133">
        <v>0</v>
      </c>
      <c r="AA39" s="133">
        <v>0</v>
      </c>
      <c r="AB39" s="53">
        <v>0</v>
      </c>
      <c r="AC39" s="97">
        <f t="shared" si="24"/>
        <v>31922.8118403827</v>
      </c>
    </row>
    <row r="40" s="1" customFormat="1" ht="15" spans="1:29">
      <c r="B40" s="4" t="s">
        <v>139</v>
      </c>
      <c r="C40" s="123">
        <f>SUM(AC44:AC49)+AC41</f>
        <v>94039.2952522437</v>
      </c>
      <c r="D40" s="123">
        <f t="shared" si="27"/>
        <v>3761.57181008975</v>
      </c>
      <c r="E40" s="134"/>
      <c r="F40" s="125">
        <f t="shared" si="28"/>
        <v>0.016122269605764</v>
      </c>
      <c r="G40" s="2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</row>
    <row r="41" s="1" customFormat="1" ht="17.5" spans="1:29">
      <c r="B41" s="4" t="s">
        <v>74</v>
      </c>
      <c r="C41" s="123">
        <f>AC42</f>
        <v>103435.335732648</v>
      </c>
      <c r="D41" s="123">
        <f t="shared" si="27"/>
        <v>4137.41342930591</v>
      </c>
      <c r="E41" s="134"/>
      <c r="F41" s="125">
        <f t="shared" si="28"/>
        <v>0.0177331440539978</v>
      </c>
      <c r="G41" s="2"/>
      <c r="H41" s="135"/>
      <c r="I41" s="136" t="s">
        <v>180</v>
      </c>
      <c r="J41" s="136" t="s">
        <v>71</v>
      </c>
      <c r="K41" s="136" t="s">
        <v>181</v>
      </c>
      <c r="O41" s="34">
        <f>$O$42</f>
        <v>1.5</v>
      </c>
      <c r="P41" s="57" t="s">
        <v>67</v>
      </c>
      <c r="Q41" s="100">
        <v>2.9822</v>
      </c>
      <c r="R41" s="57" t="s">
        <v>66</v>
      </c>
      <c r="S41" s="57">
        <v>10027</v>
      </c>
      <c r="T41" s="100">
        <v>0</v>
      </c>
      <c r="U41" s="100">
        <v>0</v>
      </c>
      <c r="V41" s="101">
        <v>1</v>
      </c>
      <c r="W41" s="102">
        <v>0</v>
      </c>
      <c r="X41" s="101">
        <f t="shared" ref="X41:X49" si="29">$AH$3</f>
        <v>0.488431876606684</v>
      </c>
      <c r="Y41" s="137">
        <f>$AH$13</f>
        <v>0.8</v>
      </c>
      <c r="Z41" s="103">
        <v>0</v>
      </c>
      <c r="AA41" s="103">
        <v>0</v>
      </c>
      <c r="AB41" s="36">
        <v>0.5</v>
      </c>
      <c r="AC41" s="138">
        <f>Q41*S41*(1+T41)*(1+U41)*V41*(1+W41)*X41*Y41*(1+Z41)*(1+AA41)*(1+AB41)*O41</f>
        <v>26289.6185984576</v>
      </c>
    </row>
    <row r="42" s="1" customFormat="1" ht="17.5" spans="1:29">
      <c r="B42" s="4" t="s">
        <v>82</v>
      </c>
      <c r="C42" s="139">
        <f>SUM(C38:C41)</f>
        <v>5832881.94229321</v>
      </c>
      <c r="D42" s="139">
        <f>C42/E38</f>
        <v>233315.277691729</v>
      </c>
      <c r="E42" s="140"/>
      <c r="F42" s="141"/>
      <c r="G42" s="2"/>
      <c r="H42" s="2" t="s">
        <v>182</v>
      </c>
      <c r="I42" s="142">
        <v>610020</v>
      </c>
      <c r="J42" s="143">
        <v>224853</v>
      </c>
      <c r="K42" s="144">
        <f t="shared" ref="K42:K47" si="30">J42/J$42</f>
        <v>1</v>
      </c>
      <c r="O42" s="20">
        <v>1.5</v>
      </c>
      <c r="P42" s="137" t="s">
        <v>74</v>
      </c>
      <c r="Q42" s="145">
        <v>16</v>
      </c>
      <c r="R42" s="137" t="s">
        <v>75</v>
      </c>
      <c r="S42" s="137">
        <v>10027</v>
      </c>
      <c r="T42" s="145">
        <v>0</v>
      </c>
      <c r="U42" s="145">
        <v>0</v>
      </c>
      <c r="V42" s="146">
        <v>1</v>
      </c>
      <c r="W42" s="147">
        <v>0</v>
      </c>
      <c r="X42" s="146">
        <f t="shared" si="29"/>
        <v>0.488431876606684</v>
      </c>
      <c r="Y42" s="137">
        <f>$AH$13</f>
        <v>0.8</v>
      </c>
      <c r="Z42" s="148">
        <v>0</v>
      </c>
      <c r="AA42" s="148">
        <v>0</v>
      </c>
      <c r="AB42" s="148">
        <v>0.1</v>
      </c>
      <c r="AC42" s="149">
        <f>Q42*S42*(1+T42)*(1+U42)*V42*(1+W42)*X42*Y42*(1+Z42)*(1+AA42)*(1+AB42)*O42</f>
        <v>103435.335732648</v>
      </c>
    </row>
    <row r="43" s="1" customFormat="1" ht="17.5" spans="1:29">
      <c r="B43" s="4"/>
      <c r="C43" s="4"/>
      <c r="D43" s="4"/>
      <c r="G43" s="2"/>
      <c r="H43" s="2" t="s">
        <v>183</v>
      </c>
      <c r="I43" s="142">
        <v>620020</v>
      </c>
      <c r="J43" s="143">
        <v>233315</v>
      </c>
      <c r="K43" s="150">
        <f t="shared" si="30"/>
        <v>1.03763347609327</v>
      </c>
      <c r="Q43" s="2"/>
      <c r="U43" s="2"/>
      <c r="V43" s="3"/>
      <c r="AB43" s="4"/>
      <c r="AC43" s="4"/>
    </row>
    <row r="44" s="1" customFormat="1" ht="17.5" spans="1:29">
      <c r="B44" s="151" t="s">
        <v>125</v>
      </c>
      <c r="C44" s="152" t="s">
        <v>126</v>
      </c>
      <c r="D44" s="152" t="s">
        <v>128</v>
      </c>
      <c r="E44" s="152"/>
      <c r="F44" s="153"/>
      <c r="G44" s="2"/>
      <c r="H44" s="2" t="s">
        <v>184</v>
      </c>
      <c r="I44" s="154" t="s">
        <v>185</v>
      </c>
      <c r="J44" s="143">
        <v>227951</v>
      </c>
      <c r="K44" s="144">
        <f t="shared" si="30"/>
        <v>1.01377789044398</v>
      </c>
      <c r="O44" s="66">
        <v>1</v>
      </c>
      <c r="P44" s="155" t="s">
        <v>158</v>
      </c>
      <c r="Q44" s="90">
        <v>2.0279</v>
      </c>
      <c r="R44" s="91" t="s">
        <v>110</v>
      </c>
      <c r="S44" s="92">
        <f t="shared" ref="S44:S47" si="31">C$34</f>
        <v>1225</v>
      </c>
      <c r="T44" s="93">
        <f t="shared" ref="T44:T47" si="32">S44/$C$27-1</f>
        <v>0.96</v>
      </c>
      <c r="U44" s="93">
        <f t="shared" ref="U44:U47" si="33">E$30</f>
        <v>0.4</v>
      </c>
      <c r="V44" s="94">
        <f t="shared" ref="V44:V47" si="34">1+$G$32*($I$32-1)</f>
        <v>1.54672</v>
      </c>
      <c r="W44" s="95">
        <f t="shared" ref="W44:W49" si="35">K$27</f>
        <v>0.25</v>
      </c>
      <c r="X44" s="94">
        <f t="shared" si="29"/>
        <v>0.488431876606684</v>
      </c>
      <c r="Y44" s="91">
        <f t="shared" ref="Y44:Y49" si="36">$AH$14</f>
        <v>0.8</v>
      </c>
      <c r="Z44" s="96">
        <v>0</v>
      </c>
      <c r="AA44" s="96">
        <v>0</v>
      </c>
      <c r="AB44" s="39">
        <v>0</v>
      </c>
      <c r="AC44" s="155">
        <f t="shared" ref="AC44:AC47" si="37">Q44*$C$27*(1+T44)*(1+U44)*V44*(1+W44)*X44*Y44*(1+Z44)*(1+AA44)*(1+AB44)*O44</f>
        <v>2627.40099759589</v>
      </c>
    </row>
    <row r="45" s="1" customFormat="1" ht="17.5" spans="1:29">
      <c r="B45" s="156"/>
      <c r="C45" s="157" t="s">
        <v>162</v>
      </c>
      <c r="D45" s="157" t="s">
        <v>129</v>
      </c>
      <c r="E45" s="157"/>
      <c r="F45" s="158"/>
      <c r="G45" s="2"/>
      <c r="H45" s="2" t="s">
        <v>186</v>
      </c>
      <c r="I45" s="142">
        <v>610021</v>
      </c>
      <c r="J45" s="143">
        <v>235313</v>
      </c>
      <c r="K45" s="150">
        <f t="shared" si="30"/>
        <v>1.04651928148613</v>
      </c>
      <c r="O45" s="34">
        <v>1</v>
      </c>
      <c r="P45" s="155" t="s">
        <v>159</v>
      </c>
      <c r="Q45" s="49">
        <f>22.27%+16.71%*2+23.86%+23.86%+17.9%*4+41.36%+10.34%*6</f>
        <v>2.7841</v>
      </c>
      <c r="R45" s="57" t="s">
        <v>1</v>
      </c>
      <c r="S45" s="99">
        <f t="shared" si="31"/>
        <v>1225</v>
      </c>
      <c r="T45" s="100">
        <f t="shared" si="32"/>
        <v>0.96</v>
      </c>
      <c r="U45" s="100">
        <f t="shared" si="33"/>
        <v>0.4</v>
      </c>
      <c r="V45" s="101">
        <f t="shared" si="34"/>
        <v>1.54672</v>
      </c>
      <c r="W45" s="102">
        <f t="shared" si="35"/>
        <v>0.25</v>
      </c>
      <c r="X45" s="101">
        <f t="shared" si="29"/>
        <v>0.488431876606684</v>
      </c>
      <c r="Y45" s="57">
        <f t="shared" si="36"/>
        <v>0.8</v>
      </c>
      <c r="Z45" s="103">
        <v>0</v>
      </c>
      <c r="AA45" s="103">
        <v>0</v>
      </c>
      <c r="AB45" s="36">
        <v>0</v>
      </c>
      <c r="AC45" s="155">
        <f t="shared" si="37"/>
        <v>3607.15376369974</v>
      </c>
    </row>
    <row r="46" s="1" customFormat="1" ht="17.5" spans="1:29">
      <c r="B46" s="159"/>
      <c r="C46" s="159"/>
      <c r="D46" s="159"/>
      <c r="E46" s="159"/>
      <c r="F46" s="159"/>
      <c r="G46" s="2"/>
      <c r="H46" s="2" t="s">
        <v>187</v>
      </c>
      <c r="I46" s="142" t="s">
        <v>188</v>
      </c>
      <c r="J46" s="143">
        <v>223076</v>
      </c>
      <c r="K46" s="144" t="s">
        <v>189</v>
      </c>
      <c r="O46" s="34">
        <v>1</v>
      </c>
      <c r="P46" s="155" t="s">
        <v>160</v>
      </c>
      <c r="Q46" s="49">
        <f>39.77%*4</f>
        <v>1.5908</v>
      </c>
      <c r="R46" s="57" t="s">
        <v>83</v>
      </c>
      <c r="S46" s="99">
        <f t="shared" si="31"/>
        <v>1225</v>
      </c>
      <c r="T46" s="100">
        <f t="shared" si="32"/>
        <v>0.96</v>
      </c>
      <c r="U46" s="100">
        <f t="shared" si="33"/>
        <v>0.4</v>
      </c>
      <c r="V46" s="101">
        <f t="shared" si="34"/>
        <v>1.54672</v>
      </c>
      <c r="W46" s="102">
        <f t="shared" si="35"/>
        <v>0.25</v>
      </c>
      <c r="X46" s="101">
        <f t="shared" si="29"/>
        <v>0.488431876606684</v>
      </c>
      <c r="Y46" s="57">
        <f t="shared" si="36"/>
        <v>0.8</v>
      </c>
      <c r="Z46" s="103">
        <v>0</v>
      </c>
      <c r="AA46" s="103">
        <v>0</v>
      </c>
      <c r="AB46" s="36">
        <v>0</v>
      </c>
      <c r="AC46" s="155">
        <f t="shared" si="37"/>
        <v>2061.08265051311</v>
      </c>
    </row>
    <row r="47" s="1" customFormat="1" ht="17.5" spans="1:29">
      <c r="B47" s="160" t="s">
        <v>132</v>
      </c>
      <c r="C47" s="161" t="s">
        <v>133</v>
      </c>
      <c r="D47" s="161" t="s">
        <v>134</v>
      </c>
      <c r="E47" s="91"/>
      <c r="F47" s="162"/>
      <c r="G47" s="2"/>
      <c r="H47" s="2" t="s">
        <v>187</v>
      </c>
      <c r="I47" s="142" t="s">
        <v>190</v>
      </c>
      <c r="J47" s="143">
        <v>234533</v>
      </c>
      <c r="K47" s="144" t="s">
        <v>191</v>
      </c>
      <c r="O47" s="34">
        <v>1</v>
      </c>
      <c r="P47" s="155" t="s">
        <v>95</v>
      </c>
      <c r="Q47" s="49">
        <v>3.51</v>
      </c>
      <c r="R47" s="57" t="s">
        <v>96</v>
      </c>
      <c r="S47" s="99">
        <f t="shared" si="31"/>
        <v>1225</v>
      </c>
      <c r="T47" s="100">
        <f t="shared" si="32"/>
        <v>0.96</v>
      </c>
      <c r="U47" s="100">
        <f t="shared" si="33"/>
        <v>0.4</v>
      </c>
      <c r="V47" s="101">
        <f t="shared" si="34"/>
        <v>1.54672</v>
      </c>
      <c r="W47" s="102">
        <f t="shared" si="35"/>
        <v>0.25</v>
      </c>
      <c r="X47" s="101">
        <f t="shared" si="29"/>
        <v>0.488431876606684</v>
      </c>
      <c r="Y47" s="57">
        <f t="shared" si="36"/>
        <v>0.8</v>
      </c>
      <c r="Z47" s="103">
        <v>0</v>
      </c>
      <c r="AA47" s="103">
        <v>0</v>
      </c>
      <c r="AB47" s="36">
        <v>0</v>
      </c>
      <c r="AC47" s="155">
        <f t="shared" si="37"/>
        <v>4547.64904658098</v>
      </c>
    </row>
    <row r="48" s="1" customFormat="1" ht="15" spans="1:29">
      <c r="B48" s="163"/>
      <c r="C48" s="134" t="s">
        <v>164</v>
      </c>
      <c r="D48" s="134" t="s">
        <v>165</v>
      </c>
      <c r="F48" s="164"/>
      <c r="G48" s="2"/>
      <c r="O48" s="34">
        <v>1</v>
      </c>
      <c r="P48" s="155" t="s">
        <v>161</v>
      </c>
      <c r="Q48" s="49">
        <v>5.2233</v>
      </c>
      <c r="R48" s="57" t="s">
        <v>120</v>
      </c>
      <c r="S48" s="99">
        <f>A34</f>
        <v>3551.269</v>
      </c>
      <c r="T48" s="100">
        <v>0</v>
      </c>
      <c r="U48" s="100">
        <f>E$30+M30</f>
        <v>0.572</v>
      </c>
      <c r="V48" s="101">
        <f>I32+1.6</f>
        <v>3.62</v>
      </c>
      <c r="W48" s="102">
        <f t="shared" si="35"/>
        <v>0.25</v>
      </c>
      <c r="X48" s="101">
        <f t="shared" si="29"/>
        <v>0.488431876606684</v>
      </c>
      <c r="Y48" s="57">
        <f t="shared" si="36"/>
        <v>0.8</v>
      </c>
      <c r="Z48" s="103">
        <v>0</v>
      </c>
      <c r="AA48" s="103">
        <v>0</v>
      </c>
      <c r="AB48" s="36">
        <v>0</v>
      </c>
      <c r="AC48" s="155">
        <f>Q48*S48*(1+T48)*(1+U48)*V48*(1+W48)*X48*Y48*(1+Z48)*(1+AA48)*(1+AB48)*O48</f>
        <v>51557.7139202416</v>
      </c>
    </row>
    <row r="49" s="1" customFormat="1" ht="15" spans="2:29">
      <c r="B49" s="165"/>
      <c r="C49" s="166" t="s">
        <v>177</v>
      </c>
      <c r="D49" s="166" t="s">
        <v>178</v>
      </c>
      <c r="E49" s="128"/>
      <c r="F49" s="52"/>
      <c r="G49" s="2"/>
      <c r="O49" s="51">
        <v>1</v>
      </c>
      <c r="P49" s="155" t="s">
        <v>163</v>
      </c>
      <c r="Q49" s="56">
        <f>258.46%</f>
        <v>2.5846</v>
      </c>
      <c r="R49" s="128" t="s">
        <v>83</v>
      </c>
      <c r="S49" s="129">
        <f>C$34</f>
        <v>1225</v>
      </c>
      <c r="T49" s="130">
        <f>S49/$C$27-1</f>
        <v>0.96</v>
      </c>
      <c r="U49" s="130">
        <f>E$30</f>
        <v>0.4</v>
      </c>
      <c r="V49" s="131">
        <f>1+$G$32*($I$32-1)</f>
        <v>1.54672</v>
      </c>
      <c r="W49" s="132">
        <f t="shared" si="35"/>
        <v>0.25</v>
      </c>
      <c r="X49" s="131">
        <f t="shared" si="29"/>
        <v>0.488431876606684</v>
      </c>
      <c r="Y49" s="128">
        <f t="shared" si="36"/>
        <v>0.8</v>
      </c>
      <c r="Z49" s="133">
        <v>0</v>
      </c>
      <c r="AA49" s="133">
        <v>0</v>
      </c>
      <c r="AB49" s="53">
        <v>0</v>
      </c>
      <c r="AC49" s="155">
        <f>Q49*$C$27*(1+T49)*(1+U49)*V49*(1+W49)*X49*Y49*(1+Z49)*(1+AA49)*(1+AB49)*O49</f>
        <v>3348.67627515476</v>
      </c>
    </row>
    <row r="50" s="1" customFormat="1" spans="2:29">
      <c r="B50" s="4"/>
      <c r="C50" s="4"/>
      <c r="D50" s="4"/>
      <c r="F50" s="4"/>
      <c r="G50" s="2"/>
      <c r="Q50" s="2"/>
      <c r="U50" s="2"/>
      <c r="V50" s="3"/>
      <c r="AB50" s="4"/>
      <c r="AC50" s="4"/>
    </row>
    <row r="51" s="1" customFormat="1" spans="2:29">
      <c r="B51" s="4"/>
      <c r="C51" s="4"/>
      <c r="D51" s="4"/>
      <c r="F51" s="4"/>
      <c r="G51" s="2"/>
      <c r="Q51" s="2"/>
      <c r="U51" s="2"/>
      <c r="V51" s="3"/>
      <c r="AB51" s="4"/>
      <c r="AC51" s="4"/>
    </row>
    <row r="52" s="1" customFormat="1" spans="2:29">
      <c r="G52" s="2"/>
      <c r="Q52" s="2"/>
      <c r="U52" s="2"/>
      <c r="V52" s="3"/>
      <c r="AB52" s="4"/>
      <c r="AC52" s="4"/>
    </row>
    <row r="53" s="1" customFormat="1" spans="2:29">
      <c r="B53" s="4"/>
      <c r="C53" s="4"/>
      <c r="D53" s="4"/>
      <c r="F53" s="4"/>
      <c r="G53" s="2"/>
      <c r="Q53" s="2"/>
      <c r="U53" s="2"/>
      <c r="V53" s="3"/>
      <c r="AB53" s="4"/>
      <c r="AC53" s="4"/>
    </row>
    <row r="54" s="1" customFormat="1" spans="2:29">
      <c r="B54" s="4"/>
      <c r="C54" s="4"/>
      <c r="D54" s="4"/>
      <c r="F54" s="4"/>
      <c r="G54" s="2"/>
      <c r="Q54" s="2"/>
      <c r="U54" s="2"/>
      <c r="V54" s="3"/>
      <c r="AB54" s="4"/>
      <c r="AC54" s="4"/>
    </row>
    <row r="55" s="1" customFormat="1" spans="2:29">
      <c r="G55" s="2"/>
      <c r="Q55" s="2"/>
      <c r="U55" s="2"/>
      <c r="V55" s="3"/>
      <c r="AB55" s="4"/>
      <c r="AC55" s="4"/>
    </row>
    <row r="56" s="1" customFormat="1" spans="2:29">
      <c r="B56" s="4"/>
      <c r="C56" s="4"/>
      <c r="D56" s="4"/>
      <c r="F56" s="4"/>
      <c r="G56" s="2"/>
      <c r="Q56" s="2"/>
      <c r="U56" s="2"/>
      <c r="V56" s="3"/>
      <c r="AB56" s="4"/>
      <c r="AC56" s="4"/>
    </row>
    <row r="57" s="1" customFormat="1" spans="2:29">
      <c r="B57" s="4"/>
      <c r="C57" s="4"/>
      <c r="D57" s="4"/>
      <c r="G57" s="2"/>
      <c r="Q57" s="2"/>
      <c r="U57" s="2"/>
      <c r="V57" s="3"/>
      <c r="AB57" s="4"/>
      <c r="AC57" s="4"/>
    </row>
    <row r="59" s="1" customFormat="1" spans="2:29">
      <c r="B59" s="4"/>
      <c r="C59" s="4"/>
      <c r="D59" s="4"/>
      <c r="G59" s="2"/>
      <c r="Q59" s="2"/>
      <c r="U59" s="2"/>
      <c r="V59" s="3"/>
      <c r="AB59" s="4"/>
      <c r="AC59" s="4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5:M25"/>
    <mergeCell ref="B26:C26"/>
    <mergeCell ref="D26:E26"/>
    <mergeCell ref="F26:G26"/>
    <mergeCell ref="H26:I26"/>
    <mergeCell ref="J26:K26"/>
    <mergeCell ref="L26:M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拉表模板</vt:lpstr>
      <vt:lpstr>弗坎守</vt:lpstr>
      <vt:lpstr>弗坎莫</vt:lpstr>
      <vt:lpstr>210110</vt:lpstr>
      <vt:lpstr>610110</vt:lpstr>
      <vt:lpstr>650110</vt:lpstr>
      <vt:lpstr>610020</vt:lpstr>
      <vt:lpstr>610021</vt:lpstr>
      <vt:lpstr>610021攻击头</vt:lpstr>
      <vt:lpstr>620020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Roxy</dc:creator>
  <cp:lastModifiedBy>疏星渡</cp:lastModifiedBy>
  <dcterms:created xsi:type="dcterms:W3CDTF">2026-02-01T12:13:00Z</dcterms:created>
  <dcterms:modified xsi:type="dcterms:W3CDTF">2026-03-15T07:12:58Z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66E14F3D85814E7BAEFE5D6E86437804_13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