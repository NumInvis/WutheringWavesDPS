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31仇弗10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<sst xmlns="http://schemas.openxmlformats.org/spreadsheetml/2006/main" count="254" uniqueCount="135">
  <si>
    <t>角色主类型</t>
  </si>
  <si>
    <t>e</t>
  </si>
  <si>
    <t>3C属伤数</t>
  </si>
  <si>
    <t>弗洛洛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</si>
  <si>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</si>
  <si>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</si>
  <si>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</si>
  <si>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</si>
  <si>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</si>
  <si>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</si>
  <si>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</si>
  <si>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</si>
  <si>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</si>
  <si>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</si>
  <si>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</si>
  <si>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</si>
  <si>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</si>
  <si>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</si>
  <si>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</si>
  <si>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余响</t>
  </si>
  <si>
    <t>溢出</t>
  </si>
  <si>
    <t>无视防御</t>
  </si>
  <si>
    <t>减防</t>
  </si>
  <si>
    <t>怪物等级</t>
  </si>
  <si>
    <t>攻击</t>
  </si>
  <si>
    <t>暴击</t>
  </si>
  <si>
    <t>暴击伤害</t>
  </si>
  <si>
    <t>副词条</t>
  </si>
  <si>
    <t>弗变奏</t>
  </si>
  <si>
    <t>白值</t>
  </si>
  <si>
    <t>3C声骸</t>
  </si>
  <si>
    <t>基础与固有</t>
  </si>
  <si>
    <t>全加深</t>
  </si>
  <si>
    <t>大攻击</t>
  </si>
  <si>
    <t>a3闪</t>
  </si>
  <si>
    <t>a</t>
  </si>
  <si>
    <t>固有武器</t>
  </si>
  <si>
    <t>套装首位</t>
  </si>
  <si>
    <t>武器</t>
  </si>
  <si>
    <t>e加深</t>
  </si>
  <si>
    <t>共技伤害</t>
  </si>
  <si>
    <t>A 闪</t>
  </si>
  <si>
    <t>主副词条</t>
  </si>
  <si>
    <t>自拐属伤</t>
  </si>
  <si>
    <t>套装</t>
  </si>
  <si>
    <t>q加深</t>
  </si>
  <si>
    <t xml:space="preserve">自拐攻击 </t>
  </si>
  <si>
    <t>被拐属伤</t>
  </si>
  <si>
    <t>爆伤</t>
  </si>
  <si>
    <t>被拐攻击</t>
  </si>
  <si>
    <t>其他属伤</t>
  </si>
  <si>
    <t>共鸣链</t>
  </si>
  <si>
    <t>a123闪</t>
  </si>
  <si>
    <t>声骸固定攻击</t>
  </si>
  <si>
    <t>e加成</t>
  </si>
  <si>
    <t>队友</t>
  </si>
  <si>
    <t>声骸技</t>
  </si>
  <si>
    <t>q</t>
  </si>
  <si>
    <t>额外固定攻击</t>
  </si>
  <si>
    <t>q加成</t>
  </si>
  <si>
    <t>面板暴击率</t>
  </si>
  <si>
    <t>面板暴击伤害</t>
  </si>
  <si>
    <t>溢出暴击</t>
  </si>
  <si>
    <t>谱曲终末基础</t>
  </si>
  <si>
    <t>弗</t>
  </si>
  <si>
    <t>谱曲终末附加</t>
  </si>
  <si>
    <t>坎</t>
  </si>
  <si>
    <t>z</t>
  </si>
  <si>
    <t>赫卡忒（A）</t>
  </si>
  <si>
    <t>物抗</t>
  </si>
  <si>
    <t>仇远</t>
  </si>
  <si>
    <t>赫卡忒（延）</t>
  </si>
  <si>
    <t>赫卡忒（莫）</t>
  </si>
  <si>
    <t>主类型加深</t>
  </si>
  <si>
    <t>z伤害</t>
  </si>
  <si>
    <t>赫卡忒（仇）</t>
  </si>
  <si>
    <t>z加成</t>
  </si>
  <si>
    <t>赫卡忒普攻1+2</t>
  </si>
  <si>
    <t>q属伤</t>
  </si>
  <si>
    <t>攻其必救</t>
  </si>
  <si>
    <t>a34</t>
  </si>
  <si>
    <t>万钧一断</t>
  </si>
  <si>
    <t>10莫宁</t>
  </si>
  <si>
    <t>挑灯问剑123</t>
  </si>
  <si>
    <t>防御</t>
  </si>
  <si>
    <t>3防2暴3爆伤2共解</t>
  </si>
  <si>
    <t>穿林打叶</t>
  </si>
  <si>
    <t>基础</t>
  </si>
  <si>
    <t>固有和武器</t>
  </si>
  <si>
    <t>首位加成</t>
  </si>
  <si>
    <t>声骸</t>
  </si>
  <si>
    <t>声骸加深</t>
  </si>
  <si>
    <t>荷蓑出林</t>
  </si>
  <si>
    <t>声骸和词条</t>
  </si>
  <si>
    <t>套装效果</t>
  </si>
  <si>
    <t>共技加深</t>
  </si>
  <si>
    <t>其他buff</t>
  </si>
  <si>
    <t>共解</t>
  </si>
  <si>
    <t>队友buff</t>
  </si>
  <si>
    <t>武器效果</t>
  </si>
  <si>
    <t>守岸人</t>
  </si>
  <si>
    <t>新筠坠箨</t>
  </si>
  <si>
    <t xml:space="preserve">                                                                             </t>
  </si>
  <si>
    <t>20抗100级怪</t>
  </si>
  <si>
    <t>弗延仇，仇3+2正常</t>
  </si>
  <si>
    <t>莫宁震谐</t>
  </si>
  <si>
    <t>震谐</t>
  </si>
  <si>
    <t>弗仇莫3A7赫</t>
  </si>
  <si>
    <t>总伤</t>
  </si>
  <si>
    <t>dps</t>
  </si>
  <si>
    <t>秒数</t>
  </si>
  <si>
    <t>占比</t>
  </si>
  <si>
    <t>谐度破坏</t>
  </si>
  <si>
    <t>谐破</t>
  </si>
  <si>
    <t>01弗洛洛</t>
  </si>
  <si>
    <t>31仇远</t>
  </si>
  <si>
    <t>归敛</t>
  </si>
  <si>
    <t>bz</t>
  </si>
  <si>
    <t>aaa</t>
  </si>
  <si>
    <t>分布式阵列</t>
  </si>
  <si>
    <t>合计</t>
  </si>
  <si>
    <t>临界协议</t>
  </si>
  <si>
    <t>r</t>
  </si>
  <si>
    <t>掉buff统计</t>
  </si>
  <si>
    <t>从第一赫开始</t>
  </si>
  <si>
    <t>掉坎延</t>
  </si>
  <si>
    <t>回路1</t>
  </si>
  <si>
    <t>莫宁变奏</t>
  </si>
  <si>
    <t>掉大锤</t>
  </si>
  <si>
    <t>词条奖惩</t>
  </si>
  <si>
    <t>弗无共效需求</t>
  </si>
  <si>
    <t>14+1词</t>
  </si>
  <si>
    <t>莫宁需5条</t>
  </si>
  <si>
    <t>14-4词</t>
  </si>
  <si>
    <t>14-1词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</si>
</sst>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9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22" applyNumberFormat="0" applyAlignment="0" applyProtection="0">
      <alignment vertical="center"/>
    </xf>
    <xf numFmtId="0" fontId="19" fillId="16" borderId="23" applyNumberFormat="0" applyAlignment="0" applyProtection="0">
      <alignment vertical="center"/>
    </xf>
    <xf numFmtId="0" fontId="20" fillId="16" borderId="22" applyNumberFormat="0" applyAlignment="0" applyProtection="0">
      <alignment vertical="center"/>
    </xf>
    <xf numFmtId="0" fontId="21" fillId="17" borderId="24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6" borderId="6" xfId="0" applyNumberFormat="1" applyFon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9" fontId="0" fillId="0" borderId="11" xfId="0" applyNumberFormat="1" applyFill="1" applyBorder="1" applyAlignment="1">
      <alignment horizontal="center" vertical="center"/>
    </xf>
    <xf numFmtId="9" fontId="0" fillId="0" borderId="11" xfId="0" applyNumberFormat="1" applyFont="1" applyFill="1" applyBorder="1" applyAlignment="1" applyProtection="1">
      <alignment horizontal="center" vertical="center"/>
    </xf>
    <xf numFmtId="10" fontId="0" fillId="7" borderId="12" xfId="0" applyNumberForma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0" fontId="3" fillId="0" borderId="15" xfId="0" applyNumberFormat="1" applyFont="1" applyFill="1" applyBorder="1" applyAlignment="1">
      <alignment horizontal="center" vertical="center"/>
    </xf>
    <xf numFmtId="178" fontId="3" fillId="0" borderId="15" xfId="0" applyNumberFormat="1" applyFont="1" applyFill="1" applyBorder="1" applyAlignment="1">
      <alignment horizontal="center" vertical="center"/>
    </xf>
    <xf numFmtId="9" fontId="3" fillId="0" borderId="15" xfId="0" applyNumberFormat="1" applyFont="1" applyFill="1" applyBorder="1" applyAlignment="1">
      <alignment horizontal="center" vertical="center"/>
    </xf>
    <xf numFmtId="9" fontId="3" fillId="0" borderId="13" xfId="0" applyNumberFormat="1" applyFon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77" fontId="2" fillId="10" borderId="6" xfId="0" applyNumberFormat="1" applyFon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1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9" fontId="5" fillId="0" borderId="11" xfId="0" applyNumberFormat="1" applyFont="1" applyFill="1" applyBorder="1" applyAlignment="1">
      <alignment horizontal="center" vertical="center"/>
    </xf>
    <xf numFmtId="10" fontId="5" fillId="0" borderId="11" xfId="0" applyNumberFormat="1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10" xfId="0" applyNumberFormat="1" applyFont="1" applyFill="1" applyBorder="1" applyAlignment="1">
      <alignment horizontal="center" vertical="center"/>
    </xf>
    <xf numFmtId="10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0" fillId="0" borderId="15" xfId="0" applyNumberFormat="1" applyFill="1" applyBorder="1" applyAlignment="1">
      <alignment horizontal="center" vertical="center"/>
    </xf>
    <xf numFmtId="178" fontId="0" fillId="0" borderId="15" xfId="0" applyNumberFormat="1" applyFill="1" applyBorder="1" applyAlignment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179" fontId="5" fillId="0" borderId="11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11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10" fontId="5" fillId="8" borderId="11" xfId="0" applyNumberFormat="1" applyFont="1" applyFill="1" applyBorder="1" applyAlignment="1">
      <alignment horizontal="center" vertical="center"/>
    </xf>
    <xf numFmtId="9" fontId="5" fillId="8" borderId="11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77" fontId="2" fillId="10" borderId="9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9" fontId="5" fillId="0" borderId="13" xfId="0" applyNumberFormat="1" applyFont="1" applyFill="1" applyBorder="1" applyAlignment="1">
      <alignment horizontal="center" vertical="center"/>
    </xf>
    <xf numFmtId="10" fontId="5" fillId="0" borderId="13" xfId="0" applyNumberFormat="1" applyFont="1" applyFill="1" applyBorder="1" applyAlignment="1">
      <alignment horizontal="center" vertical="center"/>
    </xf>
    <xf numFmtId="10" fontId="5" fillId="0" borderId="12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7" fontId="2" fillId="12" borderId="9" xfId="0" applyNumberFormat="1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178" fontId="0" fillId="0" borderId="18" xfId="0" applyNumberFormat="1" applyFill="1" applyBorder="1" applyAlignment="1">
      <alignment horizontal="center" vertical="center"/>
    </xf>
    <xf numFmtId="0" fontId="0" fillId="0" borderId="18" xfId="0" applyNumberFormat="1" applyFont="1" applyFill="1" applyBorder="1" applyAlignment="1" applyProtection="1">
      <alignment horizontal="center" vertical="center"/>
    </xf>
    <xf numFmtId="9" fontId="0" fillId="0" borderId="18" xfId="0" applyNumberFormat="1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2" fillId="13" borderId="9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7" fillId="10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0" borderId="0" xfId="0" applyNumberFormat="1" applyFont="1" applyFill="1" applyAlignment="1">
      <alignment vertical="center" wrapText="1"/>
    </xf>
    <xf numFmtId="177" fontId="7" fillId="10" borderId="12" xfId="0" applyNumberFormat="1" applyFont="1" applyFill="1" applyBorder="1" applyAlignment="1">
      <alignment horizontal="center" vertical="center"/>
    </xf>
    <xf numFmtId="177" fontId="7" fillId="0" borderId="15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9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tabSelected="1" topLeftCell="A25" workbookViewId="0">
      <selection activeCell="E33" sqref="E33"/>
    </sheetView>
  </sheetViews>
  <sheetFormatPr defaultColWidth="8.72727272727273" defaultRowHeight="14"/>
  <cols>
    <col min="1" max="1" width="7.54545454545455" style="2" customWidth="1"/>
    <col min="2" max="2" width="15" style="2" customWidth="1"/>
    <col min="3" max="3" width="15.3636363636364" style="2" customWidth="1"/>
    <col min="4" max="4" width="13.9090909090909" style="2" customWidth="1"/>
    <col min="5" max="5" width="9.54545454545454" style="2" customWidth="1"/>
    <col min="6" max="6" width="13.9090909090909" style="2" customWidth="1"/>
    <col min="7" max="7" width="8.45454545454546" style="2" customWidth="1"/>
    <col min="8" max="8" width="13.9090909090909" style="2" customWidth="1"/>
    <col min="9" max="9" width="8.45454545454546" style="2" customWidth="1"/>
    <col min="10" max="10" width="11.6363636363636" style="2" customWidth="1"/>
    <col min="11" max="11" width="4.72727272727273" style="2" customWidth="1"/>
    <col min="12" max="12" width="9.54545454545454" style="2" customWidth="1"/>
    <col min="13" max="13" width="7.36363636363636" style="2" customWidth="1"/>
    <col min="14" max="14" width="5.54545454545455" style="2" customWidth="1"/>
    <col min="15" max="15" width="6.09090909090909" style="2" customWidth="1"/>
    <col min="16" max="16" width="17.2727272727273" style="2" customWidth="1"/>
    <col min="17" max="17" width="9.54545454545454" style="2" customWidth="1"/>
    <col min="18" max="18" width="6.09090909090909" style="2" customWidth="1"/>
    <col min="19" max="19" width="10.4545454545455" style="2" customWidth="1"/>
    <col min="20" max="21" width="8.45454545454546" style="2" customWidth="1"/>
    <col min="22" max="25" width="8.27272727272727" style="2" customWidth="1"/>
    <col min="26" max="26" width="10.4545454545455" style="2" customWidth="1"/>
    <col min="27" max="27" width="8.27272727272727" style="2" customWidth="1"/>
    <col min="28" max="28" width="10.4545454545455" style="2" customWidth="1"/>
    <col min="29" max="29" width="9.45454545454546" style="2" customWidth="1"/>
    <col min="30" max="31" width="5.90909090909091" style="2" customWidth="1"/>
    <col min="32" max="32" width="9.54545454545454" style="2" customWidth="1"/>
    <col min="33" max="33" width="5.90909090909091" style="2" customWidth="1"/>
    <col min="34" max="34" width="8" style="2" customWidth="1"/>
    <col min="35" max="35" width="9.54545454545454" style="2" customWidth="1"/>
    <col min="36" max="16384" width="9.69090909090909" style="2"/>
  </cols>
  <sheetData>
    <row r="1" s="1" customFormat="1" ht="14.75" spans="2:35">
      <c r="B1" s="3" t="s">
        <v>0</v>
      </c>
      <c r="C1" s="3" t="s">
        <v>1</v>
      </c>
      <c r="D1" s="4" t="s">
        <v>2</v>
      </c>
      <c r="E1" s="4">
        <v>2</v>
      </c>
      <c r="Q1" s="5"/>
      <c r="U1" s="5"/>
      <c r="V1" s="6"/>
      <c r="AB1" s="7"/>
      <c r="AC1" s="7"/>
    </row>
    <row r="2" s="1" customFormat="1" ht="15" spans="2:35"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  <c r="O2" s="11" t="s">
        <v>4</v>
      </c>
      <c r="P2" s="12" t="s">
        <v>5</v>
      </c>
      <c r="Q2" s="13" t="s">
        <v>6</v>
      </c>
      <c r="R2" s="12" t="s">
        <v>7</v>
      </c>
      <c r="S2" s="12" t="s">
        <v>8</v>
      </c>
      <c r="T2" s="14" t="s">
        <v>9</v>
      </c>
      <c r="U2" s="13" t="s">
        <v>10</v>
      </c>
      <c r="V2" s="15" t="s">
        <v>11</v>
      </c>
      <c r="W2" s="12" t="s">
        <v>12</v>
      </c>
      <c r="X2" s="12" t="s">
        <v>13</v>
      </c>
      <c r="Y2" s="12" t="s">
        <v>14</v>
      </c>
      <c r="Z2" s="12" t="s">
        <v>15</v>
      </c>
      <c r="AA2" s="12" t="s">
        <v>16</v>
      </c>
      <c r="AB2" s="16" t="s">
        <v>17</v>
      </c>
      <c r="AC2" s="17" t="s">
        <v>18</v>
      </c>
      <c r="AD2" s="18" t="s">
        <v>19</v>
      </c>
      <c r="AE2" s="18" t="s">
        <v>20</v>
      </c>
      <c r="AF2" s="19" t="s">
        <v>21</v>
      </c>
      <c r="AG2" s="19" t="s">
        <v>22</v>
      </c>
      <c r="AH2" s="20" t="s">
        <v>13</v>
      </c>
      <c r="AI2" s="20" t="s">
        <v>23</v>
      </c>
    </row>
    <row r="3" s="1" customFormat="1" ht="15" spans="2:35">
      <c r="B3" s="21" t="s">
        <v>24</v>
      </c>
      <c r="C3" s="22"/>
      <c r="D3" s="21" t="s">
        <v>10</v>
      </c>
      <c r="E3" s="22"/>
      <c r="F3" s="21" t="s">
        <v>25</v>
      </c>
      <c r="G3" s="22"/>
      <c r="H3" s="21" t="s">
        <v>26</v>
      </c>
      <c r="I3" s="22"/>
      <c r="J3" s="21" t="s">
        <v>12</v>
      </c>
      <c r="K3" s="22"/>
      <c r="L3" s="21" t="s">
        <v>27</v>
      </c>
      <c r="M3" s="22"/>
      <c r="O3" s="23">
        <v>1</v>
      </c>
      <c r="P3" s="24" t="s">
        <v>28</v>
      </c>
      <c r="Q3" s="25">
        <v>5.9643</v>
      </c>
      <c r="R3" s="26" t="s">
        <v>1</v>
      </c>
      <c r="S3" s="27">
        <f t="shared" ref="S3:S12" si="0">$C$4*(1+C$5+C$6+C$7+C$8)+C$9</f>
        <v>2508.592</v>
      </c>
      <c r="T3" s="28">
        <f t="shared" ref="T3:T21" si="1">S3/$C$4-1</f>
        <v>1.449796875</v>
      </c>
      <c r="U3" s="28">
        <f t="shared" ref="U3:U8" si="2">IF(R3=$C$1,SUM($E$4:$E$9),SUM($E$4:$E$8))</f>
        <v>1.712</v>
      </c>
      <c r="V3" s="29">
        <f t="shared" ref="V3:V12" si="3">1+$G$10*($I$10-1+AD3*2.5%+AE3*1%)</f>
        <v>3.42055</v>
      </c>
      <c r="W3" s="30">
        <f t="shared" ref="W3:W8" si="4">IF(R3=$C$1,$K$4+$K$5,$K$4)</f>
        <v>0.25</v>
      </c>
      <c r="X3" s="29">
        <f t="shared" ref="X3:X21" si="5">$AH$4</f>
        <v>0.509274150316286</v>
      </c>
      <c r="Y3" s="26">
        <f t="shared" ref="Y3:Y21" si="6">$AH$11</f>
        <v>0.8</v>
      </c>
      <c r="Z3" s="31">
        <v>0</v>
      </c>
      <c r="AA3" s="31">
        <v>0</v>
      </c>
      <c r="AB3" s="32">
        <v>0</v>
      </c>
      <c r="AC3" s="24">
        <f t="shared" ref="AC3:AC8" si="7">Q3*$C$4*(1+T3)*(1+U3)*V3*(1+W3)*X3*Y3*(1+Z3)*(1+AA3)*(1+AB3)*O3</f>
        <v>70684.9205459254</v>
      </c>
      <c r="AD3" s="33">
        <v>17</v>
      </c>
      <c r="AE3" s="33"/>
      <c r="AF3" s="19">
        <v>0</v>
      </c>
      <c r="AG3" s="19">
        <v>0</v>
      </c>
      <c r="AH3" s="20">
        <v>0.488431876606684</v>
      </c>
      <c r="AI3" s="34">
        <v>100</v>
      </c>
    </row>
    <row r="4" s="1" customFormat="1" ht="15" spans="2:35">
      <c r="B4" s="35" t="s">
        <v>29</v>
      </c>
      <c r="C4" s="36">
        <f>437+587</f>
        <v>1024</v>
      </c>
      <c r="D4" s="35" t="s">
        <v>30</v>
      </c>
      <c r="E4" s="37">
        <f>E1*30%</f>
        <v>0.6</v>
      </c>
      <c r="F4" s="35" t="s">
        <v>31</v>
      </c>
      <c r="G4" s="38">
        <v>0.13</v>
      </c>
      <c r="H4" s="35" t="s">
        <v>31</v>
      </c>
      <c r="I4" s="38">
        <v>1.5</v>
      </c>
      <c r="J4" s="39" t="s">
        <v>32</v>
      </c>
      <c r="K4" s="40">
        <f>25%</f>
        <v>0.25</v>
      </c>
      <c r="L4" s="35" t="s">
        <v>33</v>
      </c>
      <c r="M4" s="38">
        <f>8.6%*3</f>
        <v>0.258</v>
      </c>
      <c r="O4" s="41">
        <v>1</v>
      </c>
      <c r="P4" s="24" t="s">
        <v>34</v>
      </c>
      <c r="Q4" s="42">
        <f>39.23%+26.15%*2</f>
        <v>0.9153</v>
      </c>
      <c r="R4" s="43" t="s">
        <v>35</v>
      </c>
      <c r="S4" s="44">
        <f t="shared" si="0"/>
        <v>2508.592</v>
      </c>
      <c r="T4" s="45">
        <f t="shared" si="1"/>
        <v>1.449796875</v>
      </c>
      <c r="U4" s="45">
        <f t="shared" si="2"/>
        <v>1.22</v>
      </c>
      <c r="V4" s="46">
        <f t="shared" si="3"/>
        <v>3.42055</v>
      </c>
      <c r="W4" s="47">
        <f t="shared" si="4"/>
        <v>0.25</v>
      </c>
      <c r="X4" s="46">
        <f t="shared" si="5"/>
        <v>0.509274150316286</v>
      </c>
      <c r="Y4" s="43">
        <f t="shared" si="6"/>
        <v>0.8</v>
      </c>
      <c r="Z4" s="48">
        <v>0</v>
      </c>
      <c r="AA4" s="48">
        <v>0</v>
      </c>
      <c r="AB4" s="49">
        <v>0</v>
      </c>
      <c r="AC4" s="24">
        <f t="shared" si="7"/>
        <v>8879.61315142341</v>
      </c>
      <c r="AD4" s="33">
        <v>17</v>
      </c>
      <c r="AE4" s="33"/>
      <c r="AF4" s="19">
        <v>8</v>
      </c>
      <c r="AG4" s="19">
        <v>0</v>
      </c>
      <c r="AH4" s="20">
        <v>0.509274150316286</v>
      </c>
      <c r="AI4" s="34">
        <v>100</v>
      </c>
    </row>
    <row r="5" s="1" customFormat="1" ht="15" spans="2:35">
      <c r="B5" s="35" t="s">
        <v>36</v>
      </c>
      <c r="C5" s="38">
        <f>12%+12%</f>
        <v>0.24</v>
      </c>
      <c r="D5" s="35" t="s">
        <v>37</v>
      </c>
      <c r="E5" s="37">
        <f>12%+10%</f>
        <v>0.22</v>
      </c>
      <c r="F5" s="35" t="s">
        <v>38</v>
      </c>
      <c r="G5" s="38">
        <v>0.243</v>
      </c>
      <c r="H5" s="35" t="s">
        <v>38</v>
      </c>
      <c r="I5" s="38">
        <v>0</v>
      </c>
      <c r="J5" s="50" t="s">
        <v>39</v>
      </c>
      <c r="K5" s="37"/>
      <c r="L5" s="35" t="s">
        <v>40</v>
      </c>
      <c r="M5" s="38">
        <f>8.6%*2</f>
        <v>0.172</v>
      </c>
      <c r="O5" s="41">
        <v>1</v>
      </c>
      <c r="P5" s="24" t="s">
        <v>41</v>
      </c>
      <c r="Q5" s="42">
        <f t="shared" ref="Q5:Q10" si="8">37.88%*4+117.88%*3</f>
        <v>5.0516</v>
      </c>
      <c r="R5" s="43" t="s">
        <v>1</v>
      </c>
      <c r="S5" s="44">
        <f t="shared" si="0"/>
        <v>2508.592</v>
      </c>
      <c r="T5" s="45">
        <f t="shared" si="1"/>
        <v>1.449796875</v>
      </c>
      <c r="U5" s="45">
        <f t="shared" si="2"/>
        <v>1.712</v>
      </c>
      <c r="V5" s="46">
        <f t="shared" si="3"/>
        <v>3.42055</v>
      </c>
      <c r="W5" s="47">
        <f t="shared" si="4"/>
        <v>0.25</v>
      </c>
      <c r="X5" s="46">
        <f t="shared" si="5"/>
        <v>0.509274150316286</v>
      </c>
      <c r="Y5" s="43">
        <f t="shared" si="6"/>
        <v>0.8</v>
      </c>
      <c r="Z5" s="48">
        <v>0</v>
      </c>
      <c r="AA5" s="48">
        <v>0</v>
      </c>
      <c r="AB5" s="49">
        <v>0</v>
      </c>
      <c r="AC5" s="24">
        <f t="shared" si="7"/>
        <v>59868.2066009082</v>
      </c>
      <c r="AD5" s="33">
        <v>17</v>
      </c>
      <c r="AE5" s="33"/>
      <c r="AF5" s="19">
        <v>0</v>
      </c>
      <c r="AG5" s="19">
        <v>30</v>
      </c>
      <c r="AH5" s="20">
        <v>0.57698147585788</v>
      </c>
      <c r="AI5" s="34">
        <v>100</v>
      </c>
    </row>
    <row r="6" s="1" customFormat="1" ht="15" spans="2:35">
      <c r="B6" s="35" t="s">
        <v>42</v>
      </c>
      <c r="C6" s="38">
        <f>18%+18%+M4+(2-E1)*30%</f>
        <v>0.618</v>
      </c>
      <c r="D6" s="35" t="s">
        <v>43</v>
      </c>
      <c r="E6" s="37"/>
      <c r="F6" s="35" t="s">
        <v>44</v>
      </c>
      <c r="G6" s="38">
        <v>0.2</v>
      </c>
      <c r="H6" s="35" t="s">
        <v>44</v>
      </c>
      <c r="I6" s="38">
        <v>0</v>
      </c>
      <c r="J6" s="50" t="s">
        <v>45</v>
      </c>
      <c r="K6" s="37">
        <f>32%+30%</f>
        <v>0.62</v>
      </c>
      <c r="L6" s="35" t="s">
        <v>25</v>
      </c>
      <c r="M6" s="38">
        <f>8.1*5%</f>
        <v>0.405</v>
      </c>
      <c r="O6" s="41">
        <v>1</v>
      </c>
      <c r="P6" s="24" t="s">
        <v>1</v>
      </c>
      <c r="Q6" s="42">
        <f>105.97%*2</f>
        <v>2.1194</v>
      </c>
      <c r="R6" s="43" t="s">
        <v>1</v>
      </c>
      <c r="S6" s="44">
        <f t="shared" si="0"/>
        <v>2508.592</v>
      </c>
      <c r="T6" s="45">
        <f t="shared" si="1"/>
        <v>1.449796875</v>
      </c>
      <c r="U6" s="45">
        <f t="shared" si="2"/>
        <v>1.712</v>
      </c>
      <c r="V6" s="46">
        <f t="shared" si="3"/>
        <v>3.42055</v>
      </c>
      <c r="W6" s="47">
        <f t="shared" si="4"/>
        <v>0.25</v>
      </c>
      <c r="X6" s="46">
        <f t="shared" si="5"/>
        <v>0.509274150316286</v>
      </c>
      <c r="Y6" s="43">
        <f t="shared" si="6"/>
        <v>0.8</v>
      </c>
      <c r="Z6" s="48">
        <v>0</v>
      </c>
      <c r="AA6" s="48">
        <v>0</v>
      </c>
      <c r="AB6" s="49">
        <v>0</v>
      </c>
      <c r="AC6" s="24">
        <f t="shared" si="7"/>
        <v>25117.7205380404</v>
      </c>
      <c r="AD6" s="33">
        <v>17</v>
      </c>
      <c r="AE6" s="33"/>
      <c r="AF6" s="19">
        <v>0</v>
      </c>
      <c r="AG6" s="19">
        <v>21.6</v>
      </c>
      <c r="AH6" s="20">
        <v>0.549107555719967</v>
      </c>
      <c r="AI6" s="34">
        <v>100</v>
      </c>
    </row>
    <row r="7" s="1" customFormat="1" ht="15" spans="2:35">
      <c r="B7" s="35" t="s">
        <v>46</v>
      </c>
      <c r="C7" s="38"/>
      <c r="D7" s="35" t="s">
        <v>47</v>
      </c>
      <c r="E7" s="37">
        <f>40%</f>
        <v>0.4</v>
      </c>
      <c r="F7" s="35" t="s">
        <v>42</v>
      </c>
      <c r="G7" s="38">
        <f>M6</f>
        <v>0.405</v>
      </c>
      <c r="H7" s="35" t="s">
        <v>42</v>
      </c>
      <c r="I7" s="38">
        <f>M7+44%</f>
        <v>1.25</v>
      </c>
      <c r="J7" s="50"/>
      <c r="K7" s="37"/>
      <c r="L7" s="35" t="s">
        <v>48</v>
      </c>
      <c r="M7" s="37">
        <f>16.2%*5</f>
        <v>0.81</v>
      </c>
      <c r="O7" s="41">
        <v>1</v>
      </c>
      <c r="P7" s="24" t="s">
        <v>41</v>
      </c>
      <c r="Q7" s="42">
        <f t="shared" si="8"/>
        <v>5.0516</v>
      </c>
      <c r="R7" s="43" t="s">
        <v>1</v>
      </c>
      <c r="S7" s="44">
        <f t="shared" si="0"/>
        <v>2508.592</v>
      </c>
      <c r="T7" s="45">
        <f t="shared" si="1"/>
        <v>1.449796875</v>
      </c>
      <c r="U7" s="45">
        <f t="shared" si="2"/>
        <v>1.712</v>
      </c>
      <c r="V7" s="46">
        <f t="shared" si="3"/>
        <v>3.42055</v>
      </c>
      <c r="W7" s="47">
        <f t="shared" si="4"/>
        <v>0.25</v>
      </c>
      <c r="X7" s="46">
        <f t="shared" si="5"/>
        <v>0.509274150316286</v>
      </c>
      <c r="Y7" s="43">
        <f t="shared" si="6"/>
        <v>0.8</v>
      </c>
      <c r="Z7" s="48">
        <v>0</v>
      </c>
      <c r="AA7" s="48">
        <v>0</v>
      </c>
      <c r="AB7" s="49">
        <v>0</v>
      </c>
      <c r="AC7" s="24">
        <f t="shared" si="7"/>
        <v>59868.2066009082</v>
      </c>
      <c r="AD7" s="33">
        <v>17</v>
      </c>
      <c r="AE7" s="33"/>
      <c r="AF7" s="19">
        <v>0</v>
      </c>
      <c r="AG7" s="19">
        <v>28.8</v>
      </c>
      <c r="AH7" s="20">
        <v>0.572827476423627</v>
      </c>
      <c r="AI7" s="34">
        <v>100</v>
      </c>
    </row>
    <row r="8" s="1" customFormat="1" ht="15" spans="2:35">
      <c r="B8" s="35" t="s">
        <v>49</v>
      </c>
      <c r="C8" s="38">
        <f>25%</f>
        <v>0.25</v>
      </c>
      <c r="D8" s="35" t="s">
        <v>50</v>
      </c>
      <c r="E8" s="51"/>
      <c r="F8" s="35" t="s">
        <v>51</v>
      </c>
      <c r="G8" s="38">
        <v>0</v>
      </c>
      <c r="H8" s="35" t="s">
        <v>51</v>
      </c>
      <c r="I8" s="38">
        <v>0</v>
      </c>
      <c r="J8" s="50"/>
      <c r="K8" s="37"/>
      <c r="L8" s="35"/>
      <c r="M8" s="36"/>
      <c r="O8" s="41">
        <v>1</v>
      </c>
      <c r="P8" s="24" t="s">
        <v>52</v>
      </c>
      <c r="Q8" s="42">
        <f>53.45%*2+95.43%+39.23%+26.15%*2</f>
        <v>2.9386</v>
      </c>
      <c r="R8" s="43" t="s">
        <v>35</v>
      </c>
      <c r="S8" s="44">
        <f t="shared" si="0"/>
        <v>2508.592</v>
      </c>
      <c r="T8" s="45">
        <f t="shared" si="1"/>
        <v>1.449796875</v>
      </c>
      <c r="U8" s="45">
        <f t="shared" si="2"/>
        <v>1.22</v>
      </c>
      <c r="V8" s="46">
        <f t="shared" si="3"/>
        <v>3.42055</v>
      </c>
      <c r="W8" s="47">
        <f t="shared" si="4"/>
        <v>0.25</v>
      </c>
      <c r="X8" s="46">
        <f t="shared" si="5"/>
        <v>0.509274150316286</v>
      </c>
      <c r="Y8" s="43">
        <f t="shared" si="6"/>
        <v>0.8</v>
      </c>
      <c r="Z8" s="48">
        <v>0</v>
      </c>
      <c r="AA8" s="48">
        <v>0</v>
      </c>
      <c r="AB8" s="49">
        <v>0</v>
      </c>
      <c r="AC8" s="24">
        <f t="shared" si="7"/>
        <v>28508.2827562251</v>
      </c>
      <c r="AD8" s="33">
        <v>17</v>
      </c>
      <c r="AE8" s="33"/>
      <c r="AF8" s="19">
        <v>0</v>
      </c>
      <c r="AG8" s="19">
        <v>36</v>
      </c>
      <c r="AH8" s="20">
        <v>0.598689185782707</v>
      </c>
      <c r="AI8" s="34">
        <v>100</v>
      </c>
    </row>
    <row r="9" s="1" customFormat="1" ht="15" spans="2:35">
      <c r="B9" s="35" t="s">
        <v>53</v>
      </c>
      <c r="C9" s="36">
        <v>350</v>
      </c>
      <c r="D9" s="35" t="s">
        <v>54</v>
      </c>
      <c r="E9" s="37">
        <f>32%+M5</f>
        <v>0.492</v>
      </c>
      <c r="F9" s="35" t="s">
        <v>55</v>
      </c>
      <c r="G9" s="38"/>
      <c r="H9" s="35" t="s">
        <v>55</v>
      </c>
      <c r="I9" s="38">
        <v>0.3</v>
      </c>
      <c r="J9" s="50"/>
      <c r="K9" s="37"/>
      <c r="L9" s="35"/>
      <c r="M9" s="36"/>
      <c r="O9" s="41">
        <v>1</v>
      </c>
      <c r="P9" s="24" t="s">
        <v>56</v>
      </c>
      <c r="Q9" s="42">
        <f>152.39%*3</f>
        <v>4.5717</v>
      </c>
      <c r="R9" s="43" t="s">
        <v>57</v>
      </c>
      <c r="S9" s="44">
        <f t="shared" si="0"/>
        <v>2508.592</v>
      </c>
      <c r="T9" s="45">
        <f t="shared" si="1"/>
        <v>1.449796875</v>
      </c>
      <c r="U9" s="45">
        <f>IF(R9=$C$1,SUM($E$4:$E$9),SUM($E$4:$E$8))+$E$10+30%</f>
        <v>2.43</v>
      </c>
      <c r="V9" s="46">
        <f t="shared" si="3"/>
        <v>3.42055</v>
      </c>
      <c r="W9" s="47">
        <f t="shared" ref="W9:W21" si="9">IF(R9=$C$1,$K$4+$K$5,$K$4)+$K$6</f>
        <v>0.87</v>
      </c>
      <c r="X9" s="46">
        <f t="shared" si="5"/>
        <v>0.509274150316286</v>
      </c>
      <c r="Y9" s="43">
        <f t="shared" si="6"/>
        <v>0.8</v>
      </c>
      <c r="Z9" s="48">
        <v>0</v>
      </c>
      <c r="AA9" s="48">
        <v>0</v>
      </c>
      <c r="AB9" s="49">
        <v>0</v>
      </c>
      <c r="AC9" s="24">
        <f>Q9*$C$4*(1+T9)*(1+U9)*V9*(1+W9)*X9*Y9*(1+Z9)*(1+AA9)*(1+AB9)*O10</f>
        <v>102513.496434836</v>
      </c>
      <c r="AD9" s="33">
        <v>17</v>
      </c>
      <c r="AE9" s="33"/>
    </row>
    <row r="10" s="1" customFormat="1" ht="15" spans="2:35">
      <c r="B10" s="52" t="s">
        <v>58</v>
      </c>
      <c r="C10" s="53"/>
      <c r="D10" s="52" t="s">
        <v>59</v>
      </c>
      <c r="E10" s="54">
        <f>20%+35%+36%</f>
        <v>0.91</v>
      </c>
      <c r="F10" s="55" t="s">
        <v>60</v>
      </c>
      <c r="G10" s="56">
        <f>MIN(100%,SUM(G4:G9))</f>
        <v>0.978</v>
      </c>
      <c r="H10" s="55" t="s">
        <v>61</v>
      </c>
      <c r="I10" s="56">
        <f>SUM(I4:I9)</f>
        <v>3.05</v>
      </c>
      <c r="J10" s="57"/>
      <c r="K10" s="54"/>
      <c r="L10" s="52"/>
      <c r="M10" s="53"/>
      <c r="O10" s="41">
        <v>1</v>
      </c>
      <c r="P10" s="24" t="s">
        <v>41</v>
      </c>
      <c r="Q10" s="42">
        <f t="shared" si="8"/>
        <v>5.0516</v>
      </c>
      <c r="R10" s="43" t="s">
        <v>1</v>
      </c>
      <c r="S10" s="44">
        <f t="shared" si="0"/>
        <v>2508.592</v>
      </c>
      <c r="T10" s="45">
        <f t="shared" si="1"/>
        <v>1.449796875</v>
      </c>
      <c r="U10" s="45">
        <f t="shared" ref="U10:U12" si="10">IF(R10=$C$1,SUM($E$4:$E$9),SUM($E$4:$E$8))</f>
        <v>1.712</v>
      </c>
      <c r="V10" s="46">
        <f t="shared" si="3"/>
        <v>3.42055</v>
      </c>
      <c r="W10" s="47">
        <f t="shared" ref="W10:W12" si="11">IF(R10=$C$1,$K$4+$K$5,$K$4)</f>
        <v>0.25</v>
      </c>
      <c r="X10" s="46">
        <f t="shared" si="5"/>
        <v>0.509274150316286</v>
      </c>
      <c r="Y10" s="43">
        <f t="shared" si="6"/>
        <v>0.8</v>
      </c>
      <c r="Z10" s="48">
        <v>0</v>
      </c>
      <c r="AA10" s="48">
        <v>0</v>
      </c>
      <c r="AB10" s="49">
        <v>0</v>
      </c>
      <c r="AC10" s="24">
        <f t="shared" ref="AC10:AC19" si="12">Q10*$C$4*(1+T10)*(1+U10)*V10*(1+W10)*X10*Y10*(1+Z10)*(1+AA10)*(1+AB10)*O10</f>
        <v>59868.2066009082</v>
      </c>
      <c r="AD10" s="33">
        <v>17</v>
      </c>
      <c r="AE10" s="33"/>
    </row>
    <row r="11" s="1" customFormat="1" ht="15" spans="2:35">
      <c r="B11" s="58"/>
      <c r="C11" s="58"/>
      <c r="E11" s="59"/>
      <c r="F11" s="21" t="s">
        <v>62</v>
      </c>
      <c r="G11" s="60">
        <f>MAX(0,SUM(G4:G9)-1)</f>
        <v>0</v>
      </c>
      <c r="J11" s="5"/>
      <c r="K11" s="5"/>
      <c r="O11" s="41">
        <v>1</v>
      </c>
      <c r="P11" s="24" t="s">
        <v>63</v>
      </c>
      <c r="Q11" s="42">
        <f>33.01%*2+12.38%*8+495.1%</f>
        <v>6.6016</v>
      </c>
      <c r="R11" s="43" t="s">
        <v>1</v>
      </c>
      <c r="S11" s="44">
        <f t="shared" si="0"/>
        <v>2508.592</v>
      </c>
      <c r="T11" s="45">
        <f t="shared" si="1"/>
        <v>1.449796875</v>
      </c>
      <c r="U11" s="45">
        <f t="shared" si="10"/>
        <v>1.712</v>
      </c>
      <c r="V11" s="46">
        <f t="shared" si="3"/>
        <v>3.42055</v>
      </c>
      <c r="W11" s="47">
        <f t="shared" si="11"/>
        <v>0.25</v>
      </c>
      <c r="X11" s="46">
        <f t="shared" si="5"/>
        <v>0.509274150316286</v>
      </c>
      <c r="Y11" s="43">
        <f t="shared" si="6"/>
        <v>0.8</v>
      </c>
      <c r="Z11" s="48">
        <v>0</v>
      </c>
      <c r="AA11" s="48">
        <v>0</v>
      </c>
      <c r="AB11" s="49">
        <v>0</v>
      </c>
      <c r="AC11" s="24">
        <f t="shared" si="12"/>
        <v>78237.776683933</v>
      </c>
      <c r="AD11" s="33">
        <v>17</v>
      </c>
      <c r="AE11" s="33"/>
      <c r="AG11" s="61" t="s">
        <v>64</v>
      </c>
      <c r="AH11" s="61">
        <v>0.8</v>
      </c>
    </row>
    <row r="12" s="1" customFormat="1" ht="15" spans="2:35">
      <c r="B12" s="58"/>
      <c r="C12" s="58"/>
      <c r="E12" s="59"/>
      <c r="G12" s="62"/>
      <c r="J12" s="5"/>
      <c r="K12" s="5"/>
      <c r="O12" s="41">
        <v>1</v>
      </c>
      <c r="P12" s="24" t="s">
        <v>65</v>
      </c>
      <c r="Q12" s="42">
        <f>82.55%*AD12</f>
        <v>14.0335</v>
      </c>
      <c r="R12" s="43" t="s">
        <v>1</v>
      </c>
      <c r="S12" s="44">
        <f t="shared" si="0"/>
        <v>2508.592</v>
      </c>
      <c r="T12" s="45">
        <f t="shared" si="1"/>
        <v>1.449796875</v>
      </c>
      <c r="U12" s="45">
        <f t="shared" si="10"/>
        <v>1.712</v>
      </c>
      <c r="V12" s="46">
        <f t="shared" si="3"/>
        <v>3.42055</v>
      </c>
      <c r="W12" s="47">
        <f t="shared" si="11"/>
        <v>0.25</v>
      </c>
      <c r="X12" s="46">
        <f t="shared" si="5"/>
        <v>0.509274150316286</v>
      </c>
      <c r="Y12" s="43">
        <f t="shared" si="6"/>
        <v>0.8</v>
      </c>
      <c r="Z12" s="48">
        <v>0</v>
      </c>
      <c r="AA12" s="48">
        <v>0</v>
      </c>
      <c r="AB12" s="49">
        <v>0</v>
      </c>
      <c r="AC12" s="24">
        <f t="shared" si="12"/>
        <v>166315.717264598</v>
      </c>
      <c r="AD12" s="33">
        <v>17</v>
      </c>
      <c r="AE12" s="33"/>
      <c r="AG12" s="63" t="s">
        <v>66</v>
      </c>
      <c r="AH12" s="63">
        <v>0.92</v>
      </c>
    </row>
    <row r="13" s="1" customFormat="1" ht="15" spans="2:35">
      <c r="B13" s="3" t="s">
        <v>0</v>
      </c>
      <c r="C13" s="3" t="s">
        <v>67</v>
      </c>
      <c r="D13" s="4" t="s">
        <v>2</v>
      </c>
      <c r="E13" s="4">
        <v>1</v>
      </c>
      <c r="O13" s="41">
        <v>0</v>
      </c>
      <c r="P13" s="24" t="s">
        <v>68</v>
      </c>
      <c r="Q13" s="42">
        <f t="shared" ref="Q13:Q20" si="13">104.38%+243.55%</f>
        <v>3.4793</v>
      </c>
      <c r="R13" s="43" t="s">
        <v>57</v>
      </c>
      <c r="S13" s="44">
        <f t="shared" ref="S13:S21" si="14">$C$4*(1+C$5+C$6+C$7+C$8+120%)+C$9</f>
        <v>3737.392</v>
      </c>
      <c r="T13" s="45">
        <f t="shared" si="1"/>
        <v>2.649796875</v>
      </c>
      <c r="U13" s="45">
        <f t="shared" ref="U13:U21" si="15">IF(R13=$C$1,SUM($E$4:$E$9),SUM($E$4:$E$8))+$E$10</f>
        <v>2.13</v>
      </c>
      <c r="V13" s="46">
        <f t="shared" ref="V13:V21" si="16">1+$G$10*($I$10-1+AD13*2.5%+AE13*1%-$I$9)</f>
        <v>3.12715</v>
      </c>
      <c r="W13" s="47">
        <f t="shared" si="9"/>
        <v>0.87</v>
      </c>
      <c r="X13" s="46">
        <f t="shared" si="5"/>
        <v>0.509274150316286</v>
      </c>
      <c r="Y13" s="43">
        <f t="shared" si="6"/>
        <v>0.8</v>
      </c>
      <c r="Z13" s="48">
        <v>0</v>
      </c>
      <c r="AA13" s="48">
        <v>0</v>
      </c>
      <c r="AB13" s="49">
        <v>0</v>
      </c>
      <c r="AC13" s="24">
        <f t="shared" si="12"/>
        <v>0</v>
      </c>
      <c r="AD13" s="33">
        <v>17</v>
      </c>
      <c r="AE13" s="33"/>
      <c r="AG13" s="1" t="s">
        <v>69</v>
      </c>
      <c r="AH13" s="1">
        <v>0.8</v>
      </c>
    </row>
    <row r="14" s="1" customFormat="1" ht="15" spans="2:35">
      <c r="B14" s="64" t="s">
        <v>70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O14" s="41">
        <v>1</v>
      </c>
      <c r="P14" s="24" t="s">
        <v>71</v>
      </c>
      <c r="Q14" s="42">
        <f t="shared" si="13"/>
        <v>3.4793</v>
      </c>
      <c r="R14" s="43" t="s">
        <v>57</v>
      </c>
      <c r="S14" s="44">
        <f t="shared" si="14"/>
        <v>3737.392</v>
      </c>
      <c r="T14" s="45">
        <f t="shared" si="1"/>
        <v>2.649796875</v>
      </c>
      <c r="U14" s="45">
        <f t="shared" si="15"/>
        <v>2.13</v>
      </c>
      <c r="V14" s="46">
        <f t="shared" si="16"/>
        <v>3.1516</v>
      </c>
      <c r="W14" s="47">
        <f t="shared" si="9"/>
        <v>0.87</v>
      </c>
      <c r="X14" s="46">
        <f t="shared" si="5"/>
        <v>0.509274150316286</v>
      </c>
      <c r="Y14" s="43">
        <f t="shared" si="6"/>
        <v>0.8</v>
      </c>
      <c r="Z14" s="48">
        <v>0</v>
      </c>
      <c r="AA14" s="48">
        <v>0</v>
      </c>
      <c r="AB14" s="49">
        <v>0</v>
      </c>
      <c r="AC14" s="24">
        <f t="shared" si="12"/>
        <v>97728.0390233322</v>
      </c>
      <c r="AD14" s="33">
        <v>18</v>
      </c>
      <c r="AE14" s="33"/>
      <c r="AG14" s="65" t="s">
        <v>70</v>
      </c>
      <c r="AH14" s="65">
        <v>0.8</v>
      </c>
    </row>
    <row r="15" s="1" customFormat="1" ht="15" spans="2:35">
      <c r="B15" s="66" t="s">
        <v>24</v>
      </c>
      <c r="C15" s="66"/>
      <c r="D15" s="66" t="s">
        <v>10</v>
      </c>
      <c r="E15" s="66"/>
      <c r="F15" s="66" t="s">
        <v>25</v>
      </c>
      <c r="G15" s="66"/>
      <c r="H15" s="66" t="s">
        <v>26</v>
      </c>
      <c r="I15" s="66"/>
      <c r="J15" s="66" t="s">
        <v>12</v>
      </c>
      <c r="K15" s="66"/>
      <c r="L15" s="66" t="s">
        <v>27</v>
      </c>
      <c r="M15" s="66"/>
      <c r="O15" s="41">
        <v>1</v>
      </c>
      <c r="P15" s="24" t="s">
        <v>71</v>
      </c>
      <c r="Q15" s="42">
        <f>99.16%+231.37%</f>
        <v>3.3053</v>
      </c>
      <c r="R15" s="43" t="s">
        <v>57</v>
      </c>
      <c r="S15" s="44">
        <f t="shared" si="14"/>
        <v>3737.392</v>
      </c>
      <c r="T15" s="45">
        <f t="shared" si="1"/>
        <v>2.649796875</v>
      </c>
      <c r="U15" s="45">
        <f t="shared" si="15"/>
        <v>2.13</v>
      </c>
      <c r="V15" s="46">
        <f t="shared" si="16"/>
        <v>3.17605</v>
      </c>
      <c r="W15" s="47">
        <f t="shared" si="9"/>
        <v>0.87</v>
      </c>
      <c r="X15" s="46">
        <f t="shared" si="5"/>
        <v>0.509274150316286</v>
      </c>
      <c r="Y15" s="43">
        <f t="shared" si="6"/>
        <v>0.8</v>
      </c>
      <c r="Z15" s="48">
        <v>0</v>
      </c>
      <c r="AA15" s="48">
        <v>0</v>
      </c>
      <c r="AB15" s="49">
        <v>0</v>
      </c>
      <c r="AC15" s="24">
        <f t="shared" si="12"/>
        <v>93560.9084481379</v>
      </c>
      <c r="AD15" s="33">
        <v>19</v>
      </c>
      <c r="AE15" s="33"/>
    </row>
    <row r="16" s="1" customFormat="1" ht="15" spans="2:35">
      <c r="B16" s="67" t="s">
        <v>29</v>
      </c>
      <c r="C16" s="68">
        <f>375+587</f>
        <v>962</v>
      </c>
      <c r="D16" s="67" t="s">
        <v>30</v>
      </c>
      <c r="E16" s="40">
        <f>E13*30%</f>
        <v>0.3</v>
      </c>
      <c r="F16" s="67" t="s">
        <v>31</v>
      </c>
      <c r="G16" s="69">
        <v>0.13</v>
      </c>
      <c r="H16" s="67" t="s">
        <v>31</v>
      </c>
      <c r="I16" s="69">
        <v>1.5</v>
      </c>
      <c r="J16" s="39" t="s">
        <v>32</v>
      </c>
      <c r="K16" s="40">
        <v>0.25</v>
      </c>
      <c r="L16" s="67" t="s">
        <v>33</v>
      </c>
      <c r="M16" s="69">
        <f>8.6%*4</f>
        <v>0.344</v>
      </c>
      <c r="O16" s="41">
        <v>1</v>
      </c>
      <c r="P16" s="24" t="s">
        <v>72</v>
      </c>
      <c r="Q16" s="42">
        <f>99.16%+231.37%</f>
        <v>3.3053</v>
      </c>
      <c r="R16" s="43" t="s">
        <v>57</v>
      </c>
      <c r="S16" s="44">
        <f t="shared" si="14"/>
        <v>3737.392</v>
      </c>
      <c r="T16" s="45">
        <f t="shared" si="1"/>
        <v>2.649796875</v>
      </c>
      <c r="U16" s="45">
        <f t="shared" si="15"/>
        <v>2.13</v>
      </c>
      <c r="V16" s="46">
        <f t="shared" si="16"/>
        <v>3.2005</v>
      </c>
      <c r="W16" s="47">
        <f t="shared" si="9"/>
        <v>0.87</v>
      </c>
      <c r="X16" s="46">
        <f t="shared" si="5"/>
        <v>0.509274150316286</v>
      </c>
      <c r="Y16" s="43">
        <f t="shared" si="6"/>
        <v>0.8</v>
      </c>
      <c r="Z16" s="48">
        <v>0</v>
      </c>
      <c r="AA16" s="48">
        <v>0</v>
      </c>
      <c r="AB16" s="49">
        <v>0</v>
      </c>
      <c r="AC16" s="24">
        <f t="shared" si="12"/>
        <v>94281.1629188033</v>
      </c>
      <c r="AD16" s="33">
        <v>20</v>
      </c>
      <c r="AE16" s="33"/>
    </row>
    <row r="17" s="1" customFormat="1" ht="15" spans="1:31">
      <c r="B17" s="35" t="s">
        <v>36</v>
      </c>
      <c r="C17" s="37">
        <f>12%+12%</f>
        <v>0.24</v>
      </c>
      <c r="D17" s="35" t="s">
        <v>37</v>
      </c>
      <c r="E17" s="37">
        <f>12%+10%</f>
        <v>0.22</v>
      </c>
      <c r="F17" s="35" t="s">
        <v>38</v>
      </c>
      <c r="G17" s="38">
        <v>0.243</v>
      </c>
      <c r="H17" s="35" t="s">
        <v>38</v>
      </c>
      <c r="I17" s="38">
        <v>0</v>
      </c>
      <c r="J17" s="50" t="s">
        <v>73</v>
      </c>
      <c r="K17" s="37">
        <v>0.25</v>
      </c>
      <c r="L17" s="35" t="s">
        <v>74</v>
      </c>
      <c r="M17" s="38"/>
      <c r="O17" s="41">
        <v>1</v>
      </c>
      <c r="P17" s="24" t="s">
        <v>75</v>
      </c>
      <c r="Q17" s="42">
        <f t="shared" si="13"/>
        <v>3.4793</v>
      </c>
      <c r="R17" s="43" t="s">
        <v>57</v>
      </c>
      <c r="S17" s="44">
        <f t="shared" si="14"/>
        <v>3737.392</v>
      </c>
      <c r="T17" s="45">
        <f t="shared" si="1"/>
        <v>2.649796875</v>
      </c>
      <c r="U17" s="45">
        <f t="shared" si="15"/>
        <v>2.13</v>
      </c>
      <c r="V17" s="46">
        <f t="shared" si="16"/>
        <v>3.22495</v>
      </c>
      <c r="W17" s="47">
        <f t="shared" si="9"/>
        <v>0.87</v>
      </c>
      <c r="X17" s="46">
        <f t="shared" si="5"/>
        <v>0.509274150316286</v>
      </c>
      <c r="Y17" s="43">
        <f t="shared" si="6"/>
        <v>0.8</v>
      </c>
      <c r="Z17" s="48">
        <v>0</v>
      </c>
      <c r="AA17" s="48">
        <v>0</v>
      </c>
      <c r="AB17" s="49">
        <v>0</v>
      </c>
      <c r="AC17" s="24">
        <f t="shared" si="12"/>
        <v>100002.550910108</v>
      </c>
      <c r="AD17" s="33">
        <v>21</v>
      </c>
      <c r="AE17" s="33"/>
    </row>
    <row r="18" s="1" customFormat="1" ht="15" spans="1:31">
      <c r="B18" s="35" t="s">
        <v>42</v>
      </c>
      <c r="C18" s="37">
        <f>18%+18%+M16+(2-E13)*30%</f>
        <v>1.004</v>
      </c>
      <c r="D18" s="35" t="s">
        <v>43</v>
      </c>
      <c r="E18" s="37"/>
      <c r="F18" s="35" t="s">
        <v>44</v>
      </c>
      <c r="G18" s="38"/>
      <c r="H18" s="35" t="s">
        <v>44</v>
      </c>
      <c r="I18" s="38">
        <v>0</v>
      </c>
      <c r="J18" s="50" t="s">
        <v>45</v>
      </c>
      <c r="K18" s="38">
        <v>0.3</v>
      </c>
      <c r="L18" s="35" t="s">
        <v>25</v>
      </c>
      <c r="M18" s="38">
        <f>8.1*5%</f>
        <v>0.405</v>
      </c>
      <c r="O18" s="41">
        <v>1</v>
      </c>
      <c r="P18" s="24" t="s">
        <v>75</v>
      </c>
      <c r="Q18" s="42">
        <f t="shared" si="13"/>
        <v>3.4793</v>
      </c>
      <c r="R18" s="43" t="s">
        <v>57</v>
      </c>
      <c r="S18" s="44">
        <f t="shared" si="14"/>
        <v>3737.392</v>
      </c>
      <c r="T18" s="45">
        <f t="shared" si="1"/>
        <v>2.649796875</v>
      </c>
      <c r="U18" s="45">
        <f t="shared" si="15"/>
        <v>2.13</v>
      </c>
      <c r="V18" s="46">
        <f t="shared" si="16"/>
        <v>3.2494</v>
      </c>
      <c r="W18" s="47">
        <f t="shared" si="9"/>
        <v>0.87</v>
      </c>
      <c r="X18" s="46">
        <f t="shared" si="5"/>
        <v>0.509274150316286</v>
      </c>
      <c r="Y18" s="43">
        <f t="shared" si="6"/>
        <v>0.8</v>
      </c>
      <c r="Z18" s="48">
        <v>0</v>
      </c>
      <c r="AA18" s="48">
        <v>0</v>
      </c>
      <c r="AB18" s="49">
        <v>0</v>
      </c>
      <c r="AC18" s="24">
        <f t="shared" si="12"/>
        <v>100760.721539033</v>
      </c>
      <c r="AD18" s="33">
        <v>22</v>
      </c>
      <c r="AE18" s="33"/>
    </row>
    <row r="19" s="1" customFormat="1" ht="15" spans="1:31">
      <c r="B19" s="35" t="s">
        <v>46</v>
      </c>
      <c r="C19" s="70">
        <v>0.1</v>
      </c>
      <c r="D19" s="35" t="s">
        <v>47</v>
      </c>
      <c r="E19" s="37">
        <v>0.4</v>
      </c>
      <c r="F19" s="35" t="s">
        <v>42</v>
      </c>
      <c r="G19" s="38">
        <f>M18</f>
        <v>0.405</v>
      </c>
      <c r="H19" s="35" t="s">
        <v>42</v>
      </c>
      <c r="I19" s="38">
        <f>M19+44%</f>
        <v>1.25</v>
      </c>
      <c r="J19" s="50"/>
      <c r="K19" s="38"/>
      <c r="L19" s="35" t="s">
        <v>48</v>
      </c>
      <c r="M19" s="37">
        <f>16.2%*5</f>
        <v>0.81</v>
      </c>
      <c r="O19" s="41">
        <v>1</v>
      </c>
      <c r="P19" s="24" t="s">
        <v>75</v>
      </c>
      <c r="Q19" s="42">
        <f t="shared" si="13"/>
        <v>3.4793</v>
      </c>
      <c r="R19" s="43" t="s">
        <v>57</v>
      </c>
      <c r="S19" s="44">
        <f t="shared" si="14"/>
        <v>3737.392</v>
      </c>
      <c r="T19" s="45">
        <f t="shared" si="1"/>
        <v>2.649796875</v>
      </c>
      <c r="U19" s="45">
        <f t="shared" si="15"/>
        <v>2.13</v>
      </c>
      <c r="V19" s="46">
        <f t="shared" si="16"/>
        <v>3.27385</v>
      </c>
      <c r="W19" s="47">
        <f t="shared" si="9"/>
        <v>0.87</v>
      </c>
      <c r="X19" s="46">
        <f t="shared" si="5"/>
        <v>0.509274150316286</v>
      </c>
      <c r="Y19" s="43">
        <f t="shared" si="6"/>
        <v>0.8</v>
      </c>
      <c r="Z19" s="48">
        <v>0</v>
      </c>
      <c r="AA19" s="48">
        <v>0</v>
      </c>
      <c r="AB19" s="49">
        <v>0</v>
      </c>
      <c r="AC19" s="24">
        <f t="shared" si="12"/>
        <v>101518.892167958</v>
      </c>
      <c r="AD19" s="33">
        <v>23</v>
      </c>
      <c r="AE19" s="33"/>
    </row>
    <row r="20" s="1" customFormat="1" ht="15" spans="1:31">
      <c r="B20" s="35" t="s">
        <v>49</v>
      </c>
      <c r="C20" s="71">
        <v>0.25</v>
      </c>
      <c r="D20" s="35"/>
      <c r="E20" s="71"/>
      <c r="F20" s="35" t="s">
        <v>51</v>
      </c>
      <c r="G20" s="38">
        <v>0.2</v>
      </c>
      <c r="H20" s="35" t="s">
        <v>51</v>
      </c>
      <c r="I20" s="38">
        <v>0</v>
      </c>
      <c r="J20" s="50"/>
      <c r="K20" s="38"/>
      <c r="L20" s="35"/>
      <c r="M20" s="36"/>
      <c r="O20" s="41">
        <v>1</v>
      </c>
      <c r="P20" s="24" t="s">
        <v>75</v>
      </c>
      <c r="Q20" s="42">
        <f t="shared" si="13"/>
        <v>3.4793</v>
      </c>
      <c r="R20" s="43" t="s">
        <v>57</v>
      </c>
      <c r="S20" s="44">
        <f t="shared" si="14"/>
        <v>3737.392</v>
      </c>
      <c r="T20" s="45">
        <f t="shared" si="1"/>
        <v>2.649796875</v>
      </c>
      <c r="U20" s="45">
        <f t="shared" si="15"/>
        <v>2.13</v>
      </c>
      <c r="V20" s="46">
        <f t="shared" si="16"/>
        <v>3.2983</v>
      </c>
      <c r="W20" s="47">
        <f t="shared" si="9"/>
        <v>0.87</v>
      </c>
      <c r="X20" s="46">
        <f t="shared" si="5"/>
        <v>0.509274150316286</v>
      </c>
      <c r="Y20" s="43">
        <f t="shared" si="6"/>
        <v>0.8</v>
      </c>
      <c r="Z20" s="48">
        <v>0</v>
      </c>
      <c r="AA20" s="48">
        <v>0</v>
      </c>
      <c r="AB20" s="49">
        <v>0</v>
      </c>
      <c r="AC20" s="24">
        <f>Q20*$C$4*(1+T20)*(1+U20)*V20*(1+W20)*X20*Y20*(1+Z20)*(1+AA20)*(1+AB20)*O19</f>
        <v>102277.062796883</v>
      </c>
      <c r="AD20" s="33">
        <v>24</v>
      </c>
      <c r="AE20" s="33"/>
    </row>
    <row r="21" s="1" customFormat="1" ht="15" spans="1:31">
      <c r="B21" s="35" t="s">
        <v>53</v>
      </c>
      <c r="C21" s="36">
        <v>350</v>
      </c>
      <c r="D21" s="35" t="s">
        <v>76</v>
      </c>
      <c r="E21" s="37">
        <f>60%+30%+M17+12%</f>
        <v>1.02</v>
      </c>
      <c r="F21" s="35" t="s">
        <v>55</v>
      </c>
      <c r="G21" s="38"/>
      <c r="H21" s="35" t="s">
        <v>55</v>
      </c>
      <c r="I21" s="38">
        <v>0.3</v>
      </c>
      <c r="J21" s="50"/>
      <c r="K21" s="38"/>
      <c r="L21" s="35"/>
      <c r="M21" s="36"/>
      <c r="O21" s="35">
        <v>1</v>
      </c>
      <c r="P21" s="24" t="s">
        <v>77</v>
      </c>
      <c r="Q21" s="72">
        <f>(27.84%+13.92%*2)*4</f>
        <v>2.2272</v>
      </c>
      <c r="R21" s="73" t="s">
        <v>57</v>
      </c>
      <c r="S21" s="44">
        <f t="shared" si="14"/>
        <v>3737.392</v>
      </c>
      <c r="T21" s="74">
        <f t="shared" si="1"/>
        <v>2.649796875</v>
      </c>
      <c r="U21" s="45">
        <f t="shared" si="15"/>
        <v>2.13</v>
      </c>
      <c r="V21" s="46">
        <f t="shared" si="16"/>
        <v>3.2005</v>
      </c>
      <c r="W21" s="47">
        <f t="shared" si="9"/>
        <v>0.87</v>
      </c>
      <c r="X21" s="75">
        <f t="shared" si="5"/>
        <v>0.509274150316286</v>
      </c>
      <c r="Y21" s="73">
        <f t="shared" si="6"/>
        <v>0.8</v>
      </c>
      <c r="Z21" s="76">
        <v>0</v>
      </c>
      <c r="AA21" s="76">
        <v>0</v>
      </c>
      <c r="AB21" s="77">
        <v>0</v>
      </c>
      <c r="AC21" s="24">
        <f>Q21*$C$4*(1+T21)*(1+U21)*V21*(1+W21)*X21*Y21*(1+Z21)*(1+AA21)*(1+AB21)*O20</f>
        <v>63529.182238453</v>
      </c>
      <c r="AD21" s="33">
        <v>20</v>
      </c>
      <c r="AE21" s="33"/>
    </row>
    <row r="22" s="1" customFormat="1" ht="15" spans="1:31">
      <c r="B22" s="52" t="s">
        <v>58</v>
      </c>
      <c r="C22" s="53"/>
      <c r="D22" s="35" t="s">
        <v>78</v>
      </c>
      <c r="E22" s="71">
        <f>50%+16%</f>
        <v>0.66</v>
      </c>
      <c r="F22" s="55" t="s">
        <v>60</v>
      </c>
      <c r="G22" s="56">
        <f>MIN(100%,SUM(G16:G21))</f>
        <v>0.978</v>
      </c>
      <c r="H22" s="55" t="s">
        <v>61</v>
      </c>
      <c r="I22" s="56">
        <f>SUM(I16:I21)</f>
        <v>3.05</v>
      </c>
      <c r="J22" s="57"/>
      <c r="K22" s="78"/>
      <c r="L22" s="52"/>
      <c r="M22" s="53"/>
      <c r="O22" s="67">
        <v>1</v>
      </c>
      <c r="P22" s="79" t="s">
        <v>79</v>
      </c>
      <c r="Q22" s="80">
        <v>2.3463</v>
      </c>
      <c r="R22" s="81" t="s">
        <v>67</v>
      </c>
      <c r="S22" s="82">
        <f t="shared" ref="S22:S31" si="17">$C$16*(1+$C$17+$C$18+$C$19+$C$20)+($C$21+$C$22)</f>
        <v>2845.428</v>
      </c>
      <c r="T22" s="80">
        <f t="shared" ref="T22:T31" si="18">($C$17+$C$18+$C$19+$C$20)+($C$21+$C$22)/$C$16</f>
        <v>1.95782536382536</v>
      </c>
      <c r="U22" s="80">
        <f t="shared" ref="U22:U25" si="19">IF(R22=$C$13,SUM($E$16:$E$21),SUM($E$16:$E$20))</f>
        <v>1.94</v>
      </c>
      <c r="V22" s="83">
        <f t="shared" ref="V22:V31" si="20">1+$G$22*($I$22-1)</f>
        <v>3.0049</v>
      </c>
      <c r="W22" s="84">
        <f t="shared" ref="W22:W25" si="21">IF(R22=$C$13,$K$16+$K$17,$K$16)</f>
        <v>0.5</v>
      </c>
      <c r="X22" s="83">
        <f t="shared" ref="X22:X31" si="22">$AH$3</f>
        <v>0.488431876606684</v>
      </c>
      <c r="Y22" s="81">
        <f t="shared" ref="Y22:Y31" si="23">$AH$14</f>
        <v>0.8</v>
      </c>
      <c r="Z22" s="85">
        <v>0</v>
      </c>
      <c r="AA22" s="85">
        <v>0</v>
      </c>
      <c r="AB22" s="85">
        <v>0</v>
      </c>
      <c r="AC22" s="79">
        <f>Q22*$C$16*(1+T22)*(1+U22)*V22*(1+W22)*X22*Y22*(1+Z22)*(1+AA22)*(1+AB22)*O22</f>
        <v>34569.5511889197</v>
      </c>
    </row>
    <row r="23" s="1" customFormat="1" ht="15" spans="1:31">
      <c r="B23" s="58"/>
      <c r="C23" s="58"/>
      <c r="E23" s="59"/>
      <c r="F23" s="21" t="s">
        <v>62</v>
      </c>
      <c r="G23" s="60">
        <f>MAX(0,SUM(G16:G21)-1)</f>
        <v>0</v>
      </c>
      <c r="J23" s="5"/>
      <c r="K23" s="5"/>
      <c r="O23" s="35">
        <v>1</v>
      </c>
      <c r="P23" s="79" t="s">
        <v>80</v>
      </c>
      <c r="Q23" s="86">
        <v>3.1814</v>
      </c>
      <c r="R23" s="58" t="s">
        <v>67</v>
      </c>
      <c r="S23" s="87">
        <f t="shared" si="17"/>
        <v>2845.428</v>
      </c>
      <c r="T23" s="86">
        <f t="shared" si="18"/>
        <v>1.95782536382536</v>
      </c>
      <c r="U23" s="86">
        <f t="shared" si="19"/>
        <v>1.94</v>
      </c>
      <c r="V23" s="88">
        <f t="shared" si="20"/>
        <v>3.0049</v>
      </c>
      <c r="W23" s="84">
        <f t="shared" si="21"/>
        <v>0.5</v>
      </c>
      <c r="X23" s="83">
        <f t="shared" si="22"/>
        <v>0.488431876606684</v>
      </c>
      <c r="Y23" s="81">
        <f t="shared" si="23"/>
        <v>0.8</v>
      </c>
      <c r="Z23" s="89">
        <v>0</v>
      </c>
      <c r="AA23" s="89">
        <v>0</v>
      </c>
      <c r="AB23" s="89">
        <v>0</v>
      </c>
      <c r="AC23" s="79">
        <f t="shared" ref="AC23:AC31" si="24">Q23*$C$4*(1+T23)*(1+U23)*V23*(1+W23)*X23*Y23*(1+Z23)*(1+AA23)*(1+AB23)*O23</f>
        <v>49894.5789358835</v>
      </c>
    </row>
    <row r="24" s="1" customFormat="1" ht="15" spans="1:31">
      <c r="B24" s="58"/>
      <c r="C24" s="58"/>
      <c r="E24" s="59"/>
      <c r="J24" s="5"/>
      <c r="K24" s="5"/>
      <c r="O24" s="35">
        <v>1</v>
      </c>
      <c r="P24" s="79" t="s">
        <v>81</v>
      </c>
      <c r="Q24" s="86">
        <f>795.24%+500%</f>
        <v>12.9524</v>
      </c>
      <c r="R24" s="58" t="s">
        <v>57</v>
      </c>
      <c r="S24" s="87">
        <f t="shared" si="17"/>
        <v>2845.428</v>
      </c>
      <c r="T24" s="86">
        <f t="shared" si="18"/>
        <v>1.95782536382536</v>
      </c>
      <c r="U24" s="86">
        <f t="shared" ref="U24:U28" si="25">IF(R24=$C$13,SUM($E$16:$E$21),SUM($E$16:$E$20))+E$22</f>
        <v>1.58</v>
      </c>
      <c r="V24" s="88">
        <f t="shared" si="20"/>
        <v>3.0049</v>
      </c>
      <c r="W24" s="84">
        <f t="shared" ref="W24:W28" si="26">IF(R24=$C$13,$K$16+$K$17,$K$16)+K$18</f>
        <v>0.55</v>
      </c>
      <c r="X24" s="83">
        <f t="shared" si="22"/>
        <v>0.488431876606684</v>
      </c>
      <c r="Y24" s="81">
        <f t="shared" si="23"/>
        <v>0.8</v>
      </c>
      <c r="Z24" s="89">
        <v>0</v>
      </c>
      <c r="AA24" s="89">
        <v>0</v>
      </c>
      <c r="AB24" s="89">
        <v>0</v>
      </c>
      <c r="AC24" s="79">
        <f t="shared" si="24"/>
        <v>184203.614510785</v>
      </c>
    </row>
    <row r="25" s="1" customFormat="1" ht="15" spans="1:31">
      <c r="A25" s="90"/>
      <c r="B25" s="91" t="s">
        <v>82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O25" s="35">
        <v>1</v>
      </c>
      <c r="P25" s="79" t="s">
        <v>83</v>
      </c>
      <c r="Q25" s="86">
        <v>8.8457</v>
      </c>
      <c r="R25" s="58" t="s">
        <v>67</v>
      </c>
      <c r="S25" s="87">
        <f t="shared" si="17"/>
        <v>2845.428</v>
      </c>
      <c r="T25" s="86">
        <f t="shared" si="18"/>
        <v>1.95782536382536</v>
      </c>
      <c r="U25" s="86">
        <f t="shared" si="19"/>
        <v>1.94</v>
      </c>
      <c r="V25" s="88">
        <f t="shared" si="20"/>
        <v>3.0049</v>
      </c>
      <c r="W25" s="84">
        <f t="shared" si="21"/>
        <v>0.5</v>
      </c>
      <c r="X25" s="83">
        <f t="shared" si="22"/>
        <v>0.488431876606684</v>
      </c>
      <c r="Y25" s="81">
        <f t="shared" si="23"/>
        <v>0.8</v>
      </c>
      <c r="Z25" s="89">
        <v>0</v>
      </c>
      <c r="AA25" s="89">
        <v>0</v>
      </c>
      <c r="AB25" s="89">
        <v>0.5</v>
      </c>
      <c r="AC25" s="79">
        <f t="shared" si="24"/>
        <v>208093.517111874</v>
      </c>
    </row>
    <row r="26" s="1" customFormat="1" ht="15" spans="1:31">
      <c r="A26" s="90" t="s">
        <v>84</v>
      </c>
      <c r="B26" s="92" t="s">
        <v>24</v>
      </c>
      <c r="C26" s="93"/>
      <c r="D26" s="92" t="s">
        <v>10</v>
      </c>
      <c r="E26" s="93"/>
      <c r="F26" s="92" t="s">
        <v>25</v>
      </c>
      <c r="G26" s="93"/>
      <c r="H26" s="92" t="s">
        <v>26</v>
      </c>
      <c r="I26" s="93"/>
      <c r="J26" s="92" t="s">
        <v>12</v>
      </c>
      <c r="K26" s="93"/>
      <c r="L26" s="92" t="s">
        <v>85</v>
      </c>
      <c r="M26" s="93"/>
      <c r="O26" s="35">
        <v>1</v>
      </c>
      <c r="P26" s="79" t="s">
        <v>86</v>
      </c>
      <c r="Q26" s="86">
        <v>2.1552</v>
      </c>
      <c r="R26" s="58" t="s">
        <v>57</v>
      </c>
      <c r="S26" s="87">
        <f t="shared" si="17"/>
        <v>2845.428</v>
      </c>
      <c r="T26" s="86">
        <f t="shared" si="18"/>
        <v>1.95782536382536</v>
      </c>
      <c r="U26" s="86">
        <f t="shared" si="25"/>
        <v>1.58</v>
      </c>
      <c r="V26" s="88">
        <f t="shared" si="20"/>
        <v>3.0049</v>
      </c>
      <c r="W26" s="84">
        <f t="shared" si="26"/>
        <v>0.55</v>
      </c>
      <c r="X26" s="83">
        <f t="shared" si="22"/>
        <v>0.488431876606684</v>
      </c>
      <c r="Y26" s="81">
        <f t="shared" si="23"/>
        <v>0.8</v>
      </c>
      <c r="Z26" s="89">
        <v>0</v>
      </c>
      <c r="AA26" s="89">
        <v>0</v>
      </c>
      <c r="AB26" s="89">
        <v>0</v>
      </c>
      <c r="AC26" s="79">
        <f t="shared" si="24"/>
        <v>30650.3528298728</v>
      </c>
    </row>
    <row r="27" s="1" customFormat="1" ht="15" spans="1:31">
      <c r="A27" s="90">
        <v>1357</v>
      </c>
      <c r="B27" s="94" t="s">
        <v>29</v>
      </c>
      <c r="C27" s="95">
        <v>625</v>
      </c>
      <c r="D27" s="94" t="s">
        <v>30</v>
      </c>
      <c r="E27" s="96"/>
      <c r="F27" s="94" t="s">
        <v>87</v>
      </c>
      <c r="G27" s="97">
        <v>0.05</v>
      </c>
      <c r="H27" s="94" t="s">
        <v>87</v>
      </c>
      <c r="I27" s="96">
        <v>1.5</v>
      </c>
      <c r="J27" s="98" t="s">
        <v>32</v>
      </c>
      <c r="K27" s="96">
        <v>0.25</v>
      </c>
      <c r="L27" s="94" t="s">
        <v>84</v>
      </c>
      <c r="M27" s="97">
        <v>0.327</v>
      </c>
      <c r="O27" s="35">
        <v>1</v>
      </c>
      <c r="P27" s="79" t="s">
        <v>57</v>
      </c>
      <c r="Q27" s="86">
        <f>164.16%+21.89%*5</f>
        <v>2.7361</v>
      </c>
      <c r="R27" s="58" t="s">
        <v>57</v>
      </c>
      <c r="S27" s="87">
        <f t="shared" si="17"/>
        <v>2845.428</v>
      </c>
      <c r="T27" s="86">
        <f t="shared" si="18"/>
        <v>1.95782536382536</v>
      </c>
      <c r="U27" s="86">
        <f t="shared" si="25"/>
        <v>1.58</v>
      </c>
      <c r="V27" s="88">
        <f t="shared" si="20"/>
        <v>3.0049</v>
      </c>
      <c r="W27" s="84">
        <f t="shared" si="26"/>
        <v>0.55</v>
      </c>
      <c r="X27" s="83">
        <f t="shared" si="22"/>
        <v>0.488431876606684</v>
      </c>
      <c r="Y27" s="81">
        <f t="shared" si="23"/>
        <v>0.8</v>
      </c>
      <c r="Z27" s="89">
        <v>0</v>
      </c>
      <c r="AA27" s="89">
        <v>0</v>
      </c>
      <c r="AB27" s="89">
        <v>0</v>
      </c>
      <c r="AC27" s="79">
        <f t="shared" si="24"/>
        <v>38911.6696259349</v>
      </c>
    </row>
    <row r="28" s="1" customFormat="1" ht="15" spans="1:31">
      <c r="A28" s="99">
        <v>0.312</v>
      </c>
      <c r="B28" s="94" t="s">
        <v>88</v>
      </c>
      <c r="C28" s="96"/>
      <c r="D28" s="94" t="s">
        <v>89</v>
      </c>
      <c r="E28" s="96"/>
      <c r="F28" s="94" t="s">
        <v>38</v>
      </c>
      <c r="G28" s="97"/>
      <c r="H28" s="94" t="s">
        <v>90</v>
      </c>
      <c r="I28" s="97">
        <v>0.2</v>
      </c>
      <c r="J28" s="100" t="s">
        <v>91</v>
      </c>
      <c r="K28" s="97"/>
      <c r="L28" s="94" t="s">
        <v>25</v>
      </c>
      <c r="M28" s="97">
        <v>0.162</v>
      </c>
      <c r="O28" s="52">
        <v>1</v>
      </c>
      <c r="P28" s="79" t="s">
        <v>92</v>
      </c>
      <c r="Q28" s="101">
        <v>5</v>
      </c>
      <c r="R28" s="102" t="s">
        <v>57</v>
      </c>
      <c r="S28" s="103">
        <f t="shared" si="17"/>
        <v>2845.428</v>
      </c>
      <c r="T28" s="101">
        <f t="shared" si="18"/>
        <v>1.95782536382536</v>
      </c>
      <c r="U28" s="86">
        <f t="shared" si="25"/>
        <v>1.58</v>
      </c>
      <c r="V28" s="104">
        <f t="shared" si="20"/>
        <v>3.0049</v>
      </c>
      <c r="W28" s="84">
        <f t="shared" si="26"/>
        <v>0.55</v>
      </c>
      <c r="X28" s="83">
        <f t="shared" si="22"/>
        <v>0.488431876606684</v>
      </c>
      <c r="Y28" s="81">
        <f t="shared" si="23"/>
        <v>0.8</v>
      </c>
      <c r="Z28" s="105">
        <v>0</v>
      </c>
      <c r="AA28" s="105">
        <v>0</v>
      </c>
      <c r="AB28" s="105">
        <v>0</v>
      </c>
      <c r="AC28" s="79">
        <f t="shared" si="24"/>
        <v>71107.9083840775</v>
      </c>
    </row>
    <row r="29" s="1" customFormat="1" ht="15" spans="1:31">
      <c r="A29" s="99">
        <v>0.687</v>
      </c>
      <c r="B29" s="94" t="s">
        <v>93</v>
      </c>
      <c r="C29" s="96"/>
      <c r="D29" s="94" t="s">
        <v>94</v>
      </c>
      <c r="E29" s="96"/>
      <c r="F29" s="94" t="s">
        <v>44</v>
      </c>
      <c r="G29" s="97"/>
      <c r="H29" s="94" t="s">
        <v>70</v>
      </c>
      <c r="I29" s="97"/>
      <c r="J29" s="100" t="s">
        <v>95</v>
      </c>
      <c r="K29" s="97"/>
      <c r="L29" s="94" t="s">
        <v>48</v>
      </c>
      <c r="M29" s="97">
        <v>0.486</v>
      </c>
      <c r="O29" s="35">
        <v>1</v>
      </c>
      <c r="P29" s="79" t="s">
        <v>80</v>
      </c>
      <c r="Q29" s="86">
        <v>3.1814</v>
      </c>
      <c r="R29" s="58" t="s">
        <v>67</v>
      </c>
      <c r="S29" s="87">
        <f t="shared" si="17"/>
        <v>2845.428</v>
      </c>
      <c r="T29" s="86">
        <f t="shared" si="18"/>
        <v>1.95782536382536</v>
      </c>
      <c r="U29" s="86">
        <f>IF(R29=$C$13,SUM($E$16:$E$21),SUM($E$16:$E$20))</f>
        <v>1.94</v>
      </c>
      <c r="V29" s="88">
        <f t="shared" si="20"/>
        <v>3.0049</v>
      </c>
      <c r="W29" s="84">
        <f>IF(R29=$C$13,$K$16+$K$17,$K$16)</f>
        <v>0.5</v>
      </c>
      <c r="X29" s="83">
        <f t="shared" si="22"/>
        <v>0.488431876606684</v>
      </c>
      <c r="Y29" s="81">
        <f t="shared" si="23"/>
        <v>0.8</v>
      </c>
      <c r="Z29" s="89">
        <v>0</v>
      </c>
      <c r="AA29" s="89">
        <v>0</v>
      </c>
      <c r="AB29" s="89">
        <v>0.5</v>
      </c>
      <c r="AC29" s="79">
        <f t="shared" si="24"/>
        <v>74841.8684038252</v>
      </c>
    </row>
    <row r="30" s="1" customFormat="1" ht="15" spans="1:31">
      <c r="A30" s="99">
        <v>0.418</v>
      </c>
      <c r="B30" s="94" t="s">
        <v>90</v>
      </c>
      <c r="C30" s="106">
        <v>0.4</v>
      </c>
      <c r="D30" s="94" t="s">
        <v>96</v>
      </c>
      <c r="E30" s="96">
        <v>0.4</v>
      </c>
      <c r="F30" s="94" t="s">
        <v>90</v>
      </c>
      <c r="G30" s="97">
        <v>0.486</v>
      </c>
      <c r="H30" s="94"/>
      <c r="I30" s="97"/>
      <c r="J30" s="100"/>
      <c r="K30" s="97"/>
      <c r="L30" s="94" t="s">
        <v>97</v>
      </c>
      <c r="M30" s="97">
        <v>0.172</v>
      </c>
      <c r="O30" s="35">
        <v>1</v>
      </c>
      <c r="P30" s="79" t="s">
        <v>83</v>
      </c>
      <c r="Q30" s="86">
        <f>884.57%+600%*3</f>
        <v>26.8457</v>
      </c>
      <c r="R30" s="58" t="s">
        <v>67</v>
      </c>
      <c r="S30" s="87">
        <f t="shared" si="17"/>
        <v>2845.428</v>
      </c>
      <c r="T30" s="86">
        <f t="shared" si="18"/>
        <v>1.95782536382536</v>
      </c>
      <c r="U30" s="86">
        <f>IF(R30=$C$13,SUM($E$16:$E$21),SUM($E$16:$E$20))</f>
        <v>1.94</v>
      </c>
      <c r="V30" s="88">
        <f t="shared" si="20"/>
        <v>3.0049</v>
      </c>
      <c r="W30" s="84">
        <f>IF(R30=$C$13,$K$16+$K$17,$K$16)</f>
        <v>0.5</v>
      </c>
      <c r="X30" s="83">
        <f t="shared" si="22"/>
        <v>0.488431876606684</v>
      </c>
      <c r="Y30" s="81">
        <f t="shared" si="23"/>
        <v>0.8</v>
      </c>
      <c r="Z30" s="89">
        <v>0</v>
      </c>
      <c r="AA30" s="89">
        <v>0</v>
      </c>
      <c r="AB30" s="89"/>
      <c r="AC30" s="79">
        <f t="shared" si="24"/>
        <v>421026.87425003</v>
      </c>
    </row>
    <row r="31" s="1" customFormat="1" ht="15" spans="1:31">
      <c r="A31" s="107">
        <v>0.2</v>
      </c>
      <c r="B31" s="94" t="s">
        <v>98</v>
      </c>
      <c r="C31" s="106">
        <v>0.1</v>
      </c>
      <c r="D31" s="94" t="s">
        <v>99</v>
      </c>
      <c r="E31" s="108"/>
      <c r="F31" s="94" t="s">
        <v>100</v>
      </c>
      <c r="G31" s="97"/>
      <c r="H31" s="94"/>
      <c r="I31" s="97">
        <v>0.3</v>
      </c>
      <c r="J31" s="100"/>
      <c r="K31" s="97"/>
      <c r="L31" s="94"/>
      <c r="M31" s="97"/>
      <c r="O31" s="52">
        <v>1</v>
      </c>
      <c r="P31" s="79" t="s">
        <v>101</v>
      </c>
      <c r="Q31" s="101">
        <v>5</v>
      </c>
      <c r="R31" s="102" t="s">
        <v>57</v>
      </c>
      <c r="S31" s="103">
        <f t="shared" si="17"/>
        <v>2845.428</v>
      </c>
      <c r="T31" s="101">
        <f t="shared" si="18"/>
        <v>1.95782536382536</v>
      </c>
      <c r="U31" s="86">
        <f>IF(R31=$C$13,SUM($E$16:$E$21),SUM($E$16:$E$20))+E$22</f>
        <v>1.58</v>
      </c>
      <c r="V31" s="104">
        <f t="shared" si="20"/>
        <v>3.0049</v>
      </c>
      <c r="W31" s="84">
        <f>IF(R31=$C$13,$K$16+$K$17,$K$16)+K$18</f>
        <v>0.55</v>
      </c>
      <c r="X31" s="83">
        <f t="shared" si="22"/>
        <v>0.488431876606684</v>
      </c>
      <c r="Y31" s="81">
        <f t="shared" si="23"/>
        <v>0.8</v>
      </c>
      <c r="Z31" s="105">
        <v>0</v>
      </c>
      <c r="AA31" s="105">
        <v>0</v>
      </c>
      <c r="AB31" s="105">
        <v>0</v>
      </c>
      <c r="AC31" s="79">
        <f t="shared" si="24"/>
        <v>71107.9083840775</v>
      </c>
    </row>
    <row r="32" s="1" customFormat="1" ht="15" spans="1:31">
      <c r="A32" s="90"/>
      <c r="B32" s="94" t="s">
        <v>53</v>
      </c>
      <c r="C32" s="95">
        <v>350</v>
      </c>
      <c r="D32" s="94" t="s">
        <v>54</v>
      </c>
      <c r="E32" s="96"/>
      <c r="F32" s="109" t="s">
        <v>60</v>
      </c>
      <c r="G32" s="110">
        <v>0.536</v>
      </c>
      <c r="H32" s="109" t="s">
        <v>61</v>
      </c>
      <c r="I32" s="111">
        <f>I27+I28+I29+I30+I31</f>
        <v>2</v>
      </c>
      <c r="J32" s="100"/>
      <c r="K32" s="97"/>
      <c r="L32" s="94"/>
      <c r="M32" s="95"/>
      <c r="O32" s="112"/>
      <c r="P32" s="113"/>
      <c r="Q32" s="50"/>
      <c r="R32" s="58"/>
      <c r="S32" s="87"/>
      <c r="T32" s="86"/>
      <c r="U32" s="86"/>
      <c r="V32" s="88"/>
      <c r="W32" s="114"/>
      <c r="X32" s="88"/>
      <c r="Y32" s="58"/>
      <c r="Z32" s="89"/>
      <c r="AA32" s="89"/>
      <c r="AB32" s="37"/>
      <c r="AC32" s="2"/>
    </row>
    <row r="33" s="1" customFormat="1" ht="15" spans="1:29">
      <c r="A33" s="90"/>
      <c r="B33" s="115" t="s">
        <v>58</v>
      </c>
      <c r="C33" s="116"/>
      <c r="D33" s="115" t="s">
        <v>59</v>
      </c>
      <c r="E33" s="117"/>
      <c r="F33" s="115"/>
      <c r="G33" s="118"/>
      <c r="H33" s="115"/>
      <c r="I33" s="116"/>
      <c r="J33" s="119"/>
      <c r="K33" s="118"/>
      <c r="L33" s="115"/>
      <c r="M33" s="116"/>
      <c r="N33" s="120"/>
      <c r="O33" s="112"/>
      <c r="P33" s="113"/>
      <c r="Q33" s="50"/>
      <c r="R33" s="58"/>
      <c r="S33" s="87"/>
      <c r="T33" s="86"/>
      <c r="U33" s="86"/>
      <c r="V33" s="88"/>
      <c r="W33" s="114"/>
      <c r="X33" s="88"/>
      <c r="Y33" s="58"/>
      <c r="Z33" s="89"/>
      <c r="AA33" s="89"/>
      <c r="AB33" s="37"/>
      <c r="AC33" s="2"/>
    </row>
    <row r="34" s="1" customFormat="1" ht="15" spans="1:29">
      <c r="A34" s="90">
        <v>3551.269</v>
      </c>
      <c r="B34" s="121"/>
      <c r="C34" s="121">
        <v>1225</v>
      </c>
      <c r="D34" s="121"/>
      <c r="E34" s="121"/>
      <c r="F34" s="121" t="s">
        <v>102</v>
      </c>
      <c r="G34" s="122"/>
      <c r="H34" s="121"/>
      <c r="I34" s="121"/>
      <c r="J34" s="121"/>
      <c r="K34" s="121"/>
      <c r="L34" s="121"/>
      <c r="M34" s="121"/>
      <c r="N34" s="58"/>
      <c r="O34" s="123"/>
      <c r="P34" s="113"/>
      <c r="Q34" s="57"/>
      <c r="R34" s="102"/>
      <c r="S34" s="103"/>
      <c r="T34" s="101"/>
      <c r="U34" s="101"/>
      <c r="V34" s="104"/>
      <c r="W34" s="124"/>
      <c r="X34" s="104"/>
      <c r="Y34" s="102"/>
      <c r="Z34" s="105"/>
      <c r="AA34" s="105"/>
      <c r="AB34" s="54"/>
      <c r="AC34" s="2"/>
    </row>
    <row r="35" s="1" customFormat="1" ht="15" spans="1:29">
      <c r="A35" s="2"/>
      <c r="B35" s="125"/>
      <c r="C35" s="125"/>
      <c r="D35" s="125"/>
      <c r="E35" s="125"/>
      <c r="F35" s="125"/>
      <c r="G35" s="126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2"/>
    </row>
    <row r="36" s="1" customFormat="1" ht="15" spans="1:29">
      <c r="B36" s="127" t="s">
        <v>103</v>
      </c>
      <c r="D36" s="1" t="s">
        <v>104</v>
      </c>
      <c r="G36" s="5"/>
      <c r="N36" s="58"/>
      <c r="O36" s="35">
        <v>1</v>
      </c>
      <c r="P36" s="58" t="s">
        <v>105</v>
      </c>
      <c r="Q36" s="86">
        <v>2.9822</v>
      </c>
      <c r="R36" s="58" t="s">
        <v>106</v>
      </c>
      <c r="S36" s="58">
        <v>10027</v>
      </c>
      <c r="T36" s="86">
        <v>0</v>
      </c>
      <c r="U36" s="86">
        <v>0</v>
      </c>
      <c r="V36" s="88">
        <v>1</v>
      </c>
      <c r="W36" s="114">
        <v>0</v>
      </c>
      <c r="X36" s="88">
        <v>0.488431876606684</v>
      </c>
      <c r="Y36" s="128">
        <v>0.8</v>
      </c>
      <c r="Z36" s="89">
        <v>0</v>
      </c>
      <c r="AA36" s="89">
        <v>0</v>
      </c>
      <c r="AB36" s="37">
        <v>0.5</v>
      </c>
      <c r="AC36" s="129">
        <f>Q36*$S$36*(1+T36)*(1+U36)*V36*(1+W36)*X36*Y36*(1+Z36)*(1+AA36)*(1+AB36)*O36</f>
        <v>17526.4123989717</v>
      </c>
    </row>
    <row r="37" s="1" customFormat="1" ht="15" spans="1:29">
      <c r="B37" s="130" t="s">
        <v>107</v>
      </c>
      <c r="C37" s="131" t="s">
        <v>108</v>
      </c>
      <c r="D37" s="131" t="s">
        <v>109</v>
      </c>
      <c r="E37" s="131" t="s">
        <v>110</v>
      </c>
      <c r="F37" s="131" t="s">
        <v>111</v>
      </c>
      <c r="G37" s="5"/>
      <c r="N37" s="58"/>
      <c r="O37" s="21">
        <v>1</v>
      </c>
      <c r="P37" s="128" t="s">
        <v>112</v>
      </c>
      <c r="Q37" s="132">
        <v>16</v>
      </c>
      <c r="R37" s="128" t="s">
        <v>113</v>
      </c>
      <c r="S37" s="128">
        <v>10027</v>
      </c>
      <c r="T37" s="132">
        <v>0</v>
      </c>
      <c r="U37" s="132">
        <v>0</v>
      </c>
      <c r="V37" s="133">
        <v>1</v>
      </c>
      <c r="W37" s="134">
        <v>0</v>
      </c>
      <c r="X37" s="133">
        <v>0.488431876606684</v>
      </c>
      <c r="Y37" s="128">
        <v>0.8</v>
      </c>
      <c r="Z37" s="135">
        <v>0</v>
      </c>
      <c r="AA37" s="135">
        <v>0</v>
      </c>
      <c r="AB37" s="135">
        <v>0.1</v>
      </c>
      <c r="AC37" s="129">
        <f>Q37*$S$36*(1+T37)*(1+U37)*V37*(1+W37)*X37*Y37*(1+Z37)*(1+AA37)*(1+AB37)*O37</f>
        <v>68956.8904884319</v>
      </c>
    </row>
    <row r="38" s="1" customFormat="1" ht="15" spans="1:29">
      <c r="B38" s="7" t="s">
        <v>114</v>
      </c>
      <c r="C38" s="136">
        <f>SUM(AC3:AC21)</f>
        <v>1413520.66722041</v>
      </c>
      <c r="D38" s="136">
        <f t="shared" ref="D38:D41" si="27">C38/25</f>
        <v>56540.8266888166</v>
      </c>
      <c r="E38" s="137">
        <v>25</v>
      </c>
      <c r="F38" s="138">
        <f t="shared" ref="F38:F41" si="28">D38/$D$42</f>
        <v>0.513992362816501</v>
      </c>
      <c r="G38" s="5"/>
      <c r="Q38" s="5"/>
      <c r="U38" s="5"/>
      <c r="V38" s="6"/>
      <c r="AB38" s="7"/>
      <c r="AC38" s="2"/>
    </row>
    <row r="39" s="1" customFormat="1" ht="15" spans="1:29">
      <c r="B39" s="7" t="s">
        <v>115</v>
      </c>
      <c r="C39" s="136">
        <f>SUM(AC22:AC34)</f>
        <v>1184407.84362528</v>
      </c>
      <c r="D39" s="136">
        <f t="shared" si="27"/>
        <v>47376.3137450112</v>
      </c>
      <c r="E39" s="139"/>
      <c r="F39" s="138">
        <f t="shared" si="28"/>
        <v>0.430681064805702</v>
      </c>
      <c r="G39" s="5"/>
      <c r="O39" s="67">
        <v>1</v>
      </c>
      <c r="P39" s="140" t="s">
        <v>116</v>
      </c>
      <c r="Q39" s="141">
        <v>2.0279</v>
      </c>
      <c r="R39" s="81" t="s">
        <v>117</v>
      </c>
      <c r="S39" s="82">
        <v>1225</v>
      </c>
      <c r="T39" s="80">
        <v>0.96</v>
      </c>
      <c r="U39" s="80">
        <v>0.4</v>
      </c>
      <c r="V39" s="83">
        <v>1.3752</v>
      </c>
      <c r="W39" s="84">
        <v>0.25</v>
      </c>
      <c r="X39" s="83">
        <v>0.488431876606684</v>
      </c>
      <c r="Y39" s="81">
        <v>0.8</v>
      </c>
      <c r="Z39" s="85">
        <v>0</v>
      </c>
      <c r="AA39" s="85">
        <v>0</v>
      </c>
      <c r="AB39" s="40">
        <v>0</v>
      </c>
      <c r="AC39" s="142">
        <f t="shared" ref="AC39:AC42" si="29">Q39*$C$27*(1+T39)*(1+U39)*V39*(1+W39)*X39*Y39*(1+Z39)*(1+AA39)*(1+AB39)*O39</f>
        <v>2336.0413338509</v>
      </c>
    </row>
    <row r="40" s="1" customFormat="1" ht="15" spans="1:29">
      <c r="B40" s="7" t="s">
        <v>82</v>
      </c>
      <c r="C40" s="136">
        <f>SUM(AC39:AC44)+AC36</f>
        <v>83195.6688880224</v>
      </c>
      <c r="D40" s="136">
        <f t="shared" si="27"/>
        <v>3327.8267555209</v>
      </c>
      <c r="E40" s="143"/>
      <c r="F40" s="138">
        <f t="shared" si="28"/>
        <v>0.0302520786710124</v>
      </c>
      <c r="G40" s="5"/>
      <c r="O40" s="35">
        <v>1</v>
      </c>
      <c r="P40" s="140" t="s">
        <v>118</v>
      </c>
      <c r="Q40" s="50">
        <v>2.7841</v>
      </c>
      <c r="R40" s="58" t="s">
        <v>35</v>
      </c>
      <c r="S40" s="87">
        <v>1225</v>
      </c>
      <c r="T40" s="86">
        <v>0.96</v>
      </c>
      <c r="U40" s="86">
        <v>0.4</v>
      </c>
      <c r="V40" s="88">
        <v>1.3752</v>
      </c>
      <c r="W40" s="114">
        <v>0.25</v>
      </c>
      <c r="X40" s="88">
        <v>0.488431876606684</v>
      </c>
      <c r="Y40" s="58">
        <v>0.8</v>
      </c>
      <c r="Z40" s="89">
        <v>0</v>
      </c>
      <c r="AA40" s="89">
        <v>0</v>
      </c>
      <c r="AB40" s="37">
        <v>0</v>
      </c>
      <c r="AC40" s="142">
        <f t="shared" si="29"/>
        <v>3207.14664311568</v>
      </c>
    </row>
    <row r="41" s="1" customFormat="1" ht="15" spans="1:29">
      <c r="B41" s="7" t="s">
        <v>112</v>
      </c>
      <c r="C41" s="136">
        <f>AC37</f>
        <v>68956.8904884319</v>
      </c>
      <c r="D41" s="136">
        <f t="shared" si="27"/>
        <v>2758.27561953728</v>
      </c>
      <c r="E41" s="143"/>
      <c r="F41" s="138">
        <f t="shared" si="28"/>
        <v>0.0250744937067843</v>
      </c>
      <c r="G41" s="5"/>
      <c r="O41" s="35">
        <v>1</v>
      </c>
      <c r="P41" s="140" t="s">
        <v>119</v>
      </c>
      <c r="Q41" s="50">
        <v>1.5908</v>
      </c>
      <c r="R41" s="58" t="s">
        <v>1</v>
      </c>
      <c r="S41" s="87">
        <v>1225</v>
      </c>
      <c r="T41" s="86">
        <v>0.96</v>
      </c>
      <c r="U41" s="86">
        <v>0.4</v>
      </c>
      <c r="V41" s="88">
        <v>1.3752</v>
      </c>
      <c r="W41" s="114">
        <v>0.25</v>
      </c>
      <c r="X41" s="88">
        <v>0.488431876606684</v>
      </c>
      <c r="Y41" s="58">
        <v>0.8</v>
      </c>
      <c r="Z41" s="89">
        <v>0</v>
      </c>
      <c r="AA41" s="89">
        <v>0</v>
      </c>
      <c r="AB41" s="37">
        <v>0</v>
      </c>
      <c r="AC41" s="142">
        <f t="shared" si="29"/>
        <v>1832.52357310026</v>
      </c>
    </row>
    <row r="42" s="1" customFormat="1" ht="15" spans="1:29">
      <c r="B42" s="7" t="s">
        <v>120</v>
      </c>
      <c r="C42" s="144">
        <f>C38+C39+C40+C41</f>
        <v>2750081.07022215</v>
      </c>
      <c r="D42" s="144">
        <f>C42/E38</f>
        <v>110003.242808886</v>
      </c>
      <c r="E42" s="145"/>
      <c r="F42" s="138"/>
      <c r="G42" s="5"/>
      <c r="O42" s="35">
        <v>1</v>
      </c>
      <c r="P42" s="140" t="s">
        <v>56</v>
      </c>
      <c r="Q42" s="50">
        <v>3.51</v>
      </c>
      <c r="R42" s="58" t="s">
        <v>57</v>
      </c>
      <c r="S42" s="87">
        <v>1225</v>
      </c>
      <c r="T42" s="86">
        <v>0.96</v>
      </c>
      <c r="U42" s="86">
        <v>0.4</v>
      </c>
      <c r="V42" s="88">
        <v>1.3752</v>
      </c>
      <c r="W42" s="114">
        <v>0.25</v>
      </c>
      <c r="X42" s="88">
        <v>0.488431876606684</v>
      </c>
      <c r="Y42" s="58">
        <v>0.8</v>
      </c>
      <c r="Z42" s="89">
        <v>0</v>
      </c>
      <c r="AA42" s="89">
        <v>0</v>
      </c>
      <c r="AB42" s="37">
        <v>0</v>
      </c>
      <c r="AC42" s="142">
        <f t="shared" si="29"/>
        <v>4043.34783856041</v>
      </c>
    </row>
    <row r="43" s="1" customFormat="1" ht="15" spans="1:29">
      <c r="B43" s="7"/>
      <c r="C43" s="7"/>
      <c r="D43" s="7"/>
      <c r="G43" s="5"/>
      <c r="O43" s="35">
        <v>1</v>
      </c>
      <c r="P43" s="140" t="s">
        <v>121</v>
      </c>
      <c r="Q43" s="50">
        <v>5.2233</v>
      </c>
      <c r="R43" s="58" t="s">
        <v>122</v>
      </c>
      <c r="S43" s="87">
        <v>3551.269</v>
      </c>
      <c r="T43" s="86">
        <v>0</v>
      </c>
      <c r="U43" s="86">
        <v>0.572</v>
      </c>
      <c r="V43" s="88">
        <f>I32+1.6</f>
        <v>3.6</v>
      </c>
      <c r="W43" s="114">
        <v>0.25</v>
      </c>
      <c r="X43" s="88">
        <v>0.488431876606684</v>
      </c>
      <c r="Y43" s="58">
        <v>0.8</v>
      </c>
      <c r="Z43" s="89">
        <v>0</v>
      </c>
      <c r="AA43" s="89">
        <v>0</v>
      </c>
      <c r="AB43" s="37">
        <v>0</v>
      </c>
      <c r="AC43" s="142">
        <f>Q43*$A$34*(1+T43)*(1+U43)*V43*(1+W43)*X43*Y43*(1+Z43)*(1+AA43)*(1+AB43)*O43</f>
        <v>51272.8646720635</v>
      </c>
    </row>
    <row r="44" s="1" customFormat="1" ht="15" spans="1:29">
      <c r="B44" s="146" t="s">
        <v>123</v>
      </c>
      <c r="C44" s="147" t="s">
        <v>124</v>
      </c>
      <c r="D44" s="147" t="s">
        <v>125</v>
      </c>
      <c r="E44" s="147"/>
      <c r="F44" s="148"/>
      <c r="G44" s="149"/>
      <c r="O44" s="52">
        <v>1</v>
      </c>
      <c r="P44" s="140" t="s">
        <v>126</v>
      </c>
      <c r="Q44" s="57">
        <v>2.5846</v>
      </c>
      <c r="R44" s="102" t="s">
        <v>1</v>
      </c>
      <c r="S44" s="103">
        <v>1225</v>
      </c>
      <c r="T44" s="101">
        <v>0.96</v>
      </c>
      <c r="U44" s="101">
        <v>0.4</v>
      </c>
      <c r="V44" s="104">
        <v>1.3752</v>
      </c>
      <c r="W44" s="124">
        <v>0.25</v>
      </c>
      <c r="X44" s="104">
        <v>0.488431876606684</v>
      </c>
      <c r="Y44" s="102">
        <v>0.8</v>
      </c>
      <c r="Z44" s="105">
        <v>0</v>
      </c>
      <c r="AA44" s="105">
        <v>0</v>
      </c>
      <c r="AB44" s="54">
        <v>0</v>
      </c>
      <c r="AC44" s="142">
        <f>Q44*$C$27*(1+T44)*(1+U44)*V44*(1+W44)*X44*Y44*(1+Z44)*(1+AA44)*(1+AB44)*O44</f>
        <v>2977.3324283599</v>
      </c>
    </row>
    <row r="45" s="1" customFormat="1" ht="15" spans="1:29">
      <c r="B45" s="150"/>
      <c r="C45" s="151" t="s">
        <v>127</v>
      </c>
      <c r="D45" s="151" t="s">
        <v>128</v>
      </c>
      <c r="E45" s="151"/>
      <c r="F45" s="152"/>
      <c r="G45" s="5"/>
      <c r="Q45" s="5"/>
      <c r="U45" s="5"/>
      <c r="V45" s="6"/>
      <c r="AB45" s="7"/>
      <c r="AC45" s="7"/>
    </row>
    <row r="46" s="1" customFormat="1" spans="1:29">
      <c r="B46" s="153"/>
      <c r="C46" s="153"/>
      <c r="D46" s="153"/>
      <c r="E46" s="153"/>
      <c r="F46" s="153"/>
      <c r="G46" s="5"/>
      <c r="Q46" s="5"/>
      <c r="U46" s="5"/>
      <c r="V46" s="6"/>
      <c r="AB46" s="7"/>
      <c r="AC46" s="7"/>
    </row>
    <row r="47" s="1" customFormat="1" ht="15" spans="1:29">
      <c r="B47" s="154" t="s">
        <v>129</v>
      </c>
      <c r="C47" s="155" t="s">
        <v>130</v>
      </c>
      <c r="D47" s="155" t="s">
        <v>131</v>
      </c>
      <c r="E47" s="81"/>
      <c r="F47" s="156"/>
      <c r="Q47" s="5"/>
      <c r="U47" s="5"/>
      <c r="V47" s="6"/>
      <c r="AB47" s="7"/>
      <c r="AC47" s="7"/>
    </row>
    <row r="48" s="1" customFormat="1" ht="15" spans="1:29">
      <c r="B48" s="157"/>
      <c r="C48" s="143" t="s">
        <v>132</v>
      </c>
      <c r="D48" s="143" t="s">
        <v>133</v>
      </c>
      <c r="F48" s="158"/>
      <c r="G48" s="5"/>
      <c r="Q48" s="5"/>
      <c r="U48" s="5"/>
      <c r="V48" s="6"/>
      <c r="AB48" s="7"/>
      <c r="AC48" s="7"/>
    </row>
    <row r="49" s="1" customFormat="1" ht="15" spans="2:31">
      <c r="B49" s="159"/>
      <c r="C49" s="160" t="s">
        <v>70</v>
      </c>
      <c r="D49" s="160" t="s">
        <v>134</v>
      </c>
      <c r="E49" s="102"/>
      <c r="F49" s="53"/>
      <c r="G49" s="5"/>
      <c r="Q49" s="5"/>
      <c r="U49" s="5"/>
      <c r="V49" s="6"/>
      <c r="AB49" s="7"/>
      <c r="AC49" s="7"/>
    </row>
    <row r="50" s="1" customFormat="1" spans="2:31">
      <c r="B50" s="7"/>
      <c r="C50" s="7"/>
      <c r="D50" s="7"/>
      <c r="F50" s="7"/>
      <c r="G50" s="5"/>
      <c r="Q50" s="5"/>
      <c r="U50" s="5"/>
      <c r="V50" s="6"/>
      <c r="AB50" s="7"/>
      <c r="AC50" s="7"/>
    </row>
    <row r="51" s="1" customFormat="1" spans="2:31">
      <c r="B51" s="7"/>
      <c r="C51" s="7"/>
      <c r="D51" s="7"/>
      <c r="F51" s="7"/>
      <c r="G51" s="5"/>
      <c r="Q51" s="5"/>
      <c r="U51" s="5"/>
      <c r="V51" s="6"/>
      <c r="AB51" s="7"/>
      <c r="AC51" s="7"/>
    </row>
    <row r="52" s="1" customFormat="1" spans="2:31">
      <c r="G52" s="5"/>
      <c r="Q52" s="5"/>
      <c r="U52" s="5"/>
      <c r="V52" s="6"/>
      <c r="AB52" s="7"/>
      <c r="AC52" s="7"/>
    </row>
    <row r="53" s="1" customFormat="1" spans="2:31">
      <c r="B53" s="7"/>
      <c r="C53" s="7"/>
      <c r="D53" s="7"/>
      <c r="F53" s="7"/>
      <c r="G53" s="5"/>
      <c r="Q53" s="5"/>
      <c r="U53" s="5"/>
      <c r="V53" s="6"/>
      <c r="AB53" s="7"/>
      <c r="AC53" s="7"/>
    </row>
    <row r="54" s="1" customFormat="1" spans="2:31">
      <c r="B54" s="7"/>
      <c r="C54" s="7"/>
      <c r="D54" s="7"/>
      <c r="F54" s="7"/>
      <c r="G54" s="5"/>
      <c r="Q54" s="5"/>
      <c r="U54" s="5"/>
      <c r="V54" s="6"/>
      <c r="AB54" s="7"/>
      <c r="AC54" s="7"/>
    </row>
    <row r="55" s="1" customFormat="1" spans="2:31">
      <c r="G55" s="5"/>
      <c r="Q55" s="5"/>
      <c r="U55" s="5"/>
      <c r="V55" s="6"/>
      <c r="AB55" s="7"/>
      <c r="AC55" s="7"/>
    </row>
    <row r="56" s="1" customFormat="1" spans="2:31">
      <c r="B56" s="7"/>
      <c r="C56" s="7"/>
      <c r="D56" s="7"/>
      <c r="F56" s="7"/>
      <c r="G56" s="5"/>
      <c r="Q56" s="5"/>
      <c r="U56" s="5"/>
      <c r="V56" s="6"/>
      <c r="AB56" s="7"/>
      <c r="AC56" s="7"/>
      <c r="AD56" s="2"/>
      <c r="AE56" s="2"/>
    </row>
    <row r="57" s="1" customFormat="1" spans="2:31">
      <c r="B57" s="7"/>
      <c r="C57" s="7"/>
      <c r="D57" s="7"/>
      <c r="G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="2" customFormat="1" spans="2:31">
      <c r="O58" s="1"/>
      <c r="P58" s="1"/>
      <c r="Q58" s="5"/>
      <c r="R58" s="1"/>
      <c r="S58" s="1"/>
      <c r="T58" s="1"/>
      <c r="U58" s="5"/>
      <c r="V58" s="6"/>
      <c r="W58" s="1"/>
      <c r="X58" s="1"/>
      <c r="Y58" s="1"/>
      <c r="Z58" s="1"/>
      <c r="AA58" s="1"/>
      <c r="AB58" s="7"/>
      <c r="AC58" s="7"/>
    </row>
    <row r="59" s="1" customFormat="1" spans="2:31">
      <c r="B59" s="7"/>
      <c r="C59" s="7"/>
      <c r="D59" s="7"/>
      <c r="G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</sheetData>
  <mergeCells count="22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  <mergeCell ref="D36:E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31仇弗10莫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2026-03-15T07:16:23Z</dcterms:created>
  <dcterms:modified xsi:type="dcterms:W3CDTF">2026-03-15T07:17:09Z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4C7E314A64D94E5092E53E438A743A42_11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