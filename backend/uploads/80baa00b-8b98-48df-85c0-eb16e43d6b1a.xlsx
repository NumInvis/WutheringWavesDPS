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60" windowHeight="7250"/>
  </bookViews>
  <sheets>
    <sheet name="01陆" sheetId="1" r:id="rId1"/>
    <sheet name="链" sheetId="2" r:id="rId2"/>
    <sheet name="陆散守" sheetId="3" r:id="rId3"/>
    <sheet name="陆琳守" sheetId="4" r:id="rId4"/>
    <sheet name="00陆散维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<sst xmlns="http://schemas.openxmlformats.org/spreadsheetml/2006/main" count="929" uniqueCount="128">
  <si>
    <t>琳奈</t>
  </si>
  <si>
    <t>动作</t>
  </si>
  <si>
    <t>倍率</t>
  </si>
  <si>
    <t>类型</t>
  </si>
  <si>
    <t>白值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</si>
  <si>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</si>
  <si>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</si>
  <si>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</si>
  <si>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</si>
  <si>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</si>
  <si>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</si>
  <si>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</si>
  <si>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</si>
  <si>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</si>
  <si>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</si>
  <si>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无视防御</t>
  </si>
  <si>
    <t>减防</t>
  </si>
  <si>
    <t>怪物等级</t>
  </si>
  <si>
    <t>攻击</t>
  </si>
  <si>
    <t>暴击</t>
  </si>
  <si>
    <t>暴击伤害</t>
  </si>
  <si>
    <t>10双爆2攻2技</t>
  </si>
  <si>
    <t>变奏</t>
  </si>
  <si>
    <t>bz</t>
  </si>
  <si>
    <t>3C声骸</t>
  </si>
  <si>
    <t>基础</t>
  </si>
  <si>
    <t>全加深</t>
  </si>
  <si>
    <t>大攻击</t>
  </si>
  <si>
    <t>爆炸喷涂</t>
  </si>
  <si>
    <t>r</t>
  </si>
  <si>
    <t>固有和武器</t>
  </si>
  <si>
    <t>首位加成</t>
  </si>
  <si>
    <t>武器</t>
  </si>
  <si>
    <t>声骸</t>
  </si>
  <si>
    <t>声骸加深</t>
  </si>
  <si>
    <t>a伤</t>
  </si>
  <si>
    <t>琳奈式创想</t>
  </si>
  <si>
    <t>e</t>
  </si>
  <si>
    <t>声骸和词条</t>
  </si>
  <si>
    <t>套装效果</t>
  </si>
  <si>
    <t>首位</t>
  </si>
  <si>
    <t>套装</t>
  </si>
  <si>
    <t>共技加深</t>
  </si>
  <si>
    <t>灵感碰撞</t>
  </si>
  <si>
    <t>a</t>
  </si>
  <si>
    <t>自拐</t>
  </si>
  <si>
    <t>其他buff</t>
  </si>
  <si>
    <t>爆伤</t>
  </si>
  <si>
    <t>幻光折跃*3</t>
  </si>
  <si>
    <t>队友buff</t>
  </si>
  <si>
    <t>武器效果</t>
  </si>
  <si>
    <t>守岸人</t>
  </si>
  <si>
    <t>莫宁</t>
  </si>
  <si>
    <t>视觉冲击</t>
  </si>
  <si>
    <t>声骸固定攻击</t>
  </si>
  <si>
    <t>a加成</t>
  </si>
  <si>
    <t>面板暴击率</t>
  </si>
  <si>
    <t>面板暴击伤害</t>
  </si>
  <si>
    <t>加色混合</t>
  </si>
  <si>
    <t>有空一起兜风！</t>
  </si>
  <si>
    <t>yz</t>
  </si>
  <si>
    <t>额外固定攻击</t>
  </si>
  <si>
    <t>海维夏</t>
  </si>
  <si>
    <t>q</t>
  </si>
  <si>
    <t xml:space="preserve">                                                                             </t>
  </si>
  <si>
    <t>陆赫斯</t>
  </si>
  <si>
    <t>自己buff</t>
  </si>
  <si>
    <t>a加深</t>
  </si>
  <si>
    <t>a伤害</t>
  </si>
  <si>
    <t>4C</t>
  </si>
  <si>
    <t>镰刀·裁断a2</t>
  </si>
  <si>
    <t>镰刀·裁断a3</t>
  </si>
  <si>
    <t>斩杀日冕·环</t>
  </si>
  <si>
    <t>抗性</t>
  </si>
  <si>
    <t>空a1</t>
  </si>
  <si>
    <t>20抗90级怪</t>
  </si>
  <si>
    <t>集谐</t>
  </si>
  <si>
    <t>三集谐</t>
  </si>
  <si>
    <t>裸伤</t>
  </si>
  <si>
    <t>dps</t>
  </si>
  <si>
    <t>秒数</t>
  </si>
  <si>
    <t>斩杀日冕·破</t>
  </si>
  <si>
    <t>琳奈本体</t>
  </si>
  <si>
    <t>莫宁本体</t>
  </si>
  <si>
    <t>陆赫斯本体</t>
  </si>
  <si>
    <t>谐度破坏</t>
  </si>
  <si>
    <t>斩杀日冕·曜</t>
  </si>
  <si>
    <t>合计</t>
  </si>
  <si>
    <t>3C</t>
  </si>
  <si>
    <t>3集谐陆单人</t>
  </si>
  <si>
    <t>判决大地裂响</t>
  </si>
  <si>
    <t>双属</t>
  </si>
  <si>
    <t>于永冻中释义</t>
  </si>
  <si>
    <t>一攻一属</t>
  </si>
  <si>
    <t>延奏</t>
  </si>
  <si>
    <t>双攻</t>
  </si>
  <si>
    <t>01陆琳莫</t>
  </si>
  <si>
    <t>队dps</t>
  </si>
  <si>
    <t>一集谐</t>
  </si>
  <si>
    <t>二集谐</t>
  </si>
  <si>
    <t>四集谐</t>
  </si>
  <si>
    <t>平均</t>
  </si>
  <si>
    <t>3集 陆单人</t>
  </si>
  <si>
    <t>精5专武</t>
  </si>
  <si>
    <t>精1专武</t>
  </si>
  <si>
    <t>脉冲协臂</t>
  </si>
  <si>
    <t>精5脉冲</t>
  </si>
  <si>
    <t>阵列爆炸</t>
  </si>
  <si>
    <t>·1</t>
  </si>
  <si>
    <t>01队dps</t>
  </si>
  <si>
    <t>共鸣链提升</t>
  </si>
  <si>
    <t>01</t>
  </si>
  <si>
    <t>V3.1.3</t>
  </si>
  <si>
    <t>散华本体</t>
  </si>
  <si>
    <t>01陆散守</t>
  </si>
  <si>
    <t>01陆散莫</t>
  </si>
  <si>
    <t>四轮平均</t>
  </si>
  <si>
    <t>陆琳莫</t>
  </si>
  <si>
    <t>陆散莫</t>
  </si>
  <si>
    <t>陆散守</t>
  </si>
  <si>
    <t>陆琳守</t>
  </si>
  <si>
    <t>01陆琳守</t>
  </si>
  <si>
    <t>配置</t>
  </si>
  <si>
    <t>相比完整配队</t>
  </si>
  <si>
    <t>陆散维</t>
  </si>
  <si>
    <t>00陆散维</t>
  </si>
  <si>
    <t>01陆</t>
  </si>
  <si>
    <t>00陆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</si>
</sst>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21" applyNumberFormat="0" applyAlignment="0" applyProtection="0">
      <alignment vertical="center"/>
    </xf>
    <xf numFmtId="0" fontId="16" fillId="12" borderId="22" applyNumberFormat="0" applyAlignment="0" applyProtection="0">
      <alignment vertical="center"/>
    </xf>
    <xf numFmtId="0" fontId="17" fillId="12" borderId="21" applyNumberFormat="0" applyAlignment="0" applyProtection="0">
      <alignment vertical="center"/>
    </xf>
    <xf numFmtId="0" fontId="18" fillId="13" borderId="23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0" fillId="0" borderId="0" xfId="0" applyFill="1" applyAlignment="1"/>
    <xf numFmtId="10" fontId="0" fillId="0" borderId="0" xfId="0" applyNumberFormat="1" applyFill="1" applyAlignment="1"/>
    <xf numFmtId="176" fontId="0" fillId="0" borderId="0" xfId="0" applyNumberFormat="1" applyFill="1" applyAlignment="1"/>
    <xf numFmtId="177" fontId="0" fillId="0" borderId="0" xfId="0" applyNumberFormat="1" applyFill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7" fontId="0" fillId="3" borderId="3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5" borderId="0" xfId="0" applyNumberFormat="1" applyFont="1" applyFill="1" applyBorder="1" applyAlignment="1" applyProtection="1">
      <alignment horizontal="center" vertical="center"/>
    </xf>
    <xf numFmtId="9" fontId="0" fillId="5" borderId="0" xfId="0" applyNumberFormat="1" applyFill="1" applyAlignment="1">
      <alignment horizontal="center" vertical="center"/>
    </xf>
    <xf numFmtId="177" fontId="0" fillId="5" borderId="7" xfId="0" applyNumberFormat="1" applyFill="1" applyBorder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9" fontId="0" fillId="0" borderId="9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179" fontId="0" fillId="0" borderId="9" xfId="0" applyNumberFormat="1" applyFill="1" applyBorder="1" applyAlignment="1">
      <alignment horizontal="center" vertical="center"/>
    </xf>
    <xf numFmtId="9" fontId="0" fillId="0" borderId="9" xfId="0" applyNumberFormat="1" applyFont="1" applyFill="1" applyBorder="1" applyAlignment="1" applyProtection="1">
      <alignment horizontal="center" vertical="center"/>
    </xf>
    <xf numFmtId="9" fontId="2" fillId="0" borderId="9" xfId="0" applyNumberFormat="1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9" fontId="0" fillId="6" borderId="9" xfId="0" applyNumberForma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0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9" fontId="0" fillId="0" borderId="4" xfId="0" applyNumberFormat="1" applyFill="1" applyBorder="1" applyAlignment="1">
      <alignment horizontal="center" vertical="center"/>
    </xf>
    <xf numFmtId="9" fontId="0" fillId="0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77" fontId="0" fillId="2" borderId="7" xfId="0" applyNumberFormat="1" applyFill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/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9" fontId="0" fillId="0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77" fontId="5" fillId="0" borderId="0" xfId="0" applyNumberFormat="1" applyFont="1" applyFill="1" applyAlignment="1">
      <alignment horizontal="left" vertical="top"/>
    </xf>
    <xf numFmtId="177" fontId="0" fillId="0" borderId="0" xfId="0" applyNumberFormat="1">
      <alignment vertical="center"/>
    </xf>
    <xf numFmtId="177" fontId="0" fillId="0" borderId="0" xfId="0" applyNumberFormat="1" applyFill="1" applyAlignment="1"/>
    <xf numFmtId="0" fontId="5" fillId="2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77" fontId="0" fillId="0" borderId="0" xfId="0" applyNumberFormat="1" applyFill="1" applyAlignment="1">
      <alignment vertical="center"/>
    </xf>
    <xf numFmtId="0" fontId="0" fillId="0" borderId="0" xfId="0" applyNumberFormat="1" applyFont="1" applyFill="1" applyBorder="1" applyAlignment="1" applyProtection="1"/>
    <xf numFmtId="177" fontId="5" fillId="0" borderId="0" xfId="0" applyNumberFormat="1" applyFont="1" applyFill="1" applyAlignment="1">
      <alignment horizontal="left" vertical="center"/>
    </xf>
    <xf numFmtId="10" fontId="5" fillId="2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9" fontId="5" fillId="0" borderId="0" xfId="0" applyNumberFormat="1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0" fontId="6" fillId="9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0" borderId="0" xfId="0" applyFont="1" applyFill="1" applyAlignment="1">
      <alignment horizontal="left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177" fontId="6" fillId="0" borderId="0" xfId="0" applyNumberFormat="1" applyFont="1" applyFill="1" applyAlignment="1">
      <alignment horizontal="left" vertical="top"/>
    </xf>
    <xf numFmtId="10" fontId="6" fillId="0" borderId="0" xfId="0" applyNumberFormat="1" applyFont="1" applyFill="1" applyAlignment="1">
      <alignment horizontal="left" vertical="top"/>
    </xf>
    <xf numFmtId="0" fontId="5" fillId="2" borderId="0" xfId="0" applyFont="1" applyFill="1" applyAlignment="1" quotePrefix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400"/>
              <a:t>三集谐</a:t>
            </a:r>
            <a:r>
              <a:rPr lang="en-US" altLang="zh-CN" sz="1400"/>
              <a:t> </a:t>
            </a:r>
            <a:r>
              <a:rPr altLang="en-US" sz="1400"/>
              <a:t>陆琳莫</a:t>
            </a:r>
            <a:endParaRPr altLang="en-US" sz="1400"/>
          </a:p>
          <a:p>
            <a:pPr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400"/>
              <a:t>一轮一破</a:t>
            </a:r>
            <a:endParaRPr lang="en-US" altLang="en-US" sz="1400"/>
          </a:p>
        </c:rich>
      </c:tx>
      <c:layout>
        <c:manualLayout>
          <c:xMode val="edge"/>
          <c:yMode val="edge"/>
          <c:x val="0.148521916411825"/>
          <c:y val="0.0800821355236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'01陆'!$C$26</c:f>
              <c:strCache>
                <c:ptCount val="1"/>
                <c:pt idx="0">
                  <c:v>裸伤</c:v>
                </c:pt>
              </c:strCache>
            </c:strRef>
          </c:tx>
          <c:spPr/>
          <c:explosion val="0"/>
          <c:dPt>
            <c:idx val="0"/>
            <c:bubble3D val="0"/>
            <c:explosion val="1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0"/>
                  <c:y val="0.0020533880903490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4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5178389398573"/>
                      <c:h val="0.167967145790554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0316004077471967"/>
                  <c:y val="0.014373716632443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4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73394495412844"/>
                  <c:y val="-0.012320328542094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4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4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4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'01陆'!$B$27:$B$30</c:f>
              <c:strCache>
                <c:ptCount val="4"/>
                <c:pt idx="0" c:formatCode="0_ ">
                  <c:v>琳奈本体</c:v>
                </c:pt>
                <c:pt idx="1" c:formatCode="0_ ">
                  <c:v>莫宁本体</c:v>
                </c:pt>
                <c:pt idx="2" c:formatCode="0_ ">
                  <c:v>陆赫斯本体</c:v>
                </c:pt>
                <c:pt idx="3" c:formatCode="0_ ">
                  <c:v>谐度破坏</c:v>
                </c:pt>
              </c:strCache>
            </c:strRef>
          </c:cat>
          <c:val>
            <c:numRef>
              <c:f>'01陆'!$C$27:$C$30</c:f>
              <c:numCache>
                <c:formatCode>0_ </c:formatCode>
                <c:ptCount val="4"/>
                <c:pt idx="0">
                  <c:v>415090.256987218</c:v>
                </c:pt>
                <c:pt idx="1">
                  <c:v>78084.14</c:v>
                </c:pt>
                <c:pt idx="2">
                  <c:v>1483848.11437872</c:v>
                </c:pt>
                <c:pt idx="3">
                  <c:v>113071.830188679</c:v>
                </c:pt>
              </c:numCache>
            </c:numRef>
          </c:val>
        </c:ser>
        <c:ser>
          <c:idx val="1"/>
          <c:order val="1"/>
          <c:tx>
            <c:strRef>
              <c:f>'01陆'!$D$26</c:f>
              <c:strCache>
                <c:ptCount val="1"/>
                <c:pt idx="0">
                  <c:v>dps</c:v>
                </c:pt>
              </c:strCache>
            </c:strRef>
          </c:tx>
          <c:spPr/>
          <c:explosion val="0"/>
          <c:dPt>
            <c:idx val="0"/>
            <c:bubble3D val="0"/>
            <c:explosion val="1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'01陆'!$B$27:$B$30</c:f>
              <c:strCache>
                <c:ptCount val="4"/>
                <c:pt idx="0" c:formatCode="0_ ">
                  <c:v>琳奈本体</c:v>
                </c:pt>
                <c:pt idx="1" c:formatCode="0_ ">
                  <c:v>莫宁本体</c:v>
                </c:pt>
                <c:pt idx="2" c:formatCode="0_ ">
                  <c:v>陆赫斯本体</c:v>
                </c:pt>
                <c:pt idx="3" c:formatCode="0_ ">
                  <c:v>谐度破坏</c:v>
                </c:pt>
              </c:strCache>
            </c:strRef>
          </c:cat>
          <c:val>
            <c:numRef>
              <c:f>'01陆'!$D$27:$D$30</c:f>
              <c:numCache>
                <c:formatCode>0_ </c:formatCode>
                <c:ptCount val="4"/>
                <c:pt idx="0">
                  <c:v>16603.6102794887</c:v>
                </c:pt>
                <c:pt idx="1">
                  <c:v>3123.3656</c:v>
                </c:pt>
                <c:pt idx="2">
                  <c:v>59353.9245751487</c:v>
                </c:pt>
                <c:pt idx="3">
                  <c:v>4522.87320754717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709d936-bebd-4ebe-ab1c-de97642a6b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400"/>
              <a:t>三集谐</a:t>
            </a:r>
            <a:r>
              <a:rPr lang="en-US" altLang="zh-CN" sz="1400"/>
              <a:t> </a:t>
            </a:r>
            <a:r>
              <a:rPr altLang="en-US" sz="1400"/>
              <a:t>陆琳莫</a:t>
            </a:r>
            <a:endParaRPr altLang="en-US" sz="1400"/>
          </a:p>
          <a:p>
            <a:pPr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400"/>
              <a:t>一轮一破</a:t>
            </a:r>
            <a:endParaRPr lang="en-US" altLang="en-US" sz="1400"/>
          </a:p>
        </c:rich>
      </c:tx>
      <c:layout>
        <c:manualLayout>
          <c:xMode val="edge"/>
          <c:yMode val="edge"/>
          <c:x val="0.148521916411825"/>
          <c:y val="0.0800821355236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'01陆'!$C$26</c:f>
              <c:strCache>
                <c:ptCount val="1"/>
                <c:pt idx="0">
                  <c:v>裸伤</c:v>
                </c:pt>
              </c:strCache>
            </c:strRef>
          </c:tx>
          <c:spPr/>
          <c:explosion val="0"/>
          <c:dPt>
            <c:idx val="0"/>
            <c:bubble3D val="0"/>
            <c:explosion val="1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0"/>
                  <c:y val="0.0020533880903490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4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5178389398573"/>
                      <c:h val="0.167967145790554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0316004077471967"/>
                  <c:y val="0.014373716632443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4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73394495412844"/>
                  <c:y val="-0.012320328542094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4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4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4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'01陆'!$B$27:$B$30</c:f>
              <c:strCache>
                <c:ptCount val="4"/>
                <c:pt idx="0" c:formatCode="0_ ">
                  <c:v>琳奈本体</c:v>
                </c:pt>
                <c:pt idx="1" c:formatCode="0_ ">
                  <c:v>莫宁本体</c:v>
                </c:pt>
                <c:pt idx="2" c:formatCode="0_ ">
                  <c:v>陆赫斯本体</c:v>
                </c:pt>
                <c:pt idx="3" c:formatCode="0_ ">
                  <c:v>谐度破坏</c:v>
                </c:pt>
              </c:strCache>
            </c:strRef>
          </c:cat>
          <c:val>
            <c:numRef>
              <c:f>'01陆'!$C$27:$C$30</c:f>
              <c:numCache>
                <c:formatCode>0_ </c:formatCode>
                <c:ptCount val="4"/>
                <c:pt idx="0">
                  <c:v>415090.256987218</c:v>
                </c:pt>
                <c:pt idx="1">
                  <c:v>78084.14</c:v>
                </c:pt>
                <c:pt idx="2">
                  <c:v>1483848.11437872</c:v>
                </c:pt>
                <c:pt idx="3">
                  <c:v>113071.830188679</c:v>
                </c:pt>
              </c:numCache>
            </c:numRef>
          </c:val>
        </c:ser>
        <c:ser>
          <c:idx val="1"/>
          <c:order val="1"/>
          <c:tx>
            <c:strRef>
              <c:f>'01陆'!$D$26</c:f>
              <c:strCache>
                <c:ptCount val="1"/>
                <c:pt idx="0">
                  <c:v>dps</c:v>
                </c:pt>
              </c:strCache>
            </c:strRef>
          </c:tx>
          <c:spPr/>
          <c:explosion val="0"/>
          <c:dPt>
            <c:idx val="0"/>
            <c:bubble3D val="0"/>
            <c:explosion val="1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'01陆'!$B$27:$B$30</c:f>
              <c:strCache>
                <c:ptCount val="4"/>
                <c:pt idx="0" c:formatCode="0_ ">
                  <c:v>琳奈本体</c:v>
                </c:pt>
                <c:pt idx="1" c:formatCode="0_ ">
                  <c:v>莫宁本体</c:v>
                </c:pt>
                <c:pt idx="2" c:formatCode="0_ ">
                  <c:v>陆赫斯本体</c:v>
                </c:pt>
                <c:pt idx="3" c:formatCode="0_ ">
                  <c:v>谐度破坏</c:v>
                </c:pt>
              </c:strCache>
            </c:strRef>
          </c:cat>
          <c:val>
            <c:numRef>
              <c:f>'01陆'!$D$27:$D$30</c:f>
              <c:numCache>
                <c:formatCode>0_ </c:formatCode>
                <c:ptCount val="4"/>
                <c:pt idx="0">
                  <c:v>16603.6102794887</c:v>
                </c:pt>
                <c:pt idx="1">
                  <c:v>3123.3656</c:v>
                </c:pt>
                <c:pt idx="2">
                  <c:v>59353.9245751487</c:v>
                </c:pt>
                <c:pt idx="3">
                  <c:v>4522.87320754717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709d936-bebd-4ebe-ab1c-de97642a6b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325120</xdr:colOff>
      <xdr:row>41</xdr:row>
      <xdr:rowOff>25400</xdr:rowOff>
    </xdr:from>
    <xdr:to>
      <xdr:col>10</xdr:col>
      <xdr:colOff>149860</xdr:colOff>
      <xdr:row>57</xdr:row>
      <xdr:rowOff>120650</xdr:rowOff>
    </xdr:to>
    <xdr:graphicFrame>
      <xdr:nvGraphicFramePr>
        <xdr:cNvPr id="4" name="图表 3" descr="7b0a202020202263686172745265734964223a20223530303731333035220a7d0a"/>
        <xdr:cNvGraphicFramePr/>
      </xdr:nvGraphicFramePr>
      <xdr:xfrm>
        <a:off x="1002030" y="7794625"/>
        <a:ext cx="6231890" cy="3092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325120</xdr:colOff>
      <xdr:row>41</xdr:row>
      <xdr:rowOff>25400</xdr:rowOff>
    </xdr:from>
    <xdr:to>
      <xdr:col>10</xdr:col>
      <xdr:colOff>149860</xdr:colOff>
      <xdr:row>57</xdr:row>
      <xdr:rowOff>120650</xdr:rowOff>
    </xdr:to>
    <xdr:graphicFrame>
      <xdr:nvGraphicFramePr>
        <xdr:cNvPr id="2" name="图表 1" descr="7b0a202020202263686172745265734964223a20223530303731333035220a7d0a"/>
        <xdr:cNvGraphicFramePr/>
      </xdr:nvGraphicFramePr>
      <xdr:xfrm>
        <a:off x="1002030" y="7969250"/>
        <a:ext cx="6231890" cy="358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abSelected="1" topLeftCell="A13" workbookViewId="0">
      <selection activeCell="G25" sqref="G25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9.54545454545454" style="1" customWidth="1"/>
    <col min="7" max="7" width="12.9090909090909" style="2" customWidth="1"/>
    <col min="8" max="8" width="7.54545454545455" style="1" customWidth="1"/>
    <col min="9" max="9" width="8.92727272727273" style="1" customWidth="1"/>
    <col min="10" max="10" width="12.1818181818182" style="1" customWidth="1"/>
    <col min="11" max="11" width="9.36363636363636" style="1" customWidth="1"/>
    <col min="12" max="12" width="10.3090909090909" style="1" customWidth="1"/>
    <col min="13" max="13" width="12.1818181818182" style="1" customWidth="1"/>
    <col min="14" max="14" width="15.0909090909091" style="1" customWidth="1"/>
    <col min="15" max="15" width="10.7272727272727" style="1" customWidth="1"/>
    <col min="16" max="16" width="16.2727272727273" style="1" customWidth="1"/>
    <col min="17" max="17" width="9.54545454545454" style="2" customWidth="1"/>
    <col min="18" max="18" width="5.54545454545455" style="1" customWidth="1"/>
    <col min="19" max="19" width="6.54545454545455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3" width="7.54545454545455" style="1" customWidth="1"/>
    <col min="24" max="24" width="8.54545454545454" style="1" customWidth="1"/>
    <col min="25" max="25" width="7.54545454545455" style="1" customWidth="1"/>
    <col min="26" max="26" width="9.54545454545454" style="1" customWidth="1"/>
    <col min="27" max="27" width="7.54545454545455" style="1" customWidth="1"/>
    <col min="28" max="28" width="9.54545454545454" style="4" customWidth="1"/>
    <col min="29" max="29" width="8.54545454545454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1.68544755970924</v>
      </c>
      <c r="U3" s="18">
        <f>SUM($E$4:$E$8)</f>
        <v>1.38</v>
      </c>
      <c r="V3" s="20">
        <f t="shared" ref="V3:V11" si="2">1+$G$9*($I$9-1)</f>
        <v>2.5171</v>
      </c>
      <c r="W3" s="21">
        <f t="shared" ref="W3:W11" si="3">$K$4</f>
        <v>0.25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f>AE$26</f>
        <v>0.18</v>
      </c>
      <c r="AC3" s="23">
        <f t="shared" ref="AC3:AC11" si="5">Q3*S3*(1+T3)*(1+U3)*V3*(1+W3)*X3*Y3*(1+Z3)*(1+AA3)*(1+AB3)</f>
        <v>20602.1761025395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0.3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f>25%</f>
        <v>0.25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1.68544755970924</v>
      </c>
      <c r="U4" s="18">
        <f t="shared" ref="U4:U11" si="6">SUM($E$4:$E$8)</f>
        <v>1.38</v>
      </c>
      <c r="V4" s="20">
        <f t="shared" si="2"/>
        <v>2.5171</v>
      </c>
      <c r="W4" s="21">
        <f t="shared" si="3"/>
        <v>0.25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f t="shared" ref="AB4:AB11" si="7">AE$26</f>
        <v>0.18</v>
      </c>
      <c r="AC4" s="23">
        <f t="shared" si="5"/>
        <v>80172.5251534766</v>
      </c>
      <c r="AD4" s="13">
        <v>10</v>
      </c>
      <c r="AE4" s="13">
        <v>0</v>
      </c>
      <c r="AF4" s="14">
        <f t="shared" ref="AF4:AF8" si="8">1520/(1520+(792+8*AG4)*(1-AE4/100)*(1-AD4/100))</f>
        <v>0.527631213551791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1.68544755970924</v>
      </c>
      <c r="U5" s="18">
        <f t="shared" si="6"/>
        <v>1.38</v>
      </c>
      <c r="V5" s="20">
        <f t="shared" si="2"/>
        <v>2.5171</v>
      </c>
      <c r="W5" s="21">
        <f t="shared" si="3"/>
        <v>0.25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f t="shared" si="7"/>
        <v>0.18</v>
      </c>
      <c r="AC5" s="23">
        <f t="shared" si="5"/>
        <v>25535.5174708656</v>
      </c>
      <c r="AD5" s="13">
        <v>52</v>
      </c>
      <c r="AE5" s="13">
        <v>0</v>
      </c>
      <c r="AF5" s="14">
        <f t="shared" si="8"/>
        <v>0.676831005984611</v>
      </c>
      <c r="AG5" s="24">
        <v>90</v>
      </c>
    </row>
    <row r="6" s="1" customFormat="1" spans="2:33">
      <c r="B6" s="25" t="s">
        <v>38</v>
      </c>
      <c r="C6" s="27">
        <f>18%+18%+M4+30%</f>
        <v>0.832</v>
      </c>
      <c r="D6" s="25" t="s">
        <v>39</v>
      </c>
      <c r="E6" s="27">
        <f>10%+10%</f>
        <v>0.2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1.68544755970924</v>
      </c>
      <c r="U6" s="18">
        <f t="shared" ref="U6:U8" si="9">SUM($E$4:$E$9)</f>
        <v>1.912</v>
      </c>
      <c r="V6" s="20">
        <f t="shared" si="2"/>
        <v>2.5171</v>
      </c>
      <c r="W6" s="21">
        <f t="shared" si="3"/>
        <v>0.25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f t="shared" si="7"/>
        <v>0.18</v>
      </c>
      <c r="AC6" s="23">
        <f t="shared" si="5"/>
        <v>62296.288223508</v>
      </c>
      <c r="AD6" s="13">
        <v>0</v>
      </c>
      <c r="AE6" s="13">
        <v>0</v>
      </c>
      <c r="AF6" s="14">
        <f t="shared" si="8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f>24%+40%</f>
        <v>0.64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1.68544755970924</v>
      </c>
      <c r="U7" s="18">
        <f t="shared" si="9"/>
        <v>1.912</v>
      </c>
      <c r="V7" s="20">
        <f t="shared" si="2"/>
        <v>2.5171</v>
      </c>
      <c r="W7" s="21">
        <f t="shared" si="3"/>
        <v>0.25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f t="shared" si="7"/>
        <v>0.18</v>
      </c>
      <c r="AC7" s="23">
        <f t="shared" si="5"/>
        <v>34491.9329281285</v>
      </c>
      <c r="AD7" s="13">
        <v>0</v>
      </c>
      <c r="AE7" s="13">
        <v>0</v>
      </c>
      <c r="AF7" s="14">
        <f t="shared" si="8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52</v>
      </c>
      <c r="I8" s="28">
        <v>0.2</v>
      </c>
      <c r="J8" s="30"/>
      <c r="K8" s="28"/>
      <c r="L8" s="25"/>
      <c r="M8" s="26"/>
      <c r="N8" s="6"/>
      <c r="P8" s="17" t="s">
        <v>53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1.68544755970924</v>
      </c>
      <c r="U8" s="18">
        <f t="shared" si="9"/>
        <v>1.912</v>
      </c>
      <c r="V8" s="20">
        <f t="shared" si="2"/>
        <v>2.5171</v>
      </c>
      <c r="W8" s="21">
        <f t="shared" si="3"/>
        <v>0.25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f t="shared" si="7"/>
        <v>0.18</v>
      </c>
      <c r="AC8" s="23">
        <f t="shared" si="5"/>
        <v>136433.760183071</v>
      </c>
      <c r="AD8" s="13">
        <v>0</v>
      </c>
      <c r="AE8" s="13">
        <v>36</v>
      </c>
      <c r="AF8" s="14">
        <f t="shared" si="8"/>
        <v>0.611011062516079</v>
      </c>
      <c r="AG8" s="24">
        <v>90</v>
      </c>
    </row>
    <row r="9" s="1" customFormat="1" spans="2:33">
      <c r="B9" s="25" t="s">
        <v>54</v>
      </c>
      <c r="C9" s="26">
        <v>350</v>
      </c>
      <c r="D9" s="25" t="s">
        <v>55</v>
      </c>
      <c r="E9" s="33">
        <f>36%+M5</f>
        <v>0.532</v>
      </c>
      <c r="F9" s="34" t="s">
        <v>56</v>
      </c>
      <c r="G9" s="35">
        <f>MIN(100%,SUM(G4:G8))</f>
        <v>0.778</v>
      </c>
      <c r="H9" s="34" t="s">
        <v>57</v>
      </c>
      <c r="I9" s="36">
        <f>SUM(I4:I8)</f>
        <v>2.95</v>
      </c>
      <c r="J9" s="30"/>
      <c r="K9" s="28"/>
      <c r="L9" s="25"/>
      <c r="M9" s="26"/>
      <c r="N9" s="6"/>
      <c r="P9" s="37" t="s">
        <v>58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1.68544755970924</v>
      </c>
      <c r="U9" s="18">
        <f t="shared" si="6"/>
        <v>1.38</v>
      </c>
      <c r="V9" s="20">
        <f t="shared" si="2"/>
        <v>2.5171</v>
      </c>
      <c r="W9" s="21">
        <f t="shared" si="3"/>
        <v>0.25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f t="shared" si="7"/>
        <v>0.18</v>
      </c>
      <c r="AC9" s="23">
        <f t="shared" si="5"/>
        <v>21318.8532249677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59</v>
      </c>
      <c r="Q10" s="18">
        <v>1</v>
      </c>
      <c r="R10" s="19" t="s">
        <v>60</v>
      </c>
      <c r="S10" s="19">
        <f t="shared" si="0"/>
        <v>963</v>
      </c>
      <c r="T10" s="18">
        <f t="shared" si="1"/>
        <v>1.68544755970924</v>
      </c>
      <c r="U10" s="18">
        <f t="shared" si="6"/>
        <v>1.38</v>
      </c>
      <c r="V10" s="20">
        <f t="shared" si="2"/>
        <v>2.5171</v>
      </c>
      <c r="W10" s="21">
        <f t="shared" si="3"/>
        <v>0.25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f t="shared" si="7"/>
        <v>0.18</v>
      </c>
      <c r="AC10" s="23">
        <f t="shared" si="5"/>
        <v>9164.66908475956</v>
      </c>
    </row>
    <row r="11" s="1" customFormat="1" spans="2:33">
      <c r="B11" s="40" t="s">
        <v>61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62</v>
      </c>
      <c r="Q11" s="18">
        <f>27.36%*10</f>
        <v>2.736</v>
      </c>
      <c r="R11" s="19" t="s">
        <v>63</v>
      </c>
      <c r="S11" s="19">
        <f t="shared" si="0"/>
        <v>963</v>
      </c>
      <c r="T11" s="18">
        <f t="shared" si="1"/>
        <v>1.68544755970924</v>
      </c>
      <c r="U11" s="18">
        <f t="shared" si="6"/>
        <v>1.38</v>
      </c>
      <c r="V11" s="20">
        <f t="shared" si="2"/>
        <v>2.5171</v>
      </c>
      <c r="W11" s="21">
        <f t="shared" si="3"/>
        <v>0.25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f t="shared" si="7"/>
        <v>0.18</v>
      </c>
      <c r="AC11" s="23">
        <f t="shared" si="5"/>
        <v>25074.5346159022</v>
      </c>
    </row>
    <row r="12" s="1" customFormat="1" spans="2:33">
      <c r="B12" s="6"/>
      <c r="C12" s="6"/>
      <c r="D12" s="6"/>
      <c r="E12" s="6"/>
      <c r="F12" s="6" t="s">
        <v>64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5" customHeight="1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/>
      <c r="Q14" s="18"/>
      <c r="R14" s="19"/>
      <c r="S14" s="19"/>
      <c r="T14" s="18"/>
      <c r="U14" s="18"/>
      <c r="V14" s="20"/>
      <c r="W14" s="21"/>
      <c r="X14" s="20"/>
      <c r="Y14" s="19"/>
      <c r="Z14" s="22"/>
      <c r="AA14" s="22"/>
      <c r="AB14" s="22"/>
      <c r="AC14" s="23"/>
    </row>
    <row r="15" s="1" customFormat="1" ht="15" spans="2:33">
      <c r="B15" s="46" t="s">
        <v>65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/>
      <c r="Q15" s="18"/>
      <c r="R15" s="19"/>
      <c r="S15" s="19"/>
      <c r="T15" s="18"/>
      <c r="U15" s="18"/>
      <c r="V15" s="20"/>
      <c r="W15" s="21"/>
      <c r="X15" s="20"/>
      <c r="Y15" s="19"/>
      <c r="Z15" s="22"/>
      <c r="AA15" s="22"/>
      <c r="AB15" s="22"/>
      <c r="AC15" s="23"/>
    </row>
    <row r="16" s="1" customFormat="1" spans="2:33">
      <c r="B16" s="49" t="s">
        <v>18</v>
      </c>
      <c r="C16" s="50"/>
      <c r="D16" s="49" t="s">
        <v>6</v>
      </c>
      <c r="E16" s="50"/>
      <c r="F16" s="49" t="s">
        <v>19</v>
      </c>
      <c r="G16" s="50"/>
      <c r="H16" s="49" t="s">
        <v>20</v>
      </c>
      <c r="I16" s="50"/>
      <c r="J16" s="51" t="s">
        <v>8</v>
      </c>
      <c r="K16" s="51"/>
      <c r="L16" s="49" t="s">
        <v>21</v>
      </c>
      <c r="M16" s="50"/>
      <c r="N16" s="6"/>
      <c r="P16" s="17"/>
      <c r="Q16" s="18"/>
      <c r="R16" s="19"/>
      <c r="S16" s="19"/>
      <c r="T16" s="18"/>
      <c r="U16" s="18"/>
      <c r="V16" s="20"/>
      <c r="W16" s="21"/>
      <c r="X16" s="20"/>
      <c r="Y16" s="19"/>
      <c r="Z16" s="22"/>
      <c r="AA16" s="22"/>
      <c r="AB16" s="22"/>
      <c r="AC16" s="23"/>
    </row>
    <row r="17" s="1" customFormat="1" spans="2:31">
      <c r="B17" s="25" t="s">
        <v>4</v>
      </c>
      <c r="C17" s="26">
        <f>463+587</f>
        <v>1050</v>
      </c>
      <c r="D17" s="25" t="s">
        <v>24</v>
      </c>
      <c r="E17" s="32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2" t="s">
        <v>26</v>
      </c>
      <c r="K17" s="53">
        <v>0.65</v>
      </c>
      <c r="L17" s="25" t="s">
        <v>27</v>
      </c>
      <c r="M17" s="28">
        <f>8.6%*2</f>
        <v>0.172</v>
      </c>
      <c r="N17" s="6"/>
      <c r="P17" s="17"/>
      <c r="Q17" s="18"/>
      <c r="R17" s="19"/>
      <c r="S17" s="19"/>
      <c r="T17" s="18"/>
      <c r="U17" s="18"/>
      <c r="V17" s="20"/>
      <c r="W17" s="21"/>
      <c r="X17" s="20"/>
      <c r="Y17" s="19"/>
      <c r="Z17" s="22"/>
      <c r="AA17" s="22"/>
      <c r="AB17" s="22"/>
      <c r="AC17" s="23"/>
    </row>
    <row r="18" s="1" customFormat="1" spans="2:31">
      <c r="B18" s="25" t="s">
        <v>30</v>
      </c>
      <c r="C18" s="27">
        <v>0.24</v>
      </c>
      <c r="D18" s="25" t="s">
        <v>66</v>
      </c>
      <c r="E18" s="27">
        <v>0.12</v>
      </c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67</v>
      </c>
      <c r="K18" s="28">
        <v>0.2</v>
      </c>
      <c r="L18" s="25" t="s">
        <v>68</v>
      </c>
      <c r="M18" s="28">
        <f>8.6%*2</f>
        <v>0.172</v>
      </c>
      <c r="N18" s="6"/>
      <c r="P18" s="54" t="s">
        <v>63</v>
      </c>
      <c r="Q18" s="55">
        <v>1.6102</v>
      </c>
      <c r="R18" s="56" t="s">
        <v>63</v>
      </c>
      <c r="S18" s="56">
        <f t="shared" ref="S18:S23" si="10">$C$17</f>
        <v>1050</v>
      </c>
      <c r="T18" s="55">
        <f t="shared" ref="T18:T23" si="11">($C$18+$C$19+$C$20+$C$21)+($C$22+$C$23)/S18</f>
        <v>2.20533333333333</v>
      </c>
      <c r="U18" s="55">
        <f>SUM($E$17:$E$21)+60%</f>
        <v>2.6</v>
      </c>
      <c r="V18" s="57">
        <f t="shared" ref="V18:V23" si="12">1+$G$22*($I$22-1)</f>
        <v>2.5171</v>
      </c>
      <c r="W18" s="58">
        <f t="shared" ref="W18:W21" si="13">$K$17</f>
        <v>0.65</v>
      </c>
      <c r="X18" s="57">
        <f t="shared" ref="X18:X23" si="14">$AF$4</f>
        <v>0.527631213551791</v>
      </c>
      <c r="Y18" s="56">
        <v>0.8</v>
      </c>
      <c r="Z18" s="59">
        <v>0</v>
      </c>
      <c r="AA18" s="59">
        <v>0</v>
      </c>
      <c r="AB18" s="59">
        <f t="shared" ref="AB18:AB23" si="15">AE$26</f>
        <v>0.18</v>
      </c>
      <c r="AC18" s="60">
        <f>Q18*S18*(1+T18)*(1+U18)*V18*(1+W18)*X18*Y18*(1+Z18)*(1+AA18)*(1+AB18)</f>
        <v>40358.1927171292</v>
      </c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0.4</v>
      </c>
      <c r="F19" s="25" t="s">
        <v>41</v>
      </c>
      <c r="G19" s="28"/>
      <c r="H19" s="25" t="s">
        <v>69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54" t="s">
        <v>22</v>
      </c>
      <c r="Q19" s="55">
        <f>72.67%*3</f>
        <v>2.1801</v>
      </c>
      <c r="R19" s="56" t="s">
        <v>23</v>
      </c>
      <c r="S19" s="56">
        <f t="shared" si="10"/>
        <v>1050</v>
      </c>
      <c r="T19" s="55">
        <f t="shared" si="11"/>
        <v>2.20533333333333</v>
      </c>
      <c r="U19" s="55">
        <f>SUM($E$17:$E$21)</f>
        <v>2</v>
      </c>
      <c r="V19" s="57">
        <f t="shared" si="12"/>
        <v>2.5171</v>
      </c>
      <c r="W19" s="58">
        <f t="shared" si="13"/>
        <v>0.65</v>
      </c>
      <c r="X19" s="57">
        <f t="shared" si="14"/>
        <v>0.527631213551791</v>
      </c>
      <c r="Y19" s="56">
        <v>0.8</v>
      </c>
      <c r="Z19" s="59">
        <v>0</v>
      </c>
      <c r="AA19" s="59">
        <v>0</v>
      </c>
      <c r="AB19" s="59">
        <f t="shared" si="15"/>
        <v>0.18</v>
      </c>
      <c r="AC19" s="60">
        <f t="shared" ref="AC19:AC34" si="16">Q19*S19*(1+T19)*(1+U19)*V19*(1+W19)*X19*Y19*(1+Z19)*(1+AA19)*(1+AB19)</f>
        <v>45535.1798651375</v>
      </c>
    </row>
    <row r="20" s="1" customFormat="1" spans="2:31">
      <c r="B20" s="25" t="s">
        <v>45</v>
      </c>
      <c r="C20" s="31">
        <v>0.25</v>
      </c>
      <c r="D20" s="25" t="s">
        <v>49</v>
      </c>
      <c r="E20" s="27">
        <f>58%+40%</f>
        <v>0.98</v>
      </c>
      <c r="F20" s="25" t="s">
        <v>33</v>
      </c>
      <c r="G20" s="28">
        <f>M19</f>
        <v>0.405</v>
      </c>
      <c r="H20" s="25"/>
      <c r="I20" s="28"/>
      <c r="J20" s="30"/>
      <c r="K20" s="28"/>
      <c r="L20" s="25" t="s">
        <v>47</v>
      </c>
      <c r="M20" s="27">
        <f>16.2%*5</f>
        <v>0.81</v>
      </c>
      <c r="N20" s="6"/>
      <c r="P20" s="54" t="s">
        <v>70</v>
      </c>
      <c r="Q20" s="55">
        <f>45.63%+45.63%</f>
        <v>0.9126</v>
      </c>
      <c r="R20" s="56" t="s">
        <v>44</v>
      </c>
      <c r="S20" s="56">
        <f t="shared" si="10"/>
        <v>1050</v>
      </c>
      <c r="T20" s="55">
        <f t="shared" si="11"/>
        <v>2.20533333333333</v>
      </c>
      <c r="U20" s="55">
        <f>SUM($E$17:$E$22)</f>
        <v>2.292</v>
      </c>
      <c r="V20" s="57">
        <f t="shared" si="12"/>
        <v>2.5171</v>
      </c>
      <c r="W20" s="58">
        <f t="shared" ref="W20:W24" si="17">$K$17+K$18</f>
        <v>0.85</v>
      </c>
      <c r="X20" s="57">
        <f t="shared" si="14"/>
        <v>0.527631213551791</v>
      </c>
      <c r="Y20" s="56">
        <f t="shared" ref="Y20:Y28" si="18">AE$23</f>
        <v>0.8</v>
      </c>
      <c r="Z20" s="59">
        <v>0</v>
      </c>
      <c r="AA20" s="59">
        <v>0</v>
      </c>
      <c r="AB20" s="59">
        <f t="shared" si="15"/>
        <v>0.18</v>
      </c>
      <c r="AC20" s="60">
        <f t="shared" si="16"/>
        <v>23451.8691259755</v>
      </c>
    </row>
    <row r="21" s="1" customFormat="1" spans="2:31">
      <c r="B21" s="25" t="s">
        <v>49</v>
      </c>
      <c r="C21" s="31">
        <f>25%+30%</f>
        <v>0.55</v>
      </c>
      <c r="D21" s="25" t="s">
        <v>50</v>
      </c>
      <c r="E21" s="32">
        <v>0.2</v>
      </c>
      <c r="F21" s="25"/>
      <c r="G21" s="28"/>
      <c r="H21" s="25" t="s">
        <v>52</v>
      </c>
      <c r="I21" s="28">
        <v>0.2</v>
      </c>
      <c r="J21" s="30"/>
      <c r="K21" s="28"/>
      <c r="L21" s="25"/>
      <c r="M21" s="26"/>
      <c r="N21" s="6"/>
      <c r="P21" s="54" t="s">
        <v>71</v>
      </c>
      <c r="Q21" s="55">
        <f>70.14%+70.14%</f>
        <v>1.4028</v>
      </c>
      <c r="R21" s="56" t="s">
        <v>44</v>
      </c>
      <c r="S21" s="56">
        <f t="shared" si="10"/>
        <v>1050</v>
      </c>
      <c r="T21" s="55">
        <f t="shared" si="11"/>
        <v>2.20533333333333</v>
      </c>
      <c r="U21" s="55">
        <f>SUM($E$17:$E$22)</f>
        <v>2.292</v>
      </c>
      <c r="V21" s="57">
        <f t="shared" si="12"/>
        <v>2.5171</v>
      </c>
      <c r="W21" s="58">
        <f t="shared" si="17"/>
        <v>0.85</v>
      </c>
      <c r="X21" s="57">
        <f t="shared" si="14"/>
        <v>0.527631213551791</v>
      </c>
      <c r="Y21" s="56">
        <f t="shared" si="18"/>
        <v>0.8</v>
      </c>
      <c r="Z21" s="59">
        <v>0</v>
      </c>
      <c r="AA21" s="59">
        <v>0</v>
      </c>
      <c r="AB21" s="59">
        <f t="shared" si="15"/>
        <v>0.18</v>
      </c>
      <c r="AC21" s="60">
        <f t="shared" si="16"/>
        <v>36048.9612205988</v>
      </c>
    </row>
    <row r="22" s="1" customFormat="1" spans="2:31">
      <c r="B22" s="25" t="s">
        <v>54</v>
      </c>
      <c r="C22" s="26">
        <v>350</v>
      </c>
      <c r="D22" s="25" t="s">
        <v>55</v>
      </c>
      <c r="E22" s="33">
        <f>12%+M18</f>
        <v>0.292</v>
      </c>
      <c r="F22" s="34" t="s">
        <v>56</v>
      </c>
      <c r="G22" s="35">
        <f>MIN(100%,SUM(G17:G21))</f>
        <v>0.778</v>
      </c>
      <c r="H22" s="34" t="s">
        <v>57</v>
      </c>
      <c r="I22" s="36">
        <f>SUM(I17:I21)</f>
        <v>2.95</v>
      </c>
      <c r="J22" s="30"/>
      <c r="K22" s="28"/>
      <c r="L22" s="25"/>
      <c r="M22" s="26"/>
      <c r="N22" s="6"/>
      <c r="P22" s="61" t="s">
        <v>72</v>
      </c>
      <c r="Q22" s="61">
        <f>26.56%*5+88.53%</f>
        <v>2.2133</v>
      </c>
      <c r="R22" s="56" t="s">
        <v>44</v>
      </c>
      <c r="S22" s="56">
        <f t="shared" si="10"/>
        <v>1050</v>
      </c>
      <c r="T22" s="55">
        <f t="shared" si="11"/>
        <v>2.20533333333333</v>
      </c>
      <c r="U22" s="55">
        <f>SUM($E$17:$E$22)</f>
        <v>2.292</v>
      </c>
      <c r="V22" s="57">
        <f t="shared" si="12"/>
        <v>2.5171</v>
      </c>
      <c r="W22" s="58">
        <f t="shared" si="17"/>
        <v>0.85</v>
      </c>
      <c r="X22" s="57">
        <f t="shared" si="14"/>
        <v>0.527631213551791</v>
      </c>
      <c r="Y22" s="56">
        <f t="shared" si="18"/>
        <v>0.8</v>
      </c>
      <c r="Z22" s="59">
        <v>1.1</v>
      </c>
      <c r="AA22" s="59">
        <v>0</v>
      </c>
      <c r="AB22" s="59">
        <f t="shared" si="15"/>
        <v>0.18</v>
      </c>
      <c r="AC22" s="60">
        <f t="shared" si="16"/>
        <v>119441.865074179</v>
      </c>
      <c r="AE22" s="62" t="s">
        <v>73</v>
      </c>
    </row>
    <row r="23" s="1" customFormat="1" spans="2:31">
      <c r="B23" s="40" t="s">
        <v>61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4" t="s">
        <v>74</v>
      </c>
      <c r="Q23" s="55">
        <v>0.5746</v>
      </c>
      <c r="R23" s="56" t="s">
        <v>44</v>
      </c>
      <c r="S23" s="56">
        <f t="shared" si="10"/>
        <v>1050</v>
      </c>
      <c r="T23" s="55">
        <f t="shared" si="11"/>
        <v>2.20533333333333</v>
      </c>
      <c r="U23" s="55">
        <f>SUM($E$17:$E$22)</f>
        <v>2.292</v>
      </c>
      <c r="V23" s="57">
        <f t="shared" si="12"/>
        <v>2.5171</v>
      </c>
      <c r="W23" s="58">
        <f t="shared" si="17"/>
        <v>0.85</v>
      </c>
      <c r="X23" s="57">
        <f t="shared" si="14"/>
        <v>0.527631213551791</v>
      </c>
      <c r="Y23" s="56">
        <f t="shared" si="18"/>
        <v>0.8</v>
      </c>
      <c r="Z23" s="59">
        <v>0</v>
      </c>
      <c r="AA23" s="59">
        <v>0</v>
      </c>
      <c r="AB23" s="59">
        <f t="shared" si="15"/>
        <v>0.18</v>
      </c>
      <c r="AC23" s="60">
        <f t="shared" si="16"/>
        <v>14765.9916719105</v>
      </c>
      <c r="AE23" s="1">
        <v>0.8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4" t="s">
        <v>70</v>
      </c>
      <c r="Q24" s="55">
        <f>45.63%+45.63%</f>
        <v>0.9126</v>
      </c>
      <c r="R24" s="56" t="s">
        <v>44</v>
      </c>
      <c r="S24" s="56">
        <f t="shared" ref="S24:S27" si="19">$C$17</f>
        <v>1050</v>
      </c>
      <c r="T24" s="55">
        <f t="shared" ref="T24:T27" si="20">($C$18+$C$19+$C$20+$C$21)+($C$22+$C$23)/S24</f>
        <v>2.20533333333333</v>
      </c>
      <c r="U24" s="55">
        <f t="shared" ref="U24:U27" si="21">SUM($E$17:$E$22)</f>
        <v>2.292</v>
      </c>
      <c r="V24" s="57">
        <f t="shared" ref="V24:V27" si="22">1+$G$22*($I$22-1)</f>
        <v>2.5171</v>
      </c>
      <c r="W24" s="58">
        <f t="shared" si="17"/>
        <v>0.85</v>
      </c>
      <c r="X24" s="57">
        <f t="shared" ref="X24:X34" si="23">$AF$4</f>
        <v>0.527631213551791</v>
      </c>
      <c r="Y24" s="56">
        <f t="shared" si="18"/>
        <v>0.8</v>
      </c>
      <c r="Z24" s="59">
        <v>0</v>
      </c>
      <c r="AA24" s="59">
        <v>0</v>
      </c>
      <c r="AB24" s="59">
        <f t="shared" ref="AB24:AB34" si="24">AE$26</f>
        <v>0.18</v>
      </c>
      <c r="AC24" s="60">
        <f t="shared" si="16"/>
        <v>23451.8691259755</v>
      </c>
    </row>
    <row r="25" s="1" customFormat="1" ht="15" spans="2:31">
      <c r="B25" s="63" t="s">
        <v>75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4" t="s">
        <v>71</v>
      </c>
      <c r="Q25" s="55">
        <f>70.14%+70.14%</f>
        <v>1.4028</v>
      </c>
      <c r="R25" s="56" t="s">
        <v>44</v>
      </c>
      <c r="S25" s="56">
        <f t="shared" si="19"/>
        <v>1050</v>
      </c>
      <c r="T25" s="55">
        <f t="shared" si="20"/>
        <v>2.20533333333333</v>
      </c>
      <c r="U25" s="55">
        <f t="shared" si="21"/>
        <v>2.292</v>
      </c>
      <c r="V25" s="57">
        <f t="shared" si="22"/>
        <v>2.5171</v>
      </c>
      <c r="W25" s="58">
        <f t="shared" ref="W25:W31" si="25">$K$17+K$18</f>
        <v>0.85</v>
      </c>
      <c r="X25" s="57">
        <f t="shared" si="23"/>
        <v>0.527631213551791</v>
      </c>
      <c r="Y25" s="56">
        <f t="shared" si="18"/>
        <v>0.8</v>
      </c>
      <c r="Z25" s="59">
        <v>0</v>
      </c>
      <c r="AA25" s="59">
        <v>0</v>
      </c>
      <c r="AB25" s="59">
        <f t="shared" si="24"/>
        <v>0.18</v>
      </c>
      <c r="AC25" s="60">
        <f t="shared" si="16"/>
        <v>36048.9612205988</v>
      </c>
      <c r="AE25" s="1" t="s">
        <v>76</v>
      </c>
    </row>
    <row r="26" s="1" customFormat="1" spans="2:31">
      <c r="B26" s="64" t="s">
        <v>77</v>
      </c>
      <c r="C26" s="64" t="s">
        <v>78</v>
      </c>
      <c r="D26" s="64" t="s">
        <v>79</v>
      </c>
      <c r="E26" s="64" t="s">
        <v>80</v>
      </c>
      <c r="F26" s="65"/>
      <c r="G26" s="45"/>
      <c r="H26" s="6"/>
      <c r="I26" s="6"/>
      <c r="J26" s="6"/>
      <c r="K26" s="6"/>
      <c r="L26" s="6"/>
      <c r="M26" s="6"/>
      <c r="N26" s="6"/>
      <c r="P26" s="54" t="s">
        <v>81</v>
      </c>
      <c r="Q26" s="55">
        <f>95.91%*3</f>
        <v>2.8773</v>
      </c>
      <c r="R26" s="56" t="s">
        <v>44</v>
      </c>
      <c r="S26" s="56">
        <f t="shared" si="19"/>
        <v>1050</v>
      </c>
      <c r="T26" s="55">
        <f t="shared" si="20"/>
        <v>2.20533333333333</v>
      </c>
      <c r="U26" s="55">
        <f t="shared" si="21"/>
        <v>2.292</v>
      </c>
      <c r="V26" s="57">
        <f t="shared" si="22"/>
        <v>2.5171</v>
      </c>
      <c r="W26" s="58">
        <f t="shared" si="25"/>
        <v>0.85</v>
      </c>
      <c r="X26" s="57">
        <f t="shared" si="23"/>
        <v>0.527631213551791</v>
      </c>
      <c r="Y26" s="56">
        <f t="shared" si="18"/>
        <v>0.8</v>
      </c>
      <c r="Z26" s="59">
        <v>1.1</v>
      </c>
      <c r="AA26" s="59">
        <v>0</v>
      </c>
      <c r="AB26" s="59">
        <f t="shared" si="24"/>
        <v>0.18</v>
      </c>
      <c r="AC26" s="60">
        <f t="shared" si="16"/>
        <v>155274.96425154</v>
      </c>
      <c r="AE26" s="66">
        <v>0.18</v>
      </c>
    </row>
    <row r="27" s="1" customFormat="1" spans="2:31">
      <c r="B27" s="67" t="s">
        <v>82</v>
      </c>
      <c r="C27" s="67">
        <f>SUM(AC3:AC11)</f>
        <v>415090.256987218</v>
      </c>
      <c r="D27" s="67">
        <f>C27/E$27</f>
        <v>16603.6102794887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4" t="s">
        <v>74</v>
      </c>
      <c r="Q27" s="55">
        <v>0.5746</v>
      </c>
      <c r="R27" s="56" t="s">
        <v>44</v>
      </c>
      <c r="S27" s="56">
        <f t="shared" si="19"/>
        <v>1050</v>
      </c>
      <c r="T27" s="55">
        <f t="shared" si="20"/>
        <v>2.20533333333333</v>
      </c>
      <c r="U27" s="55">
        <f t="shared" si="21"/>
        <v>2.292</v>
      </c>
      <c r="V27" s="57">
        <f t="shared" si="22"/>
        <v>2.5171</v>
      </c>
      <c r="W27" s="58">
        <f t="shared" si="25"/>
        <v>0.85</v>
      </c>
      <c r="X27" s="57">
        <f t="shared" si="23"/>
        <v>0.527631213551791</v>
      </c>
      <c r="Y27" s="56">
        <f t="shared" si="18"/>
        <v>0.8</v>
      </c>
      <c r="Z27" s="59">
        <v>0</v>
      </c>
      <c r="AA27" s="59">
        <v>0</v>
      </c>
      <c r="AB27" s="59">
        <f t="shared" si="24"/>
        <v>0.18</v>
      </c>
      <c r="AC27" s="60">
        <f t="shared" si="16"/>
        <v>14765.9916719105</v>
      </c>
    </row>
    <row r="28" s="1" customFormat="1" spans="2:31">
      <c r="B28" s="67" t="s">
        <v>83</v>
      </c>
      <c r="C28" s="67">
        <f>66173*(1+AE26)</f>
        <v>78084.14</v>
      </c>
      <c r="D28" s="67">
        <f>C28/E$27</f>
        <v>3123.3656</v>
      </c>
      <c r="E28" s="6"/>
      <c r="F28" s="6"/>
      <c r="G28" s="45"/>
      <c r="H28" s="6"/>
      <c r="I28" s="6"/>
      <c r="J28" s="6"/>
      <c r="K28" s="6"/>
      <c r="L28" s="6"/>
      <c r="M28" s="6"/>
      <c r="N28" s="6"/>
      <c r="P28" s="54" t="s">
        <v>70</v>
      </c>
      <c r="Q28" s="55">
        <f>45.63%+45.63%</f>
        <v>0.9126</v>
      </c>
      <c r="R28" s="56" t="s">
        <v>44</v>
      </c>
      <c r="S28" s="56">
        <f>$C$17</f>
        <v>1050</v>
      </c>
      <c r="T28" s="55">
        <f>($C$18+$C$19+$C$20+$C$21)+($C$22+$C$23)/S28</f>
        <v>2.20533333333333</v>
      </c>
      <c r="U28" s="55">
        <f>SUM($E$17:$E$22)</f>
        <v>2.292</v>
      </c>
      <c r="V28" s="57">
        <f>1+$G$22*($I$22-1)</f>
        <v>2.5171</v>
      </c>
      <c r="W28" s="58">
        <f t="shared" si="25"/>
        <v>0.85</v>
      </c>
      <c r="X28" s="57">
        <f t="shared" si="23"/>
        <v>0.527631213551791</v>
      </c>
      <c r="Y28" s="56">
        <f t="shared" si="18"/>
        <v>0.8</v>
      </c>
      <c r="Z28" s="59">
        <v>0</v>
      </c>
      <c r="AA28" s="59">
        <v>0</v>
      </c>
      <c r="AB28" s="59">
        <f t="shared" si="24"/>
        <v>0.18</v>
      </c>
      <c r="AC28" s="60">
        <f t="shared" si="16"/>
        <v>23451.8691259755</v>
      </c>
    </row>
    <row r="29" s="1" customFormat="1" spans="2:31">
      <c r="B29" s="67" t="s">
        <v>84</v>
      </c>
      <c r="C29" s="67">
        <f>SUM(AC18:AC33)</f>
        <v>1483848.11437872</v>
      </c>
      <c r="D29" s="67">
        <f>C29/E$27</f>
        <v>59353.9245751487</v>
      </c>
      <c r="E29" s="45"/>
      <c r="F29" s="6"/>
      <c r="G29" s="68"/>
      <c r="H29" s="6"/>
      <c r="I29" s="6"/>
      <c r="J29" s="6"/>
      <c r="K29" s="6"/>
      <c r="L29" s="6"/>
      <c r="M29" s="6"/>
      <c r="N29" s="6"/>
      <c r="P29" s="54" t="s">
        <v>71</v>
      </c>
      <c r="Q29" s="55">
        <f>70.14%+70.14%</f>
        <v>1.4028</v>
      </c>
      <c r="R29" s="56" t="s">
        <v>44</v>
      </c>
      <c r="S29" s="56">
        <f>$C$17</f>
        <v>1050</v>
      </c>
      <c r="T29" s="55">
        <f>($C$18+$C$19+$C$20+$C$21)+($C$22+$C$23)/S29</f>
        <v>2.20533333333333</v>
      </c>
      <c r="U29" s="55">
        <f>SUM($E$17:$E$22)</f>
        <v>2.292</v>
      </c>
      <c r="V29" s="57">
        <f>1+$G$22*($I$22-1)</f>
        <v>2.5171</v>
      </c>
      <c r="W29" s="58">
        <f t="shared" si="25"/>
        <v>0.85</v>
      </c>
      <c r="X29" s="57">
        <f t="shared" si="23"/>
        <v>0.527631213551791</v>
      </c>
      <c r="Y29" s="56">
        <f>AE$23</f>
        <v>0.8</v>
      </c>
      <c r="Z29" s="59">
        <v>0</v>
      </c>
      <c r="AA29" s="59">
        <v>0</v>
      </c>
      <c r="AB29" s="59">
        <f t="shared" si="24"/>
        <v>0.18</v>
      </c>
      <c r="AC29" s="60">
        <f t="shared" si="16"/>
        <v>36048.9612205988</v>
      </c>
    </row>
    <row r="30" s="1" customFormat="1" spans="2:31">
      <c r="B30" s="67" t="s">
        <v>85</v>
      </c>
      <c r="C30" s="67">
        <f>101573*(1+AE26)/1.06</f>
        <v>113071.830188679</v>
      </c>
      <c r="D30" s="67">
        <f>C30/E$27</f>
        <v>4522.87320754717</v>
      </c>
      <c r="E30" s="45"/>
      <c r="F30" s="6"/>
      <c r="G30" s="45"/>
      <c r="H30" s="6"/>
      <c r="I30" s="6"/>
      <c r="J30" s="6"/>
      <c r="K30" s="6"/>
      <c r="L30" s="6"/>
      <c r="M30" s="6"/>
      <c r="N30" s="6"/>
      <c r="P30" s="54" t="s">
        <v>86</v>
      </c>
      <c r="Q30" s="55">
        <v>3.5411</v>
      </c>
      <c r="R30" s="56" t="s">
        <v>44</v>
      </c>
      <c r="S30" s="56">
        <f>$C$17</f>
        <v>1050</v>
      </c>
      <c r="T30" s="55">
        <f>($C$18+$C$19+$C$20+$C$21)+($C$22+$C$23)/S30</f>
        <v>2.20533333333333</v>
      </c>
      <c r="U30" s="55">
        <f>SUM($E$17:$E$22)</f>
        <v>2.292</v>
      </c>
      <c r="V30" s="57">
        <f>1+$G$22*($I$22-1)</f>
        <v>2.5171</v>
      </c>
      <c r="W30" s="58">
        <f t="shared" si="25"/>
        <v>0.85</v>
      </c>
      <c r="X30" s="57">
        <f t="shared" si="23"/>
        <v>0.527631213551791</v>
      </c>
      <c r="Y30" s="56">
        <f>AE$23</f>
        <v>0.8</v>
      </c>
      <c r="Z30" s="59">
        <v>1.1</v>
      </c>
      <c r="AA30" s="59">
        <v>0</v>
      </c>
      <c r="AB30" s="59">
        <f t="shared" si="24"/>
        <v>0.18</v>
      </c>
      <c r="AC30" s="60">
        <f t="shared" si="16"/>
        <v>191097.27032674</v>
      </c>
    </row>
    <row r="31" s="1" customFormat="1" spans="2:31">
      <c r="B31" s="67" t="s">
        <v>87</v>
      </c>
      <c r="C31" s="67">
        <f>SUM(C27:C30)</f>
        <v>2090094.34155461</v>
      </c>
      <c r="D31" s="67">
        <f>C31/E27</f>
        <v>83603.7736621845</v>
      </c>
      <c r="E31" s="6"/>
      <c r="F31" s="56" t="s">
        <v>88</v>
      </c>
      <c r="G31" s="55" t="s">
        <v>89</v>
      </c>
      <c r="H31" s="56"/>
      <c r="I31" s="6"/>
      <c r="J31" s="6"/>
      <c r="K31" s="6"/>
      <c r="L31" s="6"/>
      <c r="M31" s="6"/>
      <c r="N31" s="6"/>
      <c r="P31" s="61" t="s">
        <v>90</v>
      </c>
      <c r="Q31" s="55">
        <f>460.34%</f>
        <v>4.6034</v>
      </c>
      <c r="R31" s="56" t="s">
        <v>44</v>
      </c>
      <c r="S31" s="56">
        <f t="shared" ref="S31:S33" si="26">$C$17</f>
        <v>1050</v>
      </c>
      <c r="T31" s="55">
        <f>($C$18+$C$19+$C$20+$C$21)+($C$22+$C$23)/S31</f>
        <v>2.20533333333333</v>
      </c>
      <c r="U31" s="55">
        <f>SUM($E$17:$E$22)</f>
        <v>2.292</v>
      </c>
      <c r="V31" s="57">
        <f t="shared" ref="V31:V33" si="27">1+$G$22*($I$22-1)</f>
        <v>2.5171</v>
      </c>
      <c r="W31" s="58">
        <f t="shared" ref="W31:W33" si="28">$K$17+K$18</f>
        <v>0.85</v>
      </c>
      <c r="X31" s="57">
        <f>$AF$4</f>
        <v>0.527631213551791</v>
      </c>
      <c r="Y31" s="56">
        <f t="shared" ref="Y31:Y33" si="29">AE$23</f>
        <v>0.8</v>
      </c>
      <c r="Z31" s="59">
        <v>0</v>
      </c>
      <c r="AA31" s="59">
        <v>0</v>
      </c>
      <c r="AB31" s="59">
        <f>AE$26</f>
        <v>0.18</v>
      </c>
      <c r="AC31" s="60">
        <f>Q31*S31*(1+T31)*(1+U31)*V31*(1+W31)*X31*Y31*(1+Z31)*(1+AA31)*(1+AB31)</f>
        <v>118297.539266399</v>
      </c>
    </row>
    <row r="32" s="1" customFormat="1" spans="2:31">
      <c r="B32" s="67"/>
      <c r="C32" s="67"/>
      <c r="D32" s="67"/>
      <c r="E32" s="6"/>
      <c r="F32" s="67" t="s">
        <v>91</v>
      </c>
      <c r="G32" s="6">
        <v>67484</v>
      </c>
      <c r="H32" s="45">
        <f>G32/G34</f>
        <v>0.975413745754137</v>
      </c>
      <c r="I32" s="6"/>
      <c r="J32" s="6"/>
      <c r="K32" s="6"/>
      <c r="L32" s="6"/>
      <c r="M32" s="6"/>
      <c r="N32" s="6"/>
      <c r="P32" s="69" t="s">
        <v>92</v>
      </c>
      <c r="Q32" s="55">
        <f>745.54%+49.71%*5</f>
        <v>9.9409</v>
      </c>
      <c r="R32" s="56" t="s">
        <v>44</v>
      </c>
      <c r="S32" s="56">
        <f t="shared" si="26"/>
        <v>1050</v>
      </c>
      <c r="T32" s="55">
        <f>($C$18+$C$19+$C$20+$C$21)+($C$22+$C$23)/S32</f>
        <v>2.20533333333333</v>
      </c>
      <c r="U32" s="55">
        <f>SUM($E$17:$E$22)+40%</f>
        <v>2.692</v>
      </c>
      <c r="V32" s="57">
        <f t="shared" si="27"/>
        <v>2.5171</v>
      </c>
      <c r="W32" s="58">
        <f t="shared" si="28"/>
        <v>0.85</v>
      </c>
      <c r="X32" s="57">
        <f>$AF$4</f>
        <v>0.527631213551791</v>
      </c>
      <c r="Y32" s="56">
        <f t="shared" si="29"/>
        <v>0.8</v>
      </c>
      <c r="Z32" s="59">
        <v>0.75</v>
      </c>
      <c r="AA32" s="59">
        <v>0</v>
      </c>
      <c r="AB32" s="59">
        <f>AE$26</f>
        <v>0.18</v>
      </c>
      <c r="AC32" s="60">
        <f>Q32*S32*(1+T32)*(1+U32)*V32*(1+W32)*X32*Y32*(1+Z32)*(1+AA32)*(1+AB32)</f>
        <v>501374.933101319</v>
      </c>
    </row>
    <row r="33" s="1" customFormat="1" spans="2:29">
      <c r="B33" s="67"/>
      <c r="C33" s="67"/>
      <c r="D33" s="67"/>
      <c r="E33" s="6"/>
      <c r="F33" s="6" t="s">
        <v>93</v>
      </c>
      <c r="G33" s="68">
        <v>68959</v>
      </c>
      <c r="H33" s="45">
        <f>G33/G34</f>
        <v>0.996733395967334</v>
      </c>
      <c r="I33" s="6"/>
      <c r="J33" s="6"/>
      <c r="K33" s="6"/>
      <c r="L33" s="6"/>
      <c r="M33" s="6"/>
      <c r="N33" s="6"/>
      <c r="P33" s="54" t="s">
        <v>94</v>
      </c>
      <c r="Q33" s="55">
        <v>5</v>
      </c>
      <c r="R33" s="56" t="s">
        <v>60</v>
      </c>
      <c r="S33" s="56">
        <f t="shared" si="26"/>
        <v>1050</v>
      </c>
      <c r="T33" s="55">
        <f t="shared" ref="T31:T33" si="30">($C$18+$C$19+$C$20+$C$21)+($C$22+$C$23)/S33</f>
        <v>2.20533333333333</v>
      </c>
      <c r="U33" s="55">
        <f>SUM($E$17:$E$21)</f>
        <v>2</v>
      </c>
      <c r="V33" s="57">
        <f t="shared" si="27"/>
        <v>2.5171</v>
      </c>
      <c r="W33" s="58">
        <f>$K$17</f>
        <v>0.65</v>
      </c>
      <c r="X33" s="57">
        <f>$AF$4</f>
        <v>0.527631213551791</v>
      </c>
      <c r="Y33" s="56">
        <v>0.8</v>
      </c>
      <c r="Z33" s="59">
        <v>0</v>
      </c>
      <c r="AA33" s="59">
        <v>0</v>
      </c>
      <c r="AB33" s="59">
        <f>AE$26</f>
        <v>0.18</v>
      </c>
      <c r="AC33" s="60">
        <f>Q33*S33*(1+T33)*(1+U33)*V33*(1+W33)*X33*Y33*(1+Z33)*(1+AA33)*(1+AB33)</f>
        <v>104433.695392729</v>
      </c>
    </row>
    <row r="34" s="1" customFormat="1" ht="17.5" spans="2:29">
      <c r="B34" s="6"/>
      <c r="C34" s="6"/>
      <c r="D34" s="6"/>
      <c r="E34" s="6"/>
      <c r="F34" s="67" t="s">
        <v>95</v>
      </c>
      <c r="G34" s="68">
        <v>69185</v>
      </c>
      <c r="H34" s="73">
        <v>1</v>
      </c>
      <c r="I34" s="6"/>
      <c r="J34" s="70" t="s">
        <v>96</v>
      </c>
      <c r="K34" s="70" t="s">
        <v>97</v>
      </c>
      <c r="L34" s="6"/>
      <c r="M34" s="6"/>
      <c r="N34" s="6"/>
      <c r="P34" s="54"/>
      <c r="Q34" s="55"/>
      <c r="R34" s="56"/>
      <c r="S34" s="56"/>
      <c r="T34" s="56"/>
      <c r="U34" s="55"/>
      <c r="V34" s="57"/>
      <c r="W34" s="59"/>
      <c r="X34" s="56"/>
      <c r="Y34" s="56"/>
      <c r="Z34" s="59"/>
      <c r="AA34" s="59"/>
      <c r="AB34" s="74"/>
      <c r="AC34" s="60"/>
    </row>
    <row r="35" s="1" customFormat="1" ht="17.5" spans="2:29">
      <c r="B35" s="6"/>
      <c r="C35" s="6"/>
      <c r="D35" s="6"/>
      <c r="E35" s="6"/>
      <c r="F35" s="67"/>
      <c r="G35" s="2"/>
      <c r="J35" s="71" t="s">
        <v>98</v>
      </c>
      <c r="K35" s="72">
        <v>78134</v>
      </c>
      <c r="N35" s="6"/>
      <c r="P35" s="75"/>
      <c r="Q35" s="75"/>
      <c r="R35" s="75"/>
      <c r="U35" s="2"/>
      <c r="V35" s="3"/>
      <c r="AB35" s="4"/>
      <c r="AC35" s="4"/>
    </row>
    <row r="36" s="1" customFormat="1" ht="17.5" spans="2:29">
      <c r="B36" s="67"/>
      <c r="C36" s="67"/>
      <c r="D36" s="67"/>
      <c r="E36" s="6"/>
      <c r="F36" s="6"/>
      <c r="G36" s="2"/>
      <c r="J36" s="71" t="s">
        <v>99</v>
      </c>
      <c r="K36" s="72">
        <v>82327</v>
      </c>
      <c r="N36" s="6"/>
      <c r="U36" s="2"/>
      <c r="V36" s="3"/>
      <c r="AB36" s="4"/>
      <c r="AC36" s="4"/>
    </row>
    <row r="37" s="1" customFormat="1" ht="17.5" spans="2:29">
      <c r="B37" s="67"/>
      <c r="C37" s="67"/>
      <c r="D37" s="67"/>
      <c r="E37" s="6"/>
      <c r="F37" s="67"/>
      <c r="G37" s="2"/>
      <c r="J37" s="71" t="s">
        <v>77</v>
      </c>
      <c r="K37" s="72">
        <v>91774</v>
      </c>
      <c r="N37" s="6"/>
      <c r="Q37" s="2"/>
      <c r="U37" s="2"/>
      <c r="V37" s="3"/>
      <c r="AB37" s="4"/>
      <c r="AC37" s="4"/>
    </row>
    <row r="38" s="1" customFormat="1" ht="17.5" spans="2:29">
      <c r="B38" s="6"/>
      <c r="C38" s="6"/>
      <c r="D38" s="6"/>
      <c r="E38" s="6"/>
      <c r="F38" s="67"/>
      <c r="G38" s="2"/>
      <c r="H38" s="1"/>
      <c r="J38" s="71" t="s">
        <v>100</v>
      </c>
      <c r="K38" s="72">
        <v>96234</v>
      </c>
      <c r="N38" s="6"/>
      <c r="Q38" s="2"/>
      <c r="U38" s="2"/>
      <c r="V38" s="78"/>
      <c r="AB38" s="4"/>
      <c r="AC38" s="4"/>
    </row>
    <row r="39" s="1" customFormat="1" ht="17.5" spans="2:29">
      <c r="B39" s="67"/>
      <c r="C39" s="67"/>
      <c r="D39" s="67"/>
      <c r="E39" s="6"/>
      <c r="F39" s="6"/>
      <c r="G39" s="2"/>
      <c r="J39" s="71" t="s">
        <v>101</v>
      </c>
      <c r="K39" s="76">
        <f>(K35+K36+K37+K38)/4</f>
        <v>87117.25</v>
      </c>
      <c r="M39" s="88" t="s">
        <v>32</v>
      </c>
      <c r="N39" s="88" t="s">
        <v>102</v>
      </c>
      <c r="O39" s="88"/>
      <c r="Q39" s="78"/>
      <c r="U39" s="2"/>
      <c r="V39" s="78"/>
      <c r="AB39" s="4"/>
      <c r="AC39" s="4"/>
    </row>
    <row r="40" s="1" customFormat="1" ht="20" customHeight="1" spans="2:29">
      <c r="B40" s="67"/>
      <c r="C40" s="67"/>
      <c r="D40" s="67"/>
      <c r="E40" s="6"/>
      <c r="F40" s="67"/>
      <c r="G40" s="2"/>
      <c r="M40" s="71" t="s">
        <v>103</v>
      </c>
      <c r="N40" s="71">
        <v>87798</v>
      </c>
      <c r="O40" s="87">
        <f>N40/N$41</f>
        <v>1.26903230469032</v>
      </c>
      <c r="Q40" s="78"/>
      <c r="V40" s="78"/>
      <c r="AB40" s="4"/>
      <c r="AC40" s="4"/>
    </row>
    <row r="41" s="1" customFormat="1" ht="20" customHeight="1" spans="2:29">
      <c r="B41" s="6"/>
      <c r="C41" s="6"/>
      <c r="D41" s="6"/>
      <c r="E41" s="6"/>
      <c r="G41" s="2"/>
      <c r="M41" s="89" t="s">
        <v>104</v>
      </c>
      <c r="N41" s="89">
        <v>69185</v>
      </c>
      <c r="O41" s="90">
        <f>N41/N$41</f>
        <v>1</v>
      </c>
      <c r="Q41" s="78"/>
      <c r="U41" s="2"/>
      <c r="V41" s="2"/>
      <c r="AB41" s="4"/>
      <c r="AC41" s="4"/>
    </row>
    <row r="42" s="1" customFormat="1" ht="20" customHeight="1" spans="2:29">
      <c r="B42" s="67"/>
      <c r="C42" s="67"/>
      <c r="D42" s="67"/>
      <c r="E42" s="6"/>
      <c r="G42" s="2"/>
      <c r="M42" s="71" t="s">
        <v>105</v>
      </c>
      <c r="N42" s="71">
        <v>60074</v>
      </c>
      <c r="O42" s="87">
        <f>N42/N$41</f>
        <v>0.868309604683096</v>
      </c>
      <c r="Q42" s="81"/>
      <c r="U42" s="2"/>
      <c r="V42" s="3"/>
      <c r="AB42" s="4"/>
      <c r="AC42" s="4"/>
    </row>
    <row r="43" s="1" customFormat="1" ht="20" customHeight="1" spans="2:29">
      <c r="B43" s="67"/>
      <c r="C43" s="67"/>
      <c r="D43" s="67"/>
      <c r="E43" s="6"/>
      <c r="G43" s="2"/>
      <c r="M43" s="71" t="s">
        <v>106</v>
      </c>
      <c r="N43" s="71">
        <v>64403</v>
      </c>
      <c r="O43" s="87">
        <f>N43/N$41</f>
        <v>0.93088097130881</v>
      </c>
      <c r="Q43" s="2"/>
      <c r="U43" s="2"/>
      <c r="V43" s="3"/>
      <c r="AB43" s="4"/>
      <c r="AC43" s="4"/>
    </row>
    <row r="44" s="1" customFormat="1" spans="2:29">
      <c r="B44" s="6"/>
      <c r="C44" s="6"/>
      <c r="D44" s="6"/>
      <c r="E44" s="6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E47" s="6"/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N53" s="6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N54" s="6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H55" s="1"/>
      <c r="N55" s="6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H56" s="1"/>
      <c r="N56" s="6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H57" s="1"/>
      <c r="N57" s="6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8" s="1" customFormat="1" spans="7:29">
      <c r="G58" s="2"/>
      <c r="H58" s="1"/>
      <c r="N58" s="6"/>
      <c r="Q58" s="2"/>
      <c r="R58" s="1"/>
      <c r="S58" s="1"/>
      <c r="T58" s="1"/>
      <c r="U58" s="2"/>
      <c r="V58" s="3"/>
      <c r="W58" s="1"/>
      <c r="X58" s="1"/>
      <c r="Y58" s="1"/>
      <c r="Z58" s="1"/>
      <c r="AA58" s="1"/>
      <c r="AB58" s="4"/>
      <c r="AC58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zoomScale="90" zoomScaleNormal="90" topLeftCell="A41" workbookViewId="0">
      <selection activeCell="T60" sqref="T60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9.54545454545454" style="1" customWidth="1"/>
    <col min="7" max="7" width="12.9090909090909" style="2" customWidth="1"/>
    <col min="8" max="8" width="7.54545454545455" style="1" customWidth="1"/>
    <col min="9" max="9" width="8.92727272727273" style="1" customWidth="1"/>
    <col min="10" max="10" width="12.1818181818182" style="1" customWidth="1"/>
    <col min="11" max="11" width="9.36363636363636" style="1" customWidth="1"/>
    <col min="12" max="12" width="10.3090909090909" style="1" customWidth="1"/>
    <col min="13" max="13" width="15.0909090909091" style="1" customWidth="1"/>
    <col min="14" max="14" width="10.7272727272727" style="1" customWidth="1"/>
    <col min="15" max="15" width="9.36363636363636" style="1" customWidth="1"/>
    <col min="16" max="16" width="10.7272727272727" style="1" customWidth="1"/>
    <col min="17" max="17" width="10.7272727272727" style="2" customWidth="1"/>
    <col min="18" max="20" width="10.7272727272727" style="1" customWidth="1"/>
    <col min="21" max="21" width="8.54545454545454" style="2" customWidth="1"/>
    <col min="22" max="22" width="8.54545454545454" style="3" customWidth="1"/>
    <col min="23" max="23" width="7.54545454545455" style="1" customWidth="1"/>
    <col min="24" max="24" width="8.54545454545454" style="1" customWidth="1"/>
    <col min="25" max="25" width="7.54545454545455" style="1" customWidth="1"/>
    <col min="26" max="26" width="9.54545454545454" style="1" customWidth="1"/>
    <col min="27" max="27" width="7.54545454545455" style="1" customWidth="1"/>
    <col min="28" max="28" width="9.54545454545454" style="4" customWidth="1"/>
    <col min="29" max="29" width="8.54545454545454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3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1.88</v>
      </c>
      <c r="V3" s="20">
        <f t="shared" ref="V3:V11" si="2">1+$G$9*($I$9-1)</f>
        <v>2.3615</v>
      </c>
      <c r="W3" s="21">
        <f t="shared" ref="W3:W11" si="3">$K$4</f>
        <v>0.25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f t="shared" ref="AB3:AB11" si="5">AE$26</f>
        <v>0.18</v>
      </c>
      <c r="AC3" s="23">
        <f t="shared" ref="AC3:AC11" si="6">Q3*S3*(1+T3)*(1+U3)*V3*(1+W3)*X3*Y3*(1+Z3)*(1+AA3)*(1+AB3)</f>
        <v>20776.3524333866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f>25%</f>
        <v>0.25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7">SUM($E$4:$E$8)</f>
        <v>1.88</v>
      </c>
      <c r="V4" s="20">
        <f t="shared" si="2"/>
        <v>2.3615</v>
      </c>
      <c r="W4" s="21">
        <f t="shared" si="3"/>
        <v>0.25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f t="shared" si="5"/>
        <v>0.18</v>
      </c>
      <c r="AC4" s="23">
        <f t="shared" si="6"/>
        <v>80850.3252167552</v>
      </c>
      <c r="AD4" s="13">
        <v>10</v>
      </c>
      <c r="AE4" s="13">
        <v>0</v>
      </c>
      <c r="AF4" s="14">
        <f t="shared" ref="AF4:AF8" si="8">1520/(1520+(792+8*AG4)*(1-AE4/100)*(1-AD4/100))</f>
        <v>0.527631213551791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>
        <v>0.2</v>
      </c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7"/>
        <v>1.88</v>
      </c>
      <c r="V5" s="20">
        <f t="shared" si="2"/>
        <v>2.3615</v>
      </c>
      <c r="W5" s="21">
        <f t="shared" si="3"/>
        <v>0.25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f t="shared" si="5"/>
        <v>0.18</v>
      </c>
      <c r="AC5" s="23">
        <f t="shared" si="6"/>
        <v>25751.4015948154</v>
      </c>
      <c r="AD5" s="13">
        <v>52</v>
      </c>
      <c r="AE5" s="13">
        <v>0</v>
      </c>
      <c r="AF5" s="14">
        <f t="shared" si="8"/>
        <v>0.676831005984611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</f>
        <v>0.2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9">SUM($E$4:$E$9)</f>
        <v>2.412</v>
      </c>
      <c r="V6" s="20">
        <f t="shared" si="2"/>
        <v>2.3615</v>
      </c>
      <c r="W6" s="21">
        <f t="shared" si="3"/>
        <v>0.25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f t="shared" si="5"/>
        <v>0.18</v>
      </c>
      <c r="AC6" s="23">
        <f t="shared" si="6"/>
        <v>60830.3759840975</v>
      </c>
      <c r="AD6" s="13">
        <v>0</v>
      </c>
      <c r="AE6" s="13">
        <v>0</v>
      </c>
      <c r="AF6" s="14">
        <f t="shared" si="8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f>24%+40%</f>
        <v>0.64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9"/>
        <v>2.412</v>
      </c>
      <c r="V7" s="20">
        <f t="shared" si="2"/>
        <v>2.3615</v>
      </c>
      <c r="W7" s="21">
        <f t="shared" si="3"/>
        <v>0.25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f t="shared" si="5"/>
        <v>0.18</v>
      </c>
      <c r="AC7" s="23">
        <f t="shared" si="6"/>
        <v>33680.29313253</v>
      </c>
      <c r="AD7" s="13">
        <v>0</v>
      </c>
      <c r="AE7" s="13">
        <v>0</v>
      </c>
      <c r="AF7" s="14">
        <f t="shared" si="8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53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9"/>
        <v>2.412</v>
      </c>
      <c r="V8" s="20">
        <f t="shared" si="2"/>
        <v>2.3615</v>
      </c>
      <c r="W8" s="21">
        <f t="shared" si="3"/>
        <v>0.25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f t="shared" si="5"/>
        <v>0.18</v>
      </c>
      <c r="AC8" s="23">
        <f t="shared" si="6"/>
        <v>133223.297334889</v>
      </c>
      <c r="AD8" s="13">
        <v>0</v>
      </c>
      <c r="AE8" s="13">
        <v>36</v>
      </c>
      <c r="AF8" s="14">
        <f t="shared" si="8"/>
        <v>0.611011062516079</v>
      </c>
      <c r="AG8" s="24">
        <v>90</v>
      </c>
    </row>
    <row r="9" s="1" customFormat="1" spans="2:33">
      <c r="B9" s="25" t="s">
        <v>54</v>
      </c>
      <c r="C9" s="26">
        <v>350</v>
      </c>
      <c r="D9" s="25" t="s">
        <v>55</v>
      </c>
      <c r="E9" s="33">
        <f>36%+M5</f>
        <v>0.532</v>
      </c>
      <c r="F9" s="34" t="s">
        <v>56</v>
      </c>
      <c r="G9" s="35">
        <f>MIN(100%,SUM(G4:G8))</f>
        <v>0.778</v>
      </c>
      <c r="H9" s="34" t="s">
        <v>57</v>
      </c>
      <c r="I9" s="36">
        <f>SUM(I4:I8)</f>
        <v>2.75</v>
      </c>
      <c r="J9" s="30"/>
      <c r="K9" s="28"/>
      <c r="L9" s="25"/>
      <c r="M9" s="26"/>
      <c r="N9" s="6"/>
      <c r="P9" s="37" t="s">
        <v>58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7"/>
        <v>1.88</v>
      </c>
      <c r="V9" s="20">
        <f t="shared" si="2"/>
        <v>2.3615</v>
      </c>
      <c r="W9" s="21">
        <f t="shared" si="3"/>
        <v>0.25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f t="shared" si="5"/>
        <v>0.18</v>
      </c>
      <c r="AC9" s="23">
        <f t="shared" si="6"/>
        <v>21499.0885367188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59</v>
      </c>
      <c r="Q10" s="18">
        <v>1</v>
      </c>
      <c r="R10" s="19" t="s">
        <v>60</v>
      </c>
      <c r="S10" s="19">
        <f t="shared" si="0"/>
        <v>963</v>
      </c>
      <c r="T10" s="18">
        <f t="shared" si="1"/>
        <v>1.38544755970924</v>
      </c>
      <c r="U10" s="18">
        <f t="shared" si="7"/>
        <v>1.88</v>
      </c>
      <c r="V10" s="20">
        <f t="shared" si="2"/>
        <v>2.3615</v>
      </c>
      <c r="W10" s="21">
        <f t="shared" si="3"/>
        <v>0.25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f t="shared" si="5"/>
        <v>0.18</v>
      </c>
      <c r="AC10" s="23">
        <f t="shared" si="6"/>
        <v>9242.14965897978</v>
      </c>
    </row>
    <row r="11" s="1" customFormat="1" spans="2:33">
      <c r="B11" s="40" t="s">
        <v>61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62</v>
      </c>
      <c r="Q11" s="18">
        <f>27.36%*10</f>
        <v>2.736</v>
      </c>
      <c r="R11" s="19" t="s">
        <v>63</v>
      </c>
      <c r="S11" s="19">
        <f t="shared" si="0"/>
        <v>963</v>
      </c>
      <c r="T11" s="18">
        <f t="shared" si="1"/>
        <v>1.38544755970924</v>
      </c>
      <c r="U11" s="18">
        <f t="shared" si="7"/>
        <v>1.88</v>
      </c>
      <c r="V11" s="20">
        <f t="shared" si="2"/>
        <v>2.3615</v>
      </c>
      <c r="W11" s="21">
        <f t="shared" si="3"/>
        <v>0.25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f t="shared" si="5"/>
        <v>0.18</v>
      </c>
      <c r="AC11" s="23">
        <f t="shared" si="6"/>
        <v>25286.5214669687</v>
      </c>
    </row>
    <row r="12" s="1" customFormat="1" spans="2:33">
      <c r="B12" s="6"/>
      <c r="C12" s="6"/>
      <c r="D12" s="6"/>
      <c r="E12" s="6"/>
      <c r="F12" s="6" t="s">
        <v>64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/>
      <c r="Q14" s="18"/>
      <c r="R14" s="19"/>
      <c r="S14" s="19"/>
      <c r="T14" s="18"/>
      <c r="U14" s="18"/>
      <c r="V14" s="20"/>
      <c r="W14" s="21"/>
      <c r="X14" s="20"/>
      <c r="Y14" s="19"/>
      <c r="Z14" s="22"/>
      <c r="AA14" s="22"/>
      <c r="AB14" s="22"/>
      <c r="AC14" s="23"/>
    </row>
    <row r="15" s="1" customFormat="1" ht="15" spans="2:33">
      <c r="B15" s="46" t="s">
        <v>65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/>
      <c r="Q15" s="18"/>
      <c r="R15" s="19"/>
      <c r="S15" s="19"/>
      <c r="T15" s="18"/>
      <c r="U15" s="18"/>
      <c r="V15" s="20"/>
      <c r="W15" s="21"/>
      <c r="X15" s="20"/>
      <c r="Y15" s="19"/>
      <c r="Z15" s="22"/>
      <c r="AA15" s="22"/>
      <c r="AB15" s="22"/>
      <c r="AC15" s="23"/>
    </row>
    <row r="16" s="1" customFormat="1" spans="2:33">
      <c r="B16" s="49" t="s">
        <v>18</v>
      </c>
      <c r="C16" s="50"/>
      <c r="D16" s="49" t="s">
        <v>6</v>
      </c>
      <c r="E16" s="50"/>
      <c r="F16" s="49" t="s">
        <v>19</v>
      </c>
      <c r="G16" s="50"/>
      <c r="H16" s="49" t="s">
        <v>20</v>
      </c>
      <c r="I16" s="50"/>
      <c r="J16" s="51" t="s">
        <v>8</v>
      </c>
      <c r="K16" s="51"/>
      <c r="L16" s="49" t="s">
        <v>21</v>
      </c>
      <c r="M16" s="50"/>
      <c r="N16" s="6"/>
      <c r="P16" s="17"/>
      <c r="Q16" s="18"/>
      <c r="R16" s="19"/>
      <c r="S16" s="19"/>
      <c r="T16" s="18"/>
      <c r="U16" s="18"/>
      <c r="V16" s="20"/>
      <c r="W16" s="21"/>
      <c r="X16" s="20"/>
      <c r="Y16" s="19"/>
      <c r="Z16" s="22"/>
      <c r="AA16" s="22"/>
      <c r="AB16" s="22"/>
      <c r="AC16" s="23"/>
    </row>
    <row r="17" s="1" customFormat="1" spans="2:31">
      <c r="B17" s="25" t="s">
        <v>4</v>
      </c>
      <c r="C17" s="26">
        <f>463+587</f>
        <v>1050</v>
      </c>
      <c r="D17" s="25" t="s">
        <v>24</v>
      </c>
      <c r="E17" s="32">
        <v>0.2</v>
      </c>
      <c r="F17" s="25" t="s">
        <v>25</v>
      </c>
      <c r="G17" s="28">
        <v>0.13</v>
      </c>
      <c r="H17" s="25" t="s">
        <v>25</v>
      </c>
      <c r="I17" s="27">
        <v>1.5</v>
      </c>
      <c r="J17" s="52" t="s">
        <v>26</v>
      </c>
      <c r="K17" s="53">
        <f>15%+25%+50%+15%</f>
        <v>1.05</v>
      </c>
      <c r="L17" s="25" t="s">
        <v>27</v>
      </c>
      <c r="M17" s="28">
        <f>8.6%*2</f>
        <v>0.172</v>
      </c>
      <c r="N17" s="6"/>
      <c r="P17" s="17"/>
      <c r="Q17" s="18"/>
      <c r="R17" s="19"/>
      <c r="S17" s="19"/>
      <c r="T17" s="18"/>
      <c r="U17" s="18"/>
      <c r="V17" s="20"/>
      <c r="W17" s="21"/>
      <c r="X17" s="20"/>
      <c r="Y17" s="19"/>
      <c r="Z17" s="22"/>
      <c r="AA17" s="22"/>
      <c r="AB17" s="22"/>
      <c r="AC17" s="23"/>
    </row>
    <row r="18" s="1" customFormat="1" spans="2:31">
      <c r="B18" s="25" t="s">
        <v>30</v>
      </c>
      <c r="C18" s="27">
        <v>0.24</v>
      </c>
      <c r="D18" s="25" t="s">
        <v>66</v>
      </c>
      <c r="E18" s="27">
        <v>0.12</v>
      </c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67</v>
      </c>
      <c r="K18" s="28">
        <v>0.2</v>
      </c>
      <c r="L18" s="25" t="s">
        <v>68</v>
      </c>
      <c r="M18" s="28">
        <f>8.6%*2</f>
        <v>0.172</v>
      </c>
      <c r="N18" s="6"/>
      <c r="P18" s="54" t="s">
        <v>63</v>
      </c>
      <c r="Q18" s="55">
        <v>1.6102</v>
      </c>
      <c r="R18" s="56" t="s">
        <v>63</v>
      </c>
      <c r="S18" s="56">
        <f t="shared" ref="S18:S34" si="10">$C$17</f>
        <v>1050</v>
      </c>
      <c r="T18" s="55">
        <f t="shared" ref="T18:T34" si="11">($C$18+$C$19+$C$20+$C$21)+($C$22+$C$23)/S18</f>
        <v>2.25533333333333</v>
      </c>
      <c r="U18" s="55">
        <f>SUM($E$17:$E$21)+60%</f>
        <v>2.5</v>
      </c>
      <c r="V18" s="57">
        <f t="shared" ref="V18:V34" si="12">1+$G$22*($I$22-1)</f>
        <v>2.50698</v>
      </c>
      <c r="W18" s="58">
        <f t="shared" ref="W18:W21" si="13">$K$17</f>
        <v>1.05</v>
      </c>
      <c r="X18" s="57">
        <f t="shared" ref="X18:X34" si="14">$AF$4</f>
        <v>0.527631213551791</v>
      </c>
      <c r="Y18" s="56">
        <v>0.8</v>
      </c>
      <c r="Z18" s="59">
        <v>0</v>
      </c>
      <c r="AA18" s="59">
        <v>0</v>
      </c>
      <c r="AB18" s="59">
        <f t="shared" ref="AB18:AB34" si="15">AE$26</f>
        <v>0.18</v>
      </c>
      <c r="AC18" s="60">
        <f>Q18*S18*(1+T18)*(1+U18)*V18*(1+W18)*X18*Y18*(1+Z18)*(1+AA18)*(1+AB18)</f>
        <v>49310.5487042689</v>
      </c>
    </row>
    <row r="19" s="1" customFormat="1" spans="2:31">
      <c r="B19" s="25" t="s">
        <v>38</v>
      </c>
      <c r="C19" s="27">
        <f>18%+18%+M17+30%*2</f>
        <v>1.132</v>
      </c>
      <c r="D19" s="25" t="s">
        <v>39</v>
      </c>
      <c r="E19" s="27">
        <v>0.4</v>
      </c>
      <c r="F19" s="25" t="s">
        <v>41</v>
      </c>
      <c r="G19" s="28">
        <v>0.22</v>
      </c>
      <c r="H19" s="25" t="s">
        <v>69</v>
      </c>
      <c r="I19" s="28"/>
      <c r="J19" s="30"/>
      <c r="K19" s="28"/>
      <c r="L19" s="25" t="s">
        <v>19</v>
      </c>
      <c r="M19" s="28">
        <f>8.1*5%</f>
        <v>0.405</v>
      </c>
      <c r="N19" s="6"/>
      <c r="P19" s="54" t="s">
        <v>22</v>
      </c>
      <c r="Q19" s="55">
        <f>72.67%*3</f>
        <v>2.1801</v>
      </c>
      <c r="R19" s="56" t="s">
        <v>23</v>
      </c>
      <c r="S19" s="56">
        <f t="shared" si="10"/>
        <v>1050</v>
      </c>
      <c r="T19" s="55">
        <f t="shared" si="11"/>
        <v>2.25533333333333</v>
      </c>
      <c r="U19" s="55">
        <f>SUM($E$17:$E$21)+80%</f>
        <v>2.7</v>
      </c>
      <c r="V19" s="57">
        <f t="shared" si="12"/>
        <v>2.50698</v>
      </c>
      <c r="W19" s="58">
        <f t="shared" si="13"/>
        <v>1.05</v>
      </c>
      <c r="X19" s="57">
        <f t="shared" si="14"/>
        <v>0.527631213551791</v>
      </c>
      <c r="Y19" s="56">
        <v>0.8</v>
      </c>
      <c r="Z19" s="59">
        <v>0</v>
      </c>
      <c r="AA19" s="59">
        <v>0</v>
      </c>
      <c r="AB19" s="59">
        <f t="shared" si="15"/>
        <v>0.18</v>
      </c>
      <c r="AC19" s="60">
        <f t="shared" ref="AC19:AC34" si="16">Q19*S19*(1+T19)*(1+U19)*V19*(1+W19)*X19*Y19*(1+Z19)*(1+AA19)*(1+AB19)</f>
        <v>70578.1235253213</v>
      </c>
    </row>
    <row r="20" s="1" customFormat="1" spans="2:31">
      <c r="B20" s="25" t="s">
        <v>45</v>
      </c>
      <c r="C20" s="31"/>
      <c r="D20" s="25" t="s">
        <v>49</v>
      </c>
      <c r="E20" s="27">
        <f>58%+40%</f>
        <v>0.98</v>
      </c>
      <c r="F20" s="25" t="s">
        <v>33</v>
      </c>
      <c r="G20" s="28">
        <f>M19</f>
        <v>0.405</v>
      </c>
      <c r="H20" s="25"/>
      <c r="I20" s="28"/>
      <c r="J20" s="30"/>
      <c r="K20" s="28"/>
      <c r="L20" s="25" t="s">
        <v>47</v>
      </c>
      <c r="M20" s="27">
        <f>16.2%*5</f>
        <v>0.81</v>
      </c>
      <c r="N20" s="6"/>
      <c r="P20" s="54" t="s">
        <v>70</v>
      </c>
      <c r="Q20" s="55">
        <f>40.06%+40.06%+53.41%</f>
        <v>1.3353</v>
      </c>
      <c r="R20" s="56" t="s">
        <v>44</v>
      </c>
      <c r="S20" s="56">
        <f t="shared" si="10"/>
        <v>1050</v>
      </c>
      <c r="T20" s="55">
        <f t="shared" si="11"/>
        <v>2.25533333333333</v>
      </c>
      <c r="U20" s="55">
        <f t="shared" ref="U20:U25" si="17">SUM($E$17:$E$22)+U$37</f>
        <v>3.692</v>
      </c>
      <c r="V20" s="57">
        <f t="shared" si="12"/>
        <v>2.50698</v>
      </c>
      <c r="W20" s="58">
        <f>$K$17+K$18</f>
        <v>1.25</v>
      </c>
      <c r="X20" s="57">
        <f t="shared" si="14"/>
        <v>0.527631213551791</v>
      </c>
      <c r="Y20" s="56">
        <f t="shared" ref="Y20:Y33" si="18">AE$23</f>
        <v>0.8</v>
      </c>
      <c r="Z20" s="59">
        <v>0</v>
      </c>
      <c r="AA20" s="59">
        <v>0</v>
      </c>
      <c r="AB20" s="59">
        <f t="shared" si="15"/>
        <v>0.18</v>
      </c>
      <c r="AC20" s="60">
        <f t="shared" si="16"/>
        <v>60166.8781469821</v>
      </c>
    </row>
    <row r="21" s="1" customFormat="1" spans="2:31">
      <c r="B21" s="25" t="s">
        <v>49</v>
      </c>
      <c r="C21" s="31">
        <f>25%+30%</f>
        <v>0.55</v>
      </c>
      <c r="D21" s="25" t="s">
        <v>50</v>
      </c>
      <c r="E21" s="32">
        <v>0.2</v>
      </c>
      <c r="F21" s="25"/>
      <c r="G21" s="28"/>
      <c r="H21" s="25" t="s">
        <v>52</v>
      </c>
      <c r="I21" s="28">
        <v>0.2</v>
      </c>
      <c r="J21" s="30"/>
      <c r="K21" s="28"/>
      <c r="L21" s="25"/>
      <c r="M21" s="26"/>
      <c r="N21" s="6"/>
      <c r="P21" s="54" t="s">
        <v>71</v>
      </c>
      <c r="Q21" s="55">
        <f>70.14%+70.14%</f>
        <v>1.4028</v>
      </c>
      <c r="R21" s="56" t="s">
        <v>44</v>
      </c>
      <c r="S21" s="56">
        <f t="shared" si="10"/>
        <v>1050</v>
      </c>
      <c r="T21" s="55">
        <f t="shared" si="11"/>
        <v>2.25533333333333</v>
      </c>
      <c r="U21" s="55">
        <f t="shared" si="17"/>
        <v>3.692</v>
      </c>
      <c r="V21" s="57">
        <f t="shared" si="12"/>
        <v>2.50698</v>
      </c>
      <c r="W21" s="58">
        <f t="shared" ref="W21:W33" si="19">$K$17+K$18</f>
        <v>1.25</v>
      </c>
      <c r="X21" s="57">
        <f t="shared" si="14"/>
        <v>0.527631213551791</v>
      </c>
      <c r="Y21" s="56">
        <f t="shared" si="18"/>
        <v>0.8</v>
      </c>
      <c r="Z21" s="59">
        <v>0</v>
      </c>
      <c r="AA21" s="59">
        <v>0</v>
      </c>
      <c r="AB21" s="59">
        <f t="shared" si="15"/>
        <v>0.18</v>
      </c>
      <c r="AC21" s="60">
        <f t="shared" si="16"/>
        <v>63208.3401966498</v>
      </c>
    </row>
    <row r="22" s="1" customFormat="1" spans="2:31">
      <c r="B22" s="25" t="s">
        <v>54</v>
      </c>
      <c r="C22" s="26">
        <v>350</v>
      </c>
      <c r="D22" s="25" t="s">
        <v>55</v>
      </c>
      <c r="E22" s="33">
        <f>12%+M18</f>
        <v>0.292</v>
      </c>
      <c r="F22" s="34" t="s">
        <v>56</v>
      </c>
      <c r="G22" s="35">
        <f>MIN(100%,SUM(G17:G21))</f>
        <v>0.998</v>
      </c>
      <c r="H22" s="34" t="s">
        <v>57</v>
      </c>
      <c r="I22" s="36">
        <f>SUM(I17:I21)</f>
        <v>2.51</v>
      </c>
      <c r="J22" s="30"/>
      <c r="K22" s="28"/>
      <c r="L22" s="25"/>
      <c r="M22" s="26"/>
      <c r="N22" s="6"/>
      <c r="P22" s="61" t="s">
        <v>72</v>
      </c>
      <c r="Q22" s="61">
        <f>26.56%*5+88.53%</f>
        <v>2.2133</v>
      </c>
      <c r="R22" s="56" t="s">
        <v>44</v>
      </c>
      <c r="S22" s="56">
        <f t="shared" si="10"/>
        <v>1050</v>
      </c>
      <c r="T22" s="55">
        <f t="shared" si="11"/>
        <v>2.25533333333333</v>
      </c>
      <c r="U22" s="55">
        <f>SUM($E$17:$E$22)</f>
        <v>2.192</v>
      </c>
      <c r="V22" s="57">
        <f t="shared" si="12"/>
        <v>2.50698</v>
      </c>
      <c r="W22" s="58">
        <f t="shared" si="19"/>
        <v>1.25</v>
      </c>
      <c r="X22" s="57">
        <f t="shared" si="14"/>
        <v>0.527631213551791</v>
      </c>
      <c r="Y22" s="56">
        <f t="shared" si="18"/>
        <v>0.8</v>
      </c>
      <c r="Z22" s="59">
        <v>1.1</v>
      </c>
      <c r="AA22" s="59">
        <v>0.65</v>
      </c>
      <c r="AB22" s="59">
        <f t="shared" si="15"/>
        <v>0.18</v>
      </c>
      <c r="AC22" s="60">
        <f>Q22*S22*(1+T22)*(1+U22)*V22*(1+W22)*X22*Y22*(1+Z22)*(1+AA22)*(1+AB22)*1.3</f>
        <v>305611.98628828</v>
      </c>
      <c r="AE22" s="62" t="s">
        <v>73</v>
      </c>
    </row>
    <row r="23" s="1" customFormat="1" spans="2:31">
      <c r="B23" s="40" t="s">
        <v>61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4" t="s">
        <v>74</v>
      </c>
      <c r="Q23" s="55">
        <v>0.5746</v>
      </c>
      <c r="R23" s="56" t="s">
        <v>44</v>
      </c>
      <c r="S23" s="56">
        <f t="shared" si="10"/>
        <v>1050</v>
      </c>
      <c r="T23" s="55">
        <f t="shared" si="11"/>
        <v>2.25533333333333</v>
      </c>
      <c r="U23" s="55">
        <f t="shared" ref="U23:U29" si="20">SUM($E$17:$E$22)+U$37</f>
        <v>3.692</v>
      </c>
      <c r="V23" s="57">
        <f t="shared" si="12"/>
        <v>2.50698</v>
      </c>
      <c r="W23" s="58">
        <f t="shared" si="19"/>
        <v>1.25</v>
      </c>
      <c r="X23" s="57">
        <f t="shared" si="14"/>
        <v>0.527631213551791</v>
      </c>
      <c r="Y23" s="56">
        <f t="shared" si="18"/>
        <v>0.8</v>
      </c>
      <c r="Z23" s="59">
        <v>0</v>
      </c>
      <c r="AA23" s="59">
        <v>0</v>
      </c>
      <c r="AB23" s="59">
        <f t="shared" si="15"/>
        <v>0.18</v>
      </c>
      <c r="AC23" s="60">
        <f t="shared" si="16"/>
        <v>25890.7273146528</v>
      </c>
      <c r="AE23" s="1">
        <v>0.8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4" t="s">
        <v>70</v>
      </c>
      <c r="Q24" s="55">
        <f>45.63%+45.63%</f>
        <v>0.9126</v>
      </c>
      <c r="R24" s="56" t="s">
        <v>44</v>
      </c>
      <c r="S24" s="56">
        <f t="shared" si="10"/>
        <v>1050</v>
      </c>
      <c r="T24" s="55">
        <f t="shared" si="11"/>
        <v>2.25533333333333</v>
      </c>
      <c r="U24" s="55">
        <f t="shared" si="17"/>
        <v>3.692</v>
      </c>
      <c r="V24" s="57">
        <f t="shared" si="12"/>
        <v>2.50698</v>
      </c>
      <c r="W24" s="58">
        <f t="shared" si="19"/>
        <v>1.25</v>
      </c>
      <c r="X24" s="57">
        <f t="shared" si="14"/>
        <v>0.527631213551791</v>
      </c>
      <c r="Y24" s="56">
        <f t="shared" si="18"/>
        <v>0.8</v>
      </c>
      <c r="Z24" s="59">
        <v>0</v>
      </c>
      <c r="AA24" s="59">
        <v>0</v>
      </c>
      <c r="AB24" s="59">
        <f t="shared" si="15"/>
        <v>0.18</v>
      </c>
      <c r="AC24" s="60">
        <f t="shared" si="16"/>
        <v>41120.5669115074</v>
      </c>
    </row>
    <row r="25" s="1" customFormat="1" ht="15" spans="2:31">
      <c r="B25" s="63" t="s">
        <v>75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4" t="s">
        <v>71</v>
      </c>
      <c r="Q25" s="55">
        <f>70.14%+70.14%</f>
        <v>1.4028</v>
      </c>
      <c r="R25" s="56" t="s">
        <v>44</v>
      </c>
      <c r="S25" s="56">
        <f t="shared" si="10"/>
        <v>1050</v>
      </c>
      <c r="T25" s="55">
        <f t="shared" si="11"/>
        <v>2.25533333333333</v>
      </c>
      <c r="U25" s="55">
        <f t="shared" si="17"/>
        <v>3.692</v>
      </c>
      <c r="V25" s="57">
        <f t="shared" si="12"/>
        <v>2.50698</v>
      </c>
      <c r="W25" s="58">
        <f t="shared" si="19"/>
        <v>1.25</v>
      </c>
      <c r="X25" s="57">
        <f t="shared" si="14"/>
        <v>0.527631213551791</v>
      </c>
      <c r="Y25" s="56">
        <f t="shared" si="18"/>
        <v>0.8</v>
      </c>
      <c r="Z25" s="59">
        <v>0</v>
      </c>
      <c r="AA25" s="59">
        <v>0</v>
      </c>
      <c r="AB25" s="59">
        <f t="shared" si="15"/>
        <v>0.18</v>
      </c>
      <c r="AC25" s="60">
        <f t="shared" si="16"/>
        <v>63208.3401966498</v>
      </c>
      <c r="AE25" s="1" t="s">
        <v>76</v>
      </c>
    </row>
    <row r="26" s="1" customFormat="1" spans="2:31">
      <c r="B26" s="64" t="s">
        <v>77</v>
      </c>
      <c r="C26" s="64" t="s">
        <v>78</v>
      </c>
      <c r="D26" s="64" t="s">
        <v>79</v>
      </c>
      <c r="E26" s="64" t="s">
        <v>80</v>
      </c>
      <c r="F26" s="65"/>
      <c r="G26" s="45"/>
      <c r="H26" s="6"/>
      <c r="I26" s="6"/>
      <c r="J26" s="6"/>
      <c r="K26" s="6"/>
      <c r="L26" s="6"/>
      <c r="M26" s="6"/>
      <c r="N26" s="6"/>
      <c r="P26" s="54" t="s">
        <v>81</v>
      </c>
      <c r="Q26" s="55">
        <f>95.91%*3</f>
        <v>2.8773</v>
      </c>
      <c r="R26" s="56" t="s">
        <v>44</v>
      </c>
      <c r="S26" s="56">
        <f t="shared" si="10"/>
        <v>1050</v>
      </c>
      <c r="T26" s="55">
        <f t="shared" si="11"/>
        <v>2.25533333333333</v>
      </c>
      <c r="U26" s="55">
        <f>SUM($E$17:$E$22)</f>
        <v>2.192</v>
      </c>
      <c r="V26" s="57">
        <f t="shared" si="12"/>
        <v>2.50698</v>
      </c>
      <c r="W26" s="58">
        <f t="shared" si="19"/>
        <v>1.25</v>
      </c>
      <c r="X26" s="57">
        <f t="shared" si="14"/>
        <v>0.527631213551791</v>
      </c>
      <c r="Y26" s="56">
        <f t="shared" si="18"/>
        <v>0.8</v>
      </c>
      <c r="Z26" s="59">
        <v>1.1</v>
      </c>
      <c r="AA26" s="59">
        <v>0.65</v>
      </c>
      <c r="AB26" s="59">
        <f t="shared" si="15"/>
        <v>0.18</v>
      </c>
      <c r="AC26" s="60">
        <f>Q26*S26*(1+T26)*(1+U26)*V26*(1+W26)*X26*Y26*(1+Z26)*(1+AA26)*(1+AB26)*1.3</f>
        <v>397296.962972606</v>
      </c>
      <c r="AE26" s="66">
        <v>0.18</v>
      </c>
    </row>
    <row r="27" s="1" customFormat="1" spans="2:31">
      <c r="B27" s="67" t="s">
        <v>82</v>
      </c>
      <c r="C27" s="67">
        <f>SUM(AC3:AC11)</f>
        <v>411139.805359141</v>
      </c>
      <c r="D27" s="67">
        <f t="shared" ref="D27:D30" si="21">C27/E$27</f>
        <v>16445.5922143656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4" t="s">
        <v>74</v>
      </c>
      <c r="Q27" s="55">
        <v>0.5746</v>
      </c>
      <c r="R27" s="56" t="s">
        <v>44</v>
      </c>
      <c r="S27" s="56">
        <f t="shared" si="10"/>
        <v>1050</v>
      </c>
      <c r="T27" s="55">
        <f t="shared" si="11"/>
        <v>2.25533333333333</v>
      </c>
      <c r="U27" s="55">
        <f t="shared" si="20"/>
        <v>3.692</v>
      </c>
      <c r="V27" s="57">
        <f t="shared" si="12"/>
        <v>2.50698</v>
      </c>
      <c r="W27" s="58">
        <f t="shared" si="19"/>
        <v>1.25</v>
      </c>
      <c r="X27" s="57">
        <f t="shared" si="14"/>
        <v>0.527631213551791</v>
      </c>
      <c r="Y27" s="56">
        <f t="shared" si="18"/>
        <v>0.8</v>
      </c>
      <c r="Z27" s="59">
        <v>0</v>
      </c>
      <c r="AA27" s="59">
        <v>0</v>
      </c>
      <c r="AB27" s="59">
        <f t="shared" si="15"/>
        <v>0.18</v>
      </c>
      <c r="AC27" s="60">
        <f t="shared" si="16"/>
        <v>25890.7273146528</v>
      </c>
    </row>
    <row r="28" s="1" customFormat="1" spans="2:31">
      <c r="B28" s="67" t="s">
        <v>83</v>
      </c>
      <c r="C28" s="67">
        <f>66173*(1+AE26)</f>
        <v>78084.14</v>
      </c>
      <c r="D28" s="67">
        <f t="shared" si="21"/>
        <v>3123.3656</v>
      </c>
      <c r="E28" s="6"/>
      <c r="F28" s="6"/>
      <c r="G28" s="45"/>
      <c r="H28" s="6"/>
      <c r="I28" s="6"/>
      <c r="J28" s="6"/>
      <c r="K28" s="6"/>
      <c r="L28" s="6"/>
      <c r="M28" s="6"/>
      <c r="N28" s="6"/>
      <c r="P28" s="54" t="s">
        <v>70</v>
      </c>
      <c r="Q28" s="55">
        <f>40.06%+40.06%+53.41%</f>
        <v>1.3353</v>
      </c>
      <c r="R28" s="56" t="s">
        <v>44</v>
      </c>
      <c r="S28" s="56">
        <f t="shared" si="10"/>
        <v>1050</v>
      </c>
      <c r="T28" s="55">
        <f t="shared" si="11"/>
        <v>2.25533333333333</v>
      </c>
      <c r="U28" s="55">
        <f t="shared" si="20"/>
        <v>3.692</v>
      </c>
      <c r="V28" s="57">
        <f t="shared" si="12"/>
        <v>2.50698</v>
      </c>
      <c r="W28" s="58">
        <f t="shared" si="19"/>
        <v>1.25</v>
      </c>
      <c r="X28" s="57">
        <f t="shared" si="14"/>
        <v>0.527631213551791</v>
      </c>
      <c r="Y28" s="56">
        <f t="shared" si="18"/>
        <v>0.8</v>
      </c>
      <c r="Z28" s="59">
        <v>0</v>
      </c>
      <c r="AA28" s="59">
        <v>0</v>
      </c>
      <c r="AB28" s="59">
        <f t="shared" si="15"/>
        <v>0.18</v>
      </c>
      <c r="AC28" s="60">
        <f t="shared" si="16"/>
        <v>60166.8781469821</v>
      </c>
    </row>
    <row r="29" s="1" customFormat="1" spans="2:31">
      <c r="B29" s="67" t="s">
        <v>84</v>
      </c>
      <c r="C29" s="67">
        <f>SUM(AC18:AC34)</f>
        <v>3512142.15212686</v>
      </c>
      <c r="D29" s="67">
        <f t="shared" si="21"/>
        <v>140485.686085074</v>
      </c>
      <c r="E29" s="45"/>
      <c r="F29" s="6"/>
      <c r="G29" s="68"/>
      <c r="H29" s="6"/>
      <c r="I29" s="6"/>
      <c r="J29" s="6"/>
      <c r="K29" s="6"/>
      <c r="L29" s="6"/>
      <c r="M29" s="6"/>
      <c r="N29" s="6"/>
      <c r="P29" s="54" t="s">
        <v>71</v>
      </c>
      <c r="Q29" s="55">
        <f>70.14%+70.14%</f>
        <v>1.4028</v>
      </c>
      <c r="R29" s="56" t="s">
        <v>44</v>
      </c>
      <c r="S29" s="56">
        <f t="shared" si="10"/>
        <v>1050</v>
      </c>
      <c r="T29" s="55">
        <f t="shared" si="11"/>
        <v>2.25533333333333</v>
      </c>
      <c r="U29" s="55">
        <f t="shared" si="20"/>
        <v>3.692</v>
      </c>
      <c r="V29" s="57">
        <f t="shared" si="12"/>
        <v>2.50698</v>
      </c>
      <c r="W29" s="58">
        <f t="shared" si="19"/>
        <v>1.25</v>
      </c>
      <c r="X29" s="57">
        <f t="shared" si="14"/>
        <v>0.527631213551791</v>
      </c>
      <c r="Y29" s="56">
        <f t="shared" si="18"/>
        <v>0.8</v>
      </c>
      <c r="Z29" s="59">
        <v>0</v>
      </c>
      <c r="AA29" s="59">
        <v>0</v>
      </c>
      <c r="AB29" s="59">
        <f t="shared" si="15"/>
        <v>0.18</v>
      </c>
      <c r="AC29" s="60">
        <f t="shared" si="16"/>
        <v>63208.3401966498</v>
      </c>
    </row>
    <row r="30" s="1" customFormat="1" spans="2:31">
      <c r="B30" s="67" t="s">
        <v>85</v>
      </c>
      <c r="C30" s="67">
        <v>101573</v>
      </c>
      <c r="D30" s="67">
        <f t="shared" si="21"/>
        <v>4062.92</v>
      </c>
      <c r="E30" s="45"/>
      <c r="F30" s="6"/>
      <c r="G30" s="45"/>
      <c r="H30" s="6"/>
      <c r="I30" s="6"/>
      <c r="J30" s="6"/>
      <c r="K30" s="6"/>
      <c r="L30" s="6"/>
      <c r="M30" s="6"/>
      <c r="N30" s="6"/>
      <c r="P30" s="54" t="s">
        <v>86</v>
      </c>
      <c r="Q30" s="55">
        <v>3.5411</v>
      </c>
      <c r="R30" s="56" t="s">
        <v>44</v>
      </c>
      <c r="S30" s="56">
        <f t="shared" si="10"/>
        <v>1050</v>
      </c>
      <c r="T30" s="55">
        <f t="shared" si="11"/>
        <v>2.25533333333333</v>
      </c>
      <c r="U30" s="55">
        <f>SUM($E$17:$E$22)</f>
        <v>2.192</v>
      </c>
      <c r="V30" s="57">
        <f t="shared" si="12"/>
        <v>2.50698</v>
      </c>
      <c r="W30" s="58">
        <f t="shared" si="19"/>
        <v>1.25</v>
      </c>
      <c r="X30" s="57">
        <f t="shared" si="14"/>
        <v>0.527631213551791</v>
      </c>
      <c r="Y30" s="56">
        <f t="shared" si="18"/>
        <v>0.8</v>
      </c>
      <c r="Z30" s="59">
        <v>1.1</v>
      </c>
      <c r="AA30" s="59">
        <v>0.65</v>
      </c>
      <c r="AB30" s="59">
        <f t="shared" si="15"/>
        <v>0.18</v>
      </c>
      <c r="AC30" s="60">
        <f>Q30*S30*(1+T30)*(1+U30)*V30*(1+W30)*X30*Y30*(1+Z30)*(1+AA30)*(1+AB30)*1.3</f>
        <v>488954.323700099</v>
      </c>
    </row>
    <row r="31" s="1" customFormat="1" spans="2:31">
      <c r="B31" s="67" t="s">
        <v>87</v>
      </c>
      <c r="C31" s="67">
        <f>SUM(C27:C30)</f>
        <v>4102939.097486</v>
      </c>
      <c r="D31" s="67">
        <f>C31/E27</f>
        <v>164117.56389944</v>
      </c>
      <c r="E31" s="6"/>
      <c r="F31" s="56" t="s">
        <v>88</v>
      </c>
      <c r="G31" s="55" t="s">
        <v>89</v>
      </c>
      <c r="H31" s="56"/>
      <c r="I31" s="6"/>
      <c r="J31" s="6"/>
      <c r="K31" s="6"/>
      <c r="L31" s="6"/>
      <c r="M31" s="6"/>
      <c r="N31" s="6"/>
      <c r="P31" s="54" t="s">
        <v>107</v>
      </c>
      <c r="Q31" s="55">
        <v>5.28</v>
      </c>
      <c r="R31" s="56" t="s">
        <v>44</v>
      </c>
      <c r="S31" s="56">
        <f t="shared" si="10"/>
        <v>1050</v>
      </c>
      <c r="T31" s="55">
        <f t="shared" si="11"/>
        <v>2.25533333333333</v>
      </c>
      <c r="U31" s="55">
        <f>SUM($E$17:$E$22)</f>
        <v>2.192</v>
      </c>
      <c r="V31" s="57">
        <f t="shared" si="12"/>
        <v>2.50698</v>
      </c>
      <c r="W31" s="58">
        <f t="shared" si="19"/>
        <v>1.25</v>
      </c>
      <c r="X31" s="57">
        <f t="shared" si="14"/>
        <v>0.527631213551791</v>
      </c>
      <c r="Y31" s="56">
        <f t="shared" si="18"/>
        <v>0.8</v>
      </c>
      <c r="Z31" s="59">
        <v>0</v>
      </c>
      <c r="AA31" s="59">
        <v>0</v>
      </c>
      <c r="AB31" s="59">
        <f t="shared" si="15"/>
        <v>0.18</v>
      </c>
      <c r="AC31" s="60">
        <f t="shared" si="16"/>
        <v>161851.761656429</v>
      </c>
    </row>
    <row r="32" s="1" customFormat="1" spans="2:31">
      <c r="B32" s="67"/>
      <c r="C32" s="67"/>
      <c r="D32" s="67"/>
      <c r="E32" s="6"/>
      <c r="F32" s="67" t="s">
        <v>91</v>
      </c>
      <c r="G32" s="6">
        <v>67484</v>
      </c>
      <c r="H32" s="45">
        <f>G32/G34</f>
        <v>0.975413745754137</v>
      </c>
      <c r="I32" s="6"/>
      <c r="J32" s="6"/>
      <c r="K32" s="6"/>
      <c r="L32" s="6"/>
      <c r="M32" s="6"/>
      <c r="N32" s="6"/>
      <c r="P32" s="61" t="s">
        <v>90</v>
      </c>
      <c r="Q32" s="55">
        <f>460.34%</f>
        <v>4.6034</v>
      </c>
      <c r="R32" s="56" t="s">
        <v>44</v>
      </c>
      <c r="S32" s="56">
        <f t="shared" si="10"/>
        <v>1050</v>
      </c>
      <c r="T32" s="55">
        <f t="shared" si="11"/>
        <v>2.25533333333333</v>
      </c>
      <c r="U32" s="55">
        <f>SUM($E$17:$E$22)</f>
        <v>2.192</v>
      </c>
      <c r="V32" s="57">
        <f t="shared" si="12"/>
        <v>2.50698</v>
      </c>
      <c r="W32" s="58">
        <f t="shared" si="19"/>
        <v>1.25</v>
      </c>
      <c r="X32" s="57">
        <f t="shared" si="14"/>
        <v>0.527631213551791</v>
      </c>
      <c r="Y32" s="56">
        <f t="shared" si="18"/>
        <v>0.8</v>
      </c>
      <c r="Z32" s="59">
        <v>0.3</v>
      </c>
      <c r="AA32" s="59">
        <v>0.65</v>
      </c>
      <c r="AB32" s="59">
        <f t="shared" si="15"/>
        <v>0.18</v>
      </c>
      <c r="AC32" s="60">
        <f t="shared" si="16"/>
        <v>302684.03734124</v>
      </c>
    </row>
    <row r="33" s="1" customFormat="1" ht="28" spans="2:29">
      <c r="B33" s="67"/>
      <c r="C33" s="67"/>
      <c r="D33" s="67"/>
      <c r="E33" s="6"/>
      <c r="F33" s="6" t="s">
        <v>93</v>
      </c>
      <c r="G33" s="68">
        <v>68959</v>
      </c>
      <c r="H33" s="45">
        <f>G33/G34</f>
        <v>0.996733395967334</v>
      </c>
      <c r="I33" s="6"/>
      <c r="J33" s="6"/>
      <c r="K33" s="6"/>
      <c r="L33" s="6"/>
      <c r="M33" s="6"/>
      <c r="N33" s="6"/>
      <c r="P33" s="69" t="s">
        <v>92</v>
      </c>
      <c r="Q33" s="55">
        <f>745.54%+49.71%*5</f>
        <v>9.9409</v>
      </c>
      <c r="R33" s="56" t="s">
        <v>44</v>
      </c>
      <c r="S33" s="56">
        <f t="shared" si="10"/>
        <v>1050</v>
      </c>
      <c r="T33" s="55">
        <f t="shared" si="11"/>
        <v>2.25533333333333</v>
      </c>
      <c r="U33" s="55">
        <f>SUM($E$17:$E$22)+40%+120%</f>
        <v>3.792</v>
      </c>
      <c r="V33" s="57">
        <f t="shared" si="12"/>
        <v>2.50698</v>
      </c>
      <c r="W33" s="58">
        <f t="shared" si="19"/>
        <v>1.25</v>
      </c>
      <c r="X33" s="57">
        <f t="shared" si="14"/>
        <v>0.527631213551791</v>
      </c>
      <c r="Y33" s="56">
        <f t="shared" si="18"/>
        <v>0.8</v>
      </c>
      <c r="Z33" s="59">
        <v>0.6</v>
      </c>
      <c r="AA33" s="59">
        <v>0.6</v>
      </c>
      <c r="AB33" s="59">
        <f t="shared" si="15"/>
        <v>0.18</v>
      </c>
      <c r="AC33" s="60">
        <f t="shared" si="16"/>
        <v>1171124.60459365</v>
      </c>
    </row>
    <row r="34" s="1" customFormat="1" ht="17.5" spans="2:29">
      <c r="B34" s="6"/>
      <c r="C34" s="6"/>
      <c r="D34" s="6"/>
      <c r="E34" s="6"/>
      <c r="F34" s="67" t="s">
        <v>95</v>
      </c>
      <c r="G34" s="68">
        <v>69185</v>
      </c>
      <c r="H34" s="73">
        <v>1</v>
      </c>
      <c r="I34" s="6"/>
      <c r="J34" s="70" t="s">
        <v>96</v>
      </c>
      <c r="K34" s="70" t="s">
        <v>97</v>
      </c>
      <c r="L34" s="6"/>
      <c r="M34" s="6"/>
      <c r="N34" s="6"/>
      <c r="P34" s="54" t="s">
        <v>94</v>
      </c>
      <c r="Q34" s="55">
        <v>5</v>
      </c>
      <c r="R34" s="56" t="s">
        <v>60</v>
      </c>
      <c r="S34" s="56">
        <f t="shared" si="10"/>
        <v>1050</v>
      </c>
      <c r="T34" s="55">
        <f t="shared" si="11"/>
        <v>2.25533333333333</v>
      </c>
      <c r="U34" s="55">
        <f>SUM($E$17:$E$21)+80%</f>
        <v>2.7</v>
      </c>
      <c r="V34" s="57">
        <f t="shared" si="12"/>
        <v>2.50698</v>
      </c>
      <c r="W34" s="58">
        <f>$K$17</f>
        <v>1.05</v>
      </c>
      <c r="X34" s="57">
        <f t="shared" si="14"/>
        <v>0.527631213551791</v>
      </c>
      <c r="Y34" s="56">
        <v>0.8</v>
      </c>
      <c r="Z34" s="59">
        <v>0</v>
      </c>
      <c r="AA34" s="59">
        <v>0</v>
      </c>
      <c r="AB34" s="59">
        <f t="shared" si="15"/>
        <v>0.18</v>
      </c>
      <c r="AC34" s="60">
        <f t="shared" si="16"/>
        <v>161869.004920236</v>
      </c>
    </row>
    <row r="35" s="1" customFormat="1" ht="17.5" spans="2:29">
      <c r="B35" s="6"/>
      <c r="C35" s="6"/>
      <c r="D35" s="6"/>
      <c r="E35" s="6"/>
      <c r="F35" s="67"/>
      <c r="G35" s="2"/>
      <c r="J35" s="71" t="s">
        <v>98</v>
      </c>
      <c r="K35" s="72">
        <v>78134</v>
      </c>
      <c r="N35" s="6"/>
      <c r="P35" s="54"/>
      <c r="Q35" s="55"/>
      <c r="R35" s="56"/>
      <c r="S35" s="56"/>
      <c r="T35" s="56"/>
      <c r="U35" s="55"/>
      <c r="V35" s="57"/>
      <c r="W35" s="59"/>
      <c r="X35" s="56"/>
      <c r="Y35" s="56"/>
      <c r="Z35" s="59"/>
      <c r="AA35" s="59"/>
      <c r="AB35" s="74"/>
      <c r="AC35" s="60"/>
    </row>
    <row r="36" s="1" customFormat="1" ht="17.5" spans="2:29">
      <c r="B36" s="67"/>
      <c r="C36" s="67"/>
      <c r="D36" s="67"/>
      <c r="E36" s="6"/>
      <c r="F36" s="6"/>
      <c r="G36" s="2"/>
      <c r="J36" s="71" t="s">
        <v>99</v>
      </c>
      <c r="K36" s="72">
        <v>82327</v>
      </c>
      <c r="N36" s="6"/>
      <c r="P36" s="75"/>
      <c r="Q36" s="75"/>
      <c r="R36" s="75"/>
      <c r="U36" s="2"/>
      <c r="V36" s="3"/>
      <c r="AB36" s="4"/>
      <c r="AC36" s="4"/>
    </row>
    <row r="37" s="1" customFormat="1" ht="17.5" spans="2:29">
      <c r="B37" s="67"/>
      <c r="C37" s="67"/>
      <c r="D37" s="67"/>
      <c r="E37" s="6"/>
      <c r="F37" s="67"/>
      <c r="G37" s="2"/>
      <c r="J37" s="71" t="s">
        <v>77</v>
      </c>
      <c r="K37" s="72">
        <v>91774</v>
      </c>
      <c r="N37" s="6"/>
      <c r="U37" s="2">
        <v>1.5</v>
      </c>
      <c r="V37" s="3"/>
      <c r="AB37" s="4"/>
      <c r="AC37" s="4"/>
    </row>
    <row r="38" s="1" customFormat="1" ht="17.5" spans="2:29">
      <c r="B38" s="6"/>
      <c r="C38" s="6"/>
      <c r="D38" s="6"/>
      <c r="E38" s="6"/>
      <c r="F38" s="67"/>
      <c r="G38" s="2"/>
      <c r="J38" s="71" t="s">
        <v>100</v>
      </c>
      <c r="K38" s="72">
        <v>96234</v>
      </c>
      <c r="N38" s="6"/>
      <c r="Q38" s="2"/>
      <c r="U38" s="2"/>
      <c r="V38" s="3"/>
      <c r="AB38" s="4"/>
      <c r="AC38" s="4"/>
    </row>
    <row r="39" s="1" customFormat="1" ht="17.5" spans="2:29">
      <c r="B39" s="67"/>
      <c r="C39" s="67"/>
      <c r="D39" s="67"/>
      <c r="E39" s="6"/>
      <c r="F39" s="6"/>
      <c r="G39" s="2"/>
      <c r="J39" s="71" t="s">
        <v>101</v>
      </c>
      <c r="K39" s="76">
        <f>(K35+K36+K37+K38)/4</f>
        <v>87117.25</v>
      </c>
      <c r="M39" s="88" t="s">
        <v>32</v>
      </c>
      <c r="N39" s="88" t="s">
        <v>102</v>
      </c>
      <c r="O39" s="88"/>
      <c r="Q39" s="2"/>
      <c r="U39" s="2"/>
      <c r="V39" s="78"/>
      <c r="AB39" s="4"/>
      <c r="AC39" s="4"/>
    </row>
    <row r="40" s="1" customFormat="1" ht="20" customHeight="1" spans="2:29">
      <c r="B40" s="67"/>
      <c r="C40" s="67"/>
      <c r="D40" s="67"/>
      <c r="E40" s="6"/>
      <c r="F40" s="67"/>
      <c r="G40" s="2"/>
      <c r="M40" s="71" t="s">
        <v>103</v>
      </c>
      <c r="N40" s="71">
        <v>87798</v>
      </c>
      <c r="O40" s="87">
        <f t="shared" ref="O40:O43" si="22">N40/N$41</f>
        <v>1.26903230469032</v>
      </c>
      <c r="Q40" s="78"/>
      <c r="U40" s="2"/>
      <c r="V40" s="78"/>
      <c r="AB40" s="4"/>
      <c r="AC40" s="4"/>
    </row>
    <row r="41" s="1" customFormat="1" ht="20" customHeight="1" spans="2:29">
      <c r="B41" s="6"/>
      <c r="C41" s="6"/>
      <c r="D41" s="6"/>
      <c r="E41" s="6"/>
      <c r="G41" s="2"/>
      <c r="M41" s="89" t="s">
        <v>104</v>
      </c>
      <c r="N41" s="89">
        <v>69185</v>
      </c>
      <c r="O41" s="90">
        <f t="shared" si="22"/>
        <v>1</v>
      </c>
      <c r="Q41" s="78"/>
      <c r="V41" s="78"/>
      <c r="AB41" s="4"/>
      <c r="AC41" s="4"/>
    </row>
    <row r="42" s="1" customFormat="1" ht="20" customHeight="1" spans="2:29">
      <c r="B42" s="67"/>
      <c r="C42" s="67"/>
      <c r="D42" s="67"/>
      <c r="E42" s="6"/>
      <c r="G42" s="2"/>
      <c r="M42" s="71" t="s">
        <v>105</v>
      </c>
      <c r="N42" s="71">
        <v>60074</v>
      </c>
      <c r="O42" s="87">
        <f t="shared" si="22"/>
        <v>0.868309604683096</v>
      </c>
      <c r="Q42" s="78"/>
      <c r="U42" s="2"/>
      <c r="V42" s="2"/>
      <c r="AB42" s="4"/>
      <c r="AC42" s="4"/>
    </row>
    <row r="43" s="1" customFormat="1" ht="20" customHeight="1" spans="2:29">
      <c r="B43" s="67"/>
      <c r="C43" s="67"/>
      <c r="D43" s="67"/>
      <c r="E43" s="6"/>
      <c r="G43" s="2"/>
      <c r="M43" s="71" t="s">
        <v>106</v>
      </c>
      <c r="N43" s="71">
        <v>64403</v>
      </c>
      <c r="O43" s="87">
        <f t="shared" si="22"/>
        <v>0.93088097130881</v>
      </c>
      <c r="Q43" s="81"/>
      <c r="U43" s="2"/>
      <c r="V43" s="3"/>
      <c r="AB43" s="4"/>
      <c r="AC43" s="4"/>
    </row>
    <row r="44" s="1" customFormat="1" spans="2:29">
      <c r="B44" s="6"/>
      <c r="C44" s="6"/>
      <c r="D44" s="6"/>
      <c r="E44" s="6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T45" s="1" t="s">
        <v>108</v>
      </c>
      <c r="U45" s="2"/>
      <c r="V45" s="3"/>
      <c r="AB45" s="4"/>
      <c r="AC45" s="4"/>
    </row>
    <row r="46" s="1" customFormat="1" ht="17.5" spans="2:29">
      <c r="E46" s="6"/>
      <c r="G46" s="2"/>
      <c r="M46" s="91" t="s">
        <v>96</v>
      </c>
      <c r="N46" s="91" t="s">
        <v>109</v>
      </c>
      <c r="O46" s="91">
        <v>11</v>
      </c>
      <c r="P46" s="91">
        <v>21</v>
      </c>
      <c r="Q46" s="92">
        <v>31</v>
      </c>
      <c r="R46" s="91">
        <v>41</v>
      </c>
      <c r="S46" s="91">
        <v>51</v>
      </c>
      <c r="T46" s="91">
        <v>61</v>
      </c>
      <c r="U46" s="2"/>
      <c r="V46" s="3"/>
      <c r="AB46" s="4"/>
      <c r="AC46" s="4"/>
    </row>
    <row r="47" s="1" customFormat="1" ht="17.5" spans="2:29">
      <c r="E47" s="6"/>
      <c r="G47" s="2"/>
      <c r="M47" s="72" t="s">
        <v>98</v>
      </c>
      <c r="N47" s="93">
        <v>78134</v>
      </c>
      <c r="O47" s="93">
        <v>81718</v>
      </c>
      <c r="P47" s="93">
        <v>100525</v>
      </c>
      <c r="Q47" s="94">
        <v>118105</v>
      </c>
      <c r="R47" s="93">
        <v>125094</v>
      </c>
      <c r="S47" s="93">
        <v>126890</v>
      </c>
      <c r="T47" s="93">
        <v>178018</v>
      </c>
      <c r="U47" s="2"/>
      <c r="V47" s="3"/>
      <c r="AB47" s="4"/>
      <c r="AC47" s="4"/>
    </row>
    <row r="48" s="1" customFormat="1" ht="17.5" spans="2:29">
      <c r="G48" s="2"/>
      <c r="M48" s="72" t="s">
        <v>99</v>
      </c>
      <c r="N48" s="93">
        <v>82327</v>
      </c>
      <c r="O48" s="93">
        <v>86114</v>
      </c>
      <c r="P48" s="93">
        <v>105985</v>
      </c>
      <c r="Q48" s="94">
        <v>124560</v>
      </c>
      <c r="R48" s="93">
        <v>131944</v>
      </c>
      <c r="S48" s="93">
        <v>133843</v>
      </c>
      <c r="T48" s="93">
        <v>186864</v>
      </c>
      <c r="U48" s="2"/>
      <c r="V48" s="3"/>
      <c r="AB48" s="4"/>
      <c r="AC48" s="4"/>
    </row>
    <row r="49" s="1" customFormat="1" ht="17.5" spans="7:29">
      <c r="G49" s="2"/>
      <c r="M49" s="72" t="s">
        <v>77</v>
      </c>
      <c r="N49" s="93">
        <v>91774</v>
      </c>
      <c r="O49" s="93">
        <v>96107</v>
      </c>
      <c r="P49" s="93">
        <v>117871</v>
      </c>
      <c r="Q49" s="94">
        <v>138840</v>
      </c>
      <c r="R49" s="93">
        <v>147105</v>
      </c>
      <c r="S49" s="93">
        <v>149252</v>
      </c>
      <c r="T49" s="93">
        <v>195709</v>
      </c>
      <c r="U49" s="2"/>
      <c r="V49" s="3"/>
      <c r="AB49" s="4"/>
      <c r="AC49" s="4"/>
    </row>
    <row r="50" s="1" customFormat="1" ht="17.5" spans="7:29">
      <c r="G50" s="2"/>
      <c r="M50" s="72" t="s">
        <v>100</v>
      </c>
      <c r="N50" s="93">
        <v>96234</v>
      </c>
      <c r="O50" s="93">
        <v>100787</v>
      </c>
      <c r="P50" s="93">
        <v>123658</v>
      </c>
      <c r="Q50" s="94">
        <v>145693</v>
      </c>
      <c r="R50" s="93">
        <v>154379</v>
      </c>
      <c r="S50" s="93">
        <v>156635</v>
      </c>
      <c r="T50" s="93">
        <v>204554</v>
      </c>
      <c r="U50" s="2"/>
      <c r="V50" s="3"/>
      <c r="AB50" s="4"/>
      <c r="AC50" s="4"/>
    </row>
    <row r="51" s="1" customFormat="1" ht="17.5" spans="7:29">
      <c r="G51" s="2"/>
      <c r="M51" s="72" t="s">
        <v>101</v>
      </c>
      <c r="N51" s="95">
        <f t="shared" ref="N51:T51" si="23">(N47+N48+N49+N50)/4</f>
        <v>87117.25</v>
      </c>
      <c r="O51" s="95">
        <f t="shared" si="23"/>
        <v>91181.5</v>
      </c>
      <c r="P51" s="95">
        <f t="shared" si="23"/>
        <v>112009.75</v>
      </c>
      <c r="Q51" s="95">
        <f t="shared" si="23"/>
        <v>131799.5</v>
      </c>
      <c r="R51" s="95">
        <f t="shared" si="23"/>
        <v>139630.5</v>
      </c>
      <c r="S51" s="95">
        <f t="shared" si="23"/>
        <v>141655</v>
      </c>
      <c r="T51" s="95">
        <f t="shared" si="23"/>
        <v>191286.25</v>
      </c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ht="17.5" spans="7:29">
      <c r="G53" s="2"/>
      <c r="M53" s="91" t="s">
        <v>110</v>
      </c>
      <c r="N53" s="97" t="s">
        <v>111</v>
      </c>
      <c r="O53" s="91">
        <v>11</v>
      </c>
      <c r="P53" s="91">
        <v>21</v>
      </c>
      <c r="Q53" s="92">
        <v>31</v>
      </c>
      <c r="R53" s="91">
        <v>41</v>
      </c>
      <c r="S53" s="91">
        <v>51</v>
      </c>
      <c r="T53" s="91">
        <v>61</v>
      </c>
      <c r="U53" s="2"/>
      <c r="V53" s="3"/>
      <c r="AB53" s="4"/>
      <c r="AC53" s="4"/>
    </row>
    <row r="54" s="1" customFormat="1" ht="17.5" spans="7:29">
      <c r="G54" s="2"/>
      <c r="M54" s="72" t="s">
        <v>98</v>
      </c>
      <c r="N54" s="72" t="s">
        <v>112</v>
      </c>
      <c r="O54" s="96">
        <f t="shared" ref="O54:T54" si="24">O47/N47-1</f>
        <v>0.0458699157857014</v>
      </c>
      <c r="P54" s="96">
        <f t="shared" si="24"/>
        <v>0.230145133263173</v>
      </c>
      <c r="Q54" s="96">
        <f t="shared" si="24"/>
        <v>0.174881870181547</v>
      </c>
      <c r="R54" s="96">
        <f t="shared" si="24"/>
        <v>0.0591761568096185</v>
      </c>
      <c r="S54" s="96">
        <f t="shared" si="24"/>
        <v>0.0143572033830559</v>
      </c>
      <c r="T54" s="96">
        <f t="shared" si="24"/>
        <v>0.402931673102687</v>
      </c>
      <c r="U54" s="2"/>
      <c r="V54" s="3"/>
      <c r="AB54" s="4"/>
      <c r="AC54" s="4"/>
    </row>
    <row r="55" s="1" customFormat="1" ht="17.5" spans="7:29">
      <c r="G55" s="2"/>
      <c r="M55" s="72" t="s">
        <v>99</v>
      </c>
      <c r="N55" s="72"/>
      <c r="O55" s="96">
        <f t="shared" ref="O55:T55" si="25">O48/N48-1</f>
        <v>0.0459994898392995</v>
      </c>
      <c r="P55" s="96">
        <f t="shared" si="25"/>
        <v>0.230752258633904</v>
      </c>
      <c r="Q55" s="96">
        <f t="shared" si="25"/>
        <v>0.175260650091994</v>
      </c>
      <c r="R55" s="96">
        <f t="shared" si="25"/>
        <v>0.0592806679511881</v>
      </c>
      <c r="S55" s="96">
        <f t="shared" si="25"/>
        <v>0.014392469532529</v>
      </c>
      <c r="T55" s="96">
        <f t="shared" si="25"/>
        <v>0.396143242455713</v>
      </c>
      <c r="U55" s="2"/>
      <c r="V55" s="3"/>
      <c r="AB55" s="4"/>
      <c r="AC55" s="4"/>
    </row>
    <row r="56" s="1" customFormat="1" ht="17.5" spans="7:29">
      <c r="G56" s="2"/>
      <c r="M56" s="72" t="s">
        <v>77</v>
      </c>
      <c r="N56" s="72"/>
      <c r="O56" s="96">
        <f t="shared" ref="O56:T56" si="26">O49/N49-1</f>
        <v>0.0472138078322837</v>
      </c>
      <c r="P56" s="96">
        <f t="shared" si="26"/>
        <v>0.226455929328769</v>
      </c>
      <c r="Q56" s="96">
        <f t="shared" si="26"/>
        <v>0.177897871401787</v>
      </c>
      <c r="R56" s="96">
        <f t="shared" si="26"/>
        <v>0.0595289541918755</v>
      </c>
      <c r="S56" s="96">
        <f t="shared" si="26"/>
        <v>0.0145950171646103</v>
      </c>
      <c r="T56" s="96">
        <f t="shared" si="26"/>
        <v>0.311265510679924</v>
      </c>
      <c r="U56" s="2"/>
      <c r="V56" s="3"/>
      <c r="AB56" s="4"/>
      <c r="AC56" s="4"/>
    </row>
    <row r="57" s="1" customFormat="1" ht="17.5" spans="7:29">
      <c r="G57" s="2"/>
      <c r="M57" s="72" t="s">
        <v>100</v>
      </c>
      <c r="N57" s="72"/>
      <c r="O57" s="96">
        <f t="shared" ref="O57:T57" si="27">O50/N50-1</f>
        <v>0.0473117609161002</v>
      </c>
      <c r="P57" s="96">
        <f t="shared" si="27"/>
        <v>0.22692410727574</v>
      </c>
      <c r="Q57" s="96">
        <f t="shared" si="27"/>
        <v>0.178193080916722</v>
      </c>
      <c r="R57" s="96">
        <f t="shared" si="27"/>
        <v>0.0596185129004139</v>
      </c>
      <c r="S57" s="96">
        <f t="shared" si="27"/>
        <v>0.0146133865357334</v>
      </c>
      <c r="T57" s="96">
        <f t="shared" si="27"/>
        <v>0.305927793915791</v>
      </c>
      <c r="U57" s="2"/>
      <c r="V57" s="3"/>
      <c r="AB57" s="4"/>
      <c r="AC57" s="4"/>
    </row>
    <row r="58" s="1" customFormat="1" ht="17.5" spans="7:29">
      <c r="G58" s="2"/>
      <c r="M58" s="72" t="s">
        <v>101</v>
      </c>
      <c r="N58" s="76"/>
      <c r="O58" s="96">
        <f t="shared" ref="O58:T58" si="28">O51/N51-1</f>
        <v>0.0466526434202181</v>
      </c>
      <c r="P58" s="96">
        <f t="shared" si="28"/>
        <v>0.228426270679908</v>
      </c>
      <c r="Q58" s="96">
        <f t="shared" si="28"/>
        <v>0.176678815906651</v>
      </c>
      <c r="R58" s="96">
        <f t="shared" si="28"/>
        <v>0.0594160068892522</v>
      </c>
      <c r="S58" s="96">
        <f t="shared" si="28"/>
        <v>0.014498981239772</v>
      </c>
      <c r="T58" s="96">
        <f t="shared" si="28"/>
        <v>0.350367089054393</v>
      </c>
      <c r="U58" s="2"/>
      <c r="V58" s="3"/>
      <c r="AB58" s="4"/>
      <c r="AC58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conditionalFormatting sqref="N47:T51">
    <cfRule type="colorScale" priority="2">
      <colorScale>
        <cfvo type="min"/>
        <cfvo type="max"/>
        <color rgb="FFFCFCFF"/>
        <color rgb="FFF8696B"/>
      </colorScale>
    </cfRule>
  </conditionalFormatting>
  <conditionalFormatting sqref="N54:T58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D31" workbookViewId="0">
      <selection activeCell="U33" sqref="U33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12.1818181818182" style="1" customWidth="1"/>
    <col min="4" max="4" width="9.36363636363636" style="1" customWidth="1"/>
    <col min="5" max="5" width="5.46363636363636" style="1" customWidth="1"/>
    <col min="6" max="6" width="12.1818181818182" style="1" customWidth="1"/>
    <col min="7" max="7" width="8.09090909090909" style="2" customWidth="1"/>
    <col min="8" max="8" width="7.54545454545455" style="1" customWidth="1"/>
    <col min="9" max="9" width="8.92727272727273" style="1" customWidth="1"/>
    <col min="10" max="10" width="12.1818181818182" style="1" customWidth="1"/>
    <col min="11" max="11" width="9.36363636363636" style="1" customWidth="1"/>
    <col min="12" max="12" width="10.3090909090909" style="1" customWidth="1"/>
    <col min="13" max="13" width="12.1818181818182" style="1" customWidth="1"/>
    <col min="14" max="14" width="15.0909090909091" style="1" customWidth="1"/>
    <col min="15" max="15" width="10.7272727272727" style="1" customWidth="1"/>
    <col min="16" max="16" width="16.2727272727273" style="1" customWidth="1"/>
    <col min="17" max="17" width="9.54545454545454" style="2" customWidth="1"/>
    <col min="18" max="18" width="5.54545454545455" style="1" customWidth="1"/>
    <col min="19" max="19" width="6.54545454545455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3" width="7.54545454545455" style="1" customWidth="1"/>
    <col min="24" max="24" width="8.54545454545454" style="1" customWidth="1"/>
    <col min="25" max="25" width="7.54545454545455" style="1" customWidth="1"/>
    <col min="26" max="26" width="9.54545454545454" style="1" customWidth="1"/>
    <col min="27" max="27" width="7.54545454545455" style="1" customWidth="1"/>
    <col min="28" max="28" width="9.54545454545454" style="4" customWidth="1"/>
    <col min="29" max="29" width="8.54545454545454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1.68</v>
      </c>
      <c r="V3" s="20">
        <f t="shared" ref="V3:V11" si="2">1+$G$9*($I$9-1)</f>
        <v>2.3615</v>
      </c>
      <c r="W3" s="21">
        <f t="shared" ref="W3:W11" si="3">$K$4</f>
        <v>0.25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f t="shared" ref="AB3:AB11" si="5">AE$26</f>
        <v>0.06</v>
      </c>
      <c r="AC3" s="23">
        <f t="shared" ref="AC3:AC11" si="6">Q3*S3*(1+T3)*(1+U3)*V3*(1+W3)*X3*Y3*(1+Z3)*(1+AA3)*(1+AB3)</f>
        <v>17367.4264338408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f>25%</f>
        <v>0.25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7">SUM($E$4:$E$8)</f>
        <v>1.68</v>
      </c>
      <c r="V4" s="20">
        <f t="shared" si="2"/>
        <v>2.3615</v>
      </c>
      <c r="W4" s="21">
        <f t="shared" si="3"/>
        <v>0.25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f t="shared" si="5"/>
        <v>0.06</v>
      </c>
      <c r="AC4" s="23">
        <f t="shared" si="6"/>
        <v>67584.6292007293</v>
      </c>
      <c r="AD4" s="13">
        <v>10</v>
      </c>
      <c r="AE4" s="13">
        <v>0</v>
      </c>
      <c r="AF4" s="14">
        <f t="shared" ref="AF4:AF8" si="8">1520/(1520+(792+8*AG4)*(1-AE4/100)*(1-AD4/100))</f>
        <v>0.527631213551791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7"/>
        <v>1.68</v>
      </c>
      <c r="V5" s="20">
        <f t="shared" si="2"/>
        <v>2.3615</v>
      </c>
      <c r="W5" s="21">
        <f t="shared" si="3"/>
        <v>0.25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f t="shared" si="5"/>
        <v>0.06</v>
      </c>
      <c r="AC5" s="23">
        <f t="shared" si="6"/>
        <v>21526.1833952894</v>
      </c>
      <c r="AD5" s="13">
        <v>52</v>
      </c>
      <c r="AE5" s="13">
        <v>0</v>
      </c>
      <c r="AF5" s="14">
        <f t="shared" si="8"/>
        <v>0.676831005984611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</f>
        <v>0.2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9">SUM($E$4:$E$9)</f>
        <v>2.212</v>
      </c>
      <c r="V6" s="20">
        <f t="shared" si="2"/>
        <v>2.3615</v>
      </c>
      <c r="W6" s="21">
        <f t="shared" si="3"/>
        <v>0.25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f t="shared" si="5"/>
        <v>0.06</v>
      </c>
      <c r="AC6" s="23">
        <f t="shared" si="6"/>
        <v>51441.1741511953</v>
      </c>
      <c r="AD6" s="13">
        <v>0</v>
      </c>
      <c r="AE6" s="13">
        <v>0</v>
      </c>
      <c r="AF6" s="14">
        <f t="shared" si="8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f>24%+40%</f>
        <v>0.64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9"/>
        <v>2.212</v>
      </c>
      <c r="V7" s="20">
        <f t="shared" si="2"/>
        <v>2.3615</v>
      </c>
      <c r="W7" s="21">
        <f t="shared" si="3"/>
        <v>0.25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f t="shared" si="5"/>
        <v>0.06</v>
      </c>
      <c r="AC7" s="23">
        <f t="shared" si="6"/>
        <v>28481.7214502622</v>
      </c>
      <c r="AD7" s="13">
        <v>0</v>
      </c>
      <c r="AE7" s="13">
        <v>0</v>
      </c>
      <c r="AF7" s="14">
        <f t="shared" si="8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53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9"/>
        <v>2.212</v>
      </c>
      <c r="V8" s="20">
        <f t="shared" si="2"/>
        <v>2.3615</v>
      </c>
      <c r="W8" s="21">
        <f t="shared" si="3"/>
        <v>0.25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f t="shared" si="5"/>
        <v>0.06</v>
      </c>
      <c r="AC8" s="23">
        <f t="shared" si="6"/>
        <v>112660.208462169</v>
      </c>
      <c r="AD8" s="13">
        <v>0</v>
      </c>
      <c r="AE8" s="13">
        <v>36</v>
      </c>
      <c r="AF8" s="14">
        <f t="shared" si="8"/>
        <v>0.611011062516079</v>
      </c>
      <c r="AG8" s="24">
        <v>90</v>
      </c>
    </row>
    <row r="9" s="1" customFormat="1" spans="2:33">
      <c r="B9" s="25" t="s">
        <v>54</v>
      </c>
      <c r="C9" s="26">
        <v>350</v>
      </c>
      <c r="D9" s="25" t="s">
        <v>55</v>
      </c>
      <c r="E9" s="33">
        <f>36%+M5</f>
        <v>0.532</v>
      </c>
      <c r="F9" s="34" t="s">
        <v>56</v>
      </c>
      <c r="G9" s="35">
        <f>MIN(100%,SUM(G4:G8))</f>
        <v>0.778</v>
      </c>
      <c r="H9" s="34" t="s">
        <v>57</v>
      </c>
      <c r="I9" s="36">
        <f>SUM(I4:I8)</f>
        <v>2.75</v>
      </c>
      <c r="J9" s="30"/>
      <c r="K9" s="28"/>
      <c r="L9" s="25"/>
      <c r="M9" s="26"/>
      <c r="N9" s="6"/>
      <c r="P9" s="37" t="s">
        <v>58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7"/>
        <v>1.68</v>
      </c>
      <c r="V9" s="20">
        <f t="shared" si="2"/>
        <v>2.3615</v>
      </c>
      <c r="W9" s="21">
        <f t="shared" si="3"/>
        <v>0.25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f t="shared" si="5"/>
        <v>0.06</v>
      </c>
      <c r="AC9" s="23">
        <f t="shared" si="6"/>
        <v>17971.578011744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59</v>
      </c>
      <c r="Q10" s="18">
        <v>1</v>
      </c>
      <c r="R10" s="19" t="s">
        <v>60</v>
      </c>
      <c r="S10" s="19">
        <f t="shared" si="0"/>
        <v>963</v>
      </c>
      <c r="T10" s="18">
        <f t="shared" si="1"/>
        <v>1.38544755970924</v>
      </c>
      <c r="U10" s="18">
        <f t="shared" si="7"/>
        <v>1.68</v>
      </c>
      <c r="V10" s="20">
        <f t="shared" si="2"/>
        <v>2.3615</v>
      </c>
      <c r="W10" s="21">
        <f t="shared" si="3"/>
        <v>0.25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f t="shared" si="5"/>
        <v>0.06</v>
      </c>
      <c r="AC10" s="23">
        <f t="shared" si="6"/>
        <v>7725.72350259822</v>
      </c>
    </row>
    <row r="11" s="1" customFormat="1" spans="2:33">
      <c r="B11" s="40" t="s">
        <v>61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62</v>
      </c>
      <c r="Q11" s="18">
        <f>27.36%*10</f>
        <v>2.736</v>
      </c>
      <c r="R11" s="19" t="s">
        <v>63</v>
      </c>
      <c r="S11" s="19">
        <f t="shared" si="0"/>
        <v>963</v>
      </c>
      <c r="T11" s="18">
        <f t="shared" si="1"/>
        <v>1.38544755970924</v>
      </c>
      <c r="U11" s="18">
        <f t="shared" si="7"/>
        <v>1.68</v>
      </c>
      <c r="V11" s="20">
        <f t="shared" si="2"/>
        <v>2.3615</v>
      </c>
      <c r="W11" s="21">
        <f t="shared" si="3"/>
        <v>0.25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f t="shared" si="5"/>
        <v>0.06</v>
      </c>
      <c r="AC11" s="23">
        <f t="shared" si="6"/>
        <v>21137.5795031087</v>
      </c>
    </row>
    <row r="12" s="1" customFormat="1" spans="2:33">
      <c r="B12" s="6"/>
      <c r="C12" s="6"/>
      <c r="D12" s="6"/>
      <c r="E12" s="6"/>
      <c r="F12" s="6" t="s">
        <v>64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/>
      <c r="Q14" s="18"/>
      <c r="R14" s="19"/>
      <c r="S14" s="19"/>
      <c r="T14" s="18"/>
      <c r="U14" s="18"/>
      <c r="V14" s="20"/>
      <c r="W14" s="21"/>
      <c r="X14" s="20"/>
      <c r="Y14" s="19"/>
      <c r="Z14" s="22"/>
      <c r="AA14" s="22"/>
      <c r="AB14" s="22"/>
      <c r="AC14" s="23"/>
    </row>
    <row r="15" s="1" customFormat="1" ht="15" spans="2:33">
      <c r="B15" s="46" t="s">
        <v>65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/>
      <c r="Q15" s="18"/>
      <c r="R15" s="19"/>
      <c r="S15" s="19"/>
      <c r="T15" s="18"/>
      <c r="U15" s="18"/>
      <c r="V15" s="20"/>
      <c r="W15" s="21"/>
      <c r="X15" s="20"/>
      <c r="Y15" s="19"/>
      <c r="Z15" s="22"/>
      <c r="AA15" s="22"/>
      <c r="AB15" s="22"/>
      <c r="AC15" s="23"/>
    </row>
    <row r="16" s="1" customFormat="1" spans="2:33">
      <c r="B16" s="49" t="s">
        <v>18</v>
      </c>
      <c r="C16" s="50"/>
      <c r="D16" s="49" t="s">
        <v>6</v>
      </c>
      <c r="E16" s="50"/>
      <c r="F16" s="49" t="s">
        <v>19</v>
      </c>
      <c r="G16" s="50"/>
      <c r="H16" s="49" t="s">
        <v>20</v>
      </c>
      <c r="I16" s="50"/>
      <c r="J16" s="51" t="s">
        <v>8</v>
      </c>
      <c r="K16" s="51"/>
      <c r="L16" s="49" t="s">
        <v>21</v>
      </c>
      <c r="M16" s="50"/>
      <c r="N16" s="6"/>
      <c r="P16" s="17"/>
      <c r="Q16" s="18"/>
      <c r="R16" s="19"/>
      <c r="S16" s="19"/>
      <c r="T16" s="18"/>
      <c r="U16" s="18"/>
      <c r="V16" s="20"/>
      <c r="W16" s="21"/>
      <c r="X16" s="20"/>
      <c r="Y16" s="19"/>
      <c r="Z16" s="22"/>
      <c r="AA16" s="22"/>
      <c r="AB16" s="22"/>
      <c r="AC16" s="23"/>
    </row>
    <row r="17" s="1" customFormat="1" spans="2:31">
      <c r="B17" s="25" t="s">
        <v>4</v>
      </c>
      <c r="C17" s="26">
        <f>463+587</f>
        <v>1050</v>
      </c>
      <c r="D17" s="25" t="s">
        <v>24</v>
      </c>
      <c r="E17" s="32">
        <v>0.6</v>
      </c>
      <c r="F17" s="25" t="s">
        <v>25</v>
      </c>
      <c r="G17" s="28">
        <v>0.13</v>
      </c>
      <c r="H17" s="25" t="s">
        <v>25</v>
      </c>
      <c r="I17" s="27">
        <v>1.5</v>
      </c>
      <c r="J17" s="52" t="s">
        <v>26</v>
      </c>
      <c r="K17" s="53">
        <f>15%+5%</f>
        <v>0.2</v>
      </c>
      <c r="L17" s="25" t="s">
        <v>27</v>
      </c>
      <c r="M17" s="28">
        <f>8.6%*2</f>
        <v>0.172</v>
      </c>
      <c r="N17" s="6"/>
      <c r="P17" s="17"/>
      <c r="Q17" s="18"/>
      <c r="R17" s="19"/>
      <c r="S17" s="19"/>
      <c r="T17" s="18"/>
      <c r="U17" s="18"/>
      <c r="V17" s="20"/>
      <c r="W17" s="21"/>
      <c r="X17" s="20"/>
      <c r="Y17" s="19"/>
      <c r="Z17" s="22"/>
      <c r="AA17" s="22"/>
      <c r="AB17" s="22"/>
      <c r="AC17" s="23"/>
    </row>
    <row r="18" s="1" customFormat="1" spans="2:31">
      <c r="B18" s="25" t="s">
        <v>30</v>
      </c>
      <c r="C18" s="27">
        <v>0.24</v>
      </c>
      <c r="D18" s="25" t="s">
        <v>66</v>
      </c>
      <c r="E18" s="27">
        <v>0.12</v>
      </c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67</v>
      </c>
      <c r="K18" s="28">
        <f>38%+20%</f>
        <v>0.58</v>
      </c>
      <c r="L18" s="25" t="s">
        <v>68</v>
      </c>
      <c r="M18" s="28">
        <f>8.6%*2</f>
        <v>0.172</v>
      </c>
      <c r="N18" s="6"/>
      <c r="P18" s="54" t="s">
        <v>63</v>
      </c>
      <c r="Q18" s="55">
        <v>1.6102</v>
      </c>
      <c r="R18" s="56" t="s">
        <v>63</v>
      </c>
      <c r="S18" s="56">
        <f t="shared" ref="S18:S34" si="10">$C$17</f>
        <v>1050</v>
      </c>
      <c r="T18" s="55">
        <f t="shared" ref="T18:T34" si="11">($C$18+$C$19+$C$20+$C$21)+($C$22+$C$23)/S18</f>
        <v>1.92033333333333</v>
      </c>
      <c r="U18" s="55">
        <f>SUM($E$17:$E$21)+60%</f>
        <v>2.04</v>
      </c>
      <c r="V18" s="57">
        <f t="shared" ref="V18:V34" si="12">1+$G$22*($I$22-1)</f>
        <v>2.806</v>
      </c>
      <c r="W18" s="58">
        <f t="shared" ref="W18:W21" si="13">$K$17</f>
        <v>0.2</v>
      </c>
      <c r="X18" s="57">
        <f t="shared" ref="X18:X34" si="14">$AF$4</f>
        <v>0.527631213551791</v>
      </c>
      <c r="Y18" s="56">
        <v>0.8</v>
      </c>
      <c r="Z18" s="59">
        <v>0</v>
      </c>
      <c r="AA18" s="59">
        <v>0</v>
      </c>
      <c r="AB18" s="59">
        <f t="shared" ref="AB18:AB34" si="15">AE$26</f>
        <v>0.06</v>
      </c>
      <c r="AC18" s="60">
        <f>Q18*S18*(1+T18)*(1+U18)*V18*(1+W18)*X18*Y18*(1+Z18)*(1+AA18)*(1+AB18)</f>
        <v>22613.6348493536</v>
      </c>
    </row>
    <row r="19" s="1" customFormat="1" spans="2:31">
      <c r="B19" s="25" t="s">
        <v>38</v>
      </c>
      <c r="C19" s="27">
        <f>18%+18%+M17</f>
        <v>0.532</v>
      </c>
      <c r="D19" s="25" t="s">
        <v>39</v>
      </c>
      <c r="E19" s="27">
        <v>0.4</v>
      </c>
      <c r="F19" s="25"/>
      <c r="G19" s="28"/>
      <c r="H19" s="25" t="s">
        <v>69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54" t="s">
        <v>22</v>
      </c>
      <c r="Q19" s="55">
        <f>72.67%*3</f>
        <v>2.1801</v>
      </c>
      <c r="R19" s="56" t="s">
        <v>23</v>
      </c>
      <c r="S19" s="56">
        <f t="shared" si="10"/>
        <v>1050</v>
      </c>
      <c r="T19" s="55">
        <f t="shared" si="11"/>
        <v>1.92033333333333</v>
      </c>
      <c r="U19" s="55">
        <f>SUM($E$17:$E$21)</f>
        <v>1.44</v>
      </c>
      <c r="V19" s="57">
        <f t="shared" si="12"/>
        <v>2.806</v>
      </c>
      <c r="W19" s="58">
        <f t="shared" si="13"/>
        <v>0.2</v>
      </c>
      <c r="X19" s="57">
        <f t="shared" si="14"/>
        <v>0.527631213551791</v>
      </c>
      <c r="Y19" s="56">
        <v>0.8</v>
      </c>
      <c r="Z19" s="59">
        <v>0</v>
      </c>
      <c r="AA19" s="59">
        <v>0</v>
      </c>
      <c r="AB19" s="59">
        <f t="shared" si="15"/>
        <v>0.06</v>
      </c>
      <c r="AC19" s="60">
        <f t="shared" ref="AC19:AC34" si="16">Q19*S19*(1+T19)*(1+U19)*V19*(1+W19)*X19*Y19*(1+Z19)*(1+AA19)*(1+AB19)</f>
        <v>24574.4162660377</v>
      </c>
    </row>
    <row r="20" s="1" customFormat="1" spans="2:31">
      <c r="B20" s="25" t="s">
        <v>45</v>
      </c>
      <c r="C20" s="31"/>
      <c r="D20" s="25" t="s">
        <v>49</v>
      </c>
      <c r="E20" s="27">
        <f>12%</f>
        <v>0.12</v>
      </c>
      <c r="F20" s="25" t="s">
        <v>33</v>
      </c>
      <c r="G20" s="28">
        <f>M19</f>
        <v>0.405</v>
      </c>
      <c r="H20" s="25"/>
      <c r="I20" s="28"/>
      <c r="J20" s="30"/>
      <c r="K20" s="28"/>
      <c r="L20" s="25" t="s">
        <v>47</v>
      </c>
      <c r="M20" s="27">
        <f>16.2%*5</f>
        <v>0.81</v>
      </c>
      <c r="N20" s="6"/>
      <c r="P20" s="54" t="s">
        <v>70</v>
      </c>
      <c r="Q20" s="55">
        <f>45.63%+45.63%</f>
        <v>0.9126</v>
      </c>
      <c r="R20" s="56" t="s">
        <v>44</v>
      </c>
      <c r="S20" s="56">
        <f t="shared" si="10"/>
        <v>1050</v>
      </c>
      <c r="T20" s="55">
        <f t="shared" si="11"/>
        <v>1.92033333333333</v>
      </c>
      <c r="U20" s="55">
        <f t="shared" ref="U20:U32" si="17">SUM($E$17:$E$22)</f>
        <v>1.732</v>
      </c>
      <c r="V20" s="57">
        <f t="shared" si="12"/>
        <v>2.806</v>
      </c>
      <c r="W20" s="58">
        <f t="shared" ref="W20:W28" si="18">$K$17+K$18</f>
        <v>0.78</v>
      </c>
      <c r="X20" s="57">
        <f t="shared" si="14"/>
        <v>0.527631213551791</v>
      </c>
      <c r="Y20" s="56">
        <f t="shared" ref="Y20:Y33" si="19">AE$23</f>
        <v>0.8</v>
      </c>
      <c r="Z20" s="59">
        <v>0</v>
      </c>
      <c r="AA20" s="59">
        <v>0</v>
      </c>
      <c r="AB20" s="59">
        <f t="shared" si="15"/>
        <v>0.06</v>
      </c>
      <c r="AC20" s="60">
        <f t="shared" si="16"/>
        <v>17085.0748177312</v>
      </c>
    </row>
    <row r="21" s="1" customFormat="1" spans="2:31">
      <c r="B21" s="25" t="s">
        <v>49</v>
      </c>
      <c r="C21" s="31">
        <f>25%+22.5%+20%+14%</f>
        <v>0.815</v>
      </c>
      <c r="D21" s="25" t="s">
        <v>50</v>
      </c>
      <c r="E21" s="32">
        <v>0.2</v>
      </c>
      <c r="F21" s="25" t="s">
        <v>51</v>
      </c>
      <c r="G21" s="28">
        <v>0.125</v>
      </c>
      <c r="H21" s="25" t="s">
        <v>51</v>
      </c>
      <c r="I21" s="28">
        <v>0.25</v>
      </c>
      <c r="J21" s="30"/>
      <c r="K21" s="28"/>
      <c r="L21" s="25"/>
      <c r="M21" s="26"/>
      <c r="N21" s="6"/>
      <c r="P21" s="54" t="s">
        <v>71</v>
      </c>
      <c r="Q21" s="55">
        <f>70.14%+70.14%</f>
        <v>1.4028</v>
      </c>
      <c r="R21" s="56" t="s">
        <v>44</v>
      </c>
      <c r="S21" s="56">
        <f t="shared" si="10"/>
        <v>1050</v>
      </c>
      <c r="T21" s="55">
        <f t="shared" si="11"/>
        <v>1.92033333333333</v>
      </c>
      <c r="U21" s="55">
        <f t="shared" si="17"/>
        <v>1.732</v>
      </c>
      <c r="V21" s="57">
        <f t="shared" si="12"/>
        <v>2.806</v>
      </c>
      <c r="W21" s="58">
        <f t="shared" si="18"/>
        <v>0.78</v>
      </c>
      <c r="X21" s="57">
        <f t="shared" si="14"/>
        <v>0.527631213551791</v>
      </c>
      <c r="Y21" s="56">
        <f t="shared" si="19"/>
        <v>0.8</v>
      </c>
      <c r="Z21" s="59">
        <v>0</v>
      </c>
      <c r="AA21" s="59">
        <v>0</v>
      </c>
      <c r="AB21" s="59">
        <f t="shared" si="15"/>
        <v>0.06</v>
      </c>
      <c r="AC21" s="60">
        <f t="shared" si="16"/>
        <v>26262.2649072029</v>
      </c>
    </row>
    <row r="22" s="1" customFormat="1" spans="2:31">
      <c r="B22" s="25" t="s">
        <v>54</v>
      </c>
      <c r="C22" s="26">
        <v>350</v>
      </c>
      <c r="D22" s="25" t="s">
        <v>55</v>
      </c>
      <c r="E22" s="33">
        <f>12%+M18</f>
        <v>0.292</v>
      </c>
      <c r="F22" s="34" t="s">
        <v>56</v>
      </c>
      <c r="G22" s="35">
        <f>MIN(100%,SUM(G17:G21))</f>
        <v>0.903</v>
      </c>
      <c r="H22" s="34" t="s">
        <v>57</v>
      </c>
      <c r="I22" s="36">
        <f>SUM(I17:I21)</f>
        <v>3</v>
      </c>
      <c r="J22" s="30"/>
      <c r="K22" s="28"/>
      <c r="L22" s="25"/>
      <c r="M22" s="26"/>
      <c r="N22" s="6"/>
      <c r="P22" s="61" t="s">
        <v>72</v>
      </c>
      <c r="Q22" s="61">
        <f>26.56%*5+88.53%</f>
        <v>2.2133</v>
      </c>
      <c r="R22" s="56" t="s">
        <v>44</v>
      </c>
      <c r="S22" s="56">
        <f t="shared" si="10"/>
        <v>1050</v>
      </c>
      <c r="T22" s="55">
        <f t="shared" si="11"/>
        <v>1.92033333333333</v>
      </c>
      <c r="U22" s="55">
        <f t="shared" si="17"/>
        <v>1.732</v>
      </c>
      <c r="V22" s="57">
        <f t="shared" si="12"/>
        <v>2.806</v>
      </c>
      <c r="W22" s="58">
        <f t="shared" si="18"/>
        <v>0.78</v>
      </c>
      <c r="X22" s="57">
        <f t="shared" si="14"/>
        <v>0.527631213551791</v>
      </c>
      <c r="Y22" s="56">
        <f t="shared" si="19"/>
        <v>0.8</v>
      </c>
      <c r="Z22" s="59">
        <v>1.1</v>
      </c>
      <c r="AA22" s="59">
        <v>0</v>
      </c>
      <c r="AB22" s="59">
        <f t="shared" si="15"/>
        <v>0.06</v>
      </c>
      <c r="AC22" s="60">
        <f t="shared" si="16"/>
        <v>87015.3756274133</v>
      </c>
      <c r="AE22" s="62" t="s">
        <v>73</v>
      </c>
    </row>
    <row r="23" s="1" customFormat="1" spans="2:31">
      <c r="B23" s="40" t="s">
        <v>61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4" t="s">
        <v>74</v>
      </c>
      <c r="Q23" s="55">
        <v>0.5746</v>
      </c>
      <c r="R23" s="56" t="s">
        <v>44</v>
      </c>
      <c r="S23" s="56">
        <f t="shared" si="10"/>
        <v>1050</v>
      </c>
      <c r="T23" s="55">
        <f t="shared" si="11"/>
        <v>1.92033333333333</v>
      </c>
      <c r="U23" s="55">
        <f t="shared" si="17"/>
        <v>1.732</v>
      </c>
      <c r="V23" s="57">
        <f t="shared" si="12"/>
        <v>2.806</v>
      </c>
      <c r="W23" s="58">
        <f t="shared" si="18"/>
        <v>0.78</v>
      </c>
      <c r="X23" s="57">
        <f t="shared" si="14"/>
        <v>0.527631213551791</v>
      </c>
      <c r="Y23" s="56">
        <f t="shared" si="19"/>
        <v>0.8</v>
      </c>
      <c r="Z23" s="59">
        <v>0</v>
      </c>
      <c r="AA23" s="59">
        <v>0</v>
      </c>
      <c r="AB23" s="59">
        <f t="shared" si="15"/>
        <v>0.06</v>
      </c>
      <c r="AC23" s="60">
        <f t="shared" si="16"/>
        <v>10757.2693296826</v>
      </c>
      <c r="AE23" s="1">
        <v>0.8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4" t="s">
        <v>70</v>
      </c>
      <c r="Q24" s="55">
        <f>45.63%+45.63%</f>
        <v>0.9126</v>
      </c>
      <c r="R24" s="56" t="s">
        <v>44</v>
      </c>
      <c r="S24" s="56">
        <f t="shared" si="10"/>
        <v>1050</v>
      </c>
      <c r="T24" s="55">
        <f t="shared" si="11"/>
        <v>1.92033333333333</v>
      </c>
      <c r="U24" s="55">
        <f t="shared" si="17"/>
        <v>1.732</v>
      </c>
      <c r="V24" s="57">
        <f t="shared" si="12"/>
        <v>2.806</v>
      </c>
      <c r="W24" s="58">
        <f t="shared" si="18"/>
        <v>0.78</v>
      </c>
      <c r="X24" s="57">
        <f t="shared" si="14"/>
        <v>0.527631213551791</v>
      </c>
      <c r="Y24" s="56">
        <f t="shared" si="19"/>
        <v>0.8</v>
      </c>
      <c r="Z24" s="59">
        <v>0</v>
      </c>
      <c r="AA24" s="59">
        <v>0</v>
      </c>
      <c r="AB24" s="59">
        <f t="shared" si="15"/>
        <v>0.06</v>
      </c>
      <c r="AC24" s="60">
        <f t="shared" si="16"/>
        <v>17085.0748177312</v>
      </c>
    </row>
    <row r="25" s="1" customFormat="1" ht="15" spans="2:31">
      <c r="B25" s="63" t="s">
        <v>75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4" t="s">
        <v>71</v>
      </c>
      <c r="Q25" s="55">
        <f>70.14%+70.14%</f>
        <v>1.4028</v>
      </c>
      <c r="R25" s="56" t="s">
        <v>44</v>
      </c>
      <c r="S25" s="56">
        <f t="shared" si="10"/>
        <v>1050</v>
      </c>
      <c r="T25" s="55">
        <f t="shared" si="11"/>
        <v>1.92033333333333</v>
      </c>
      <c r="U25" s="55">
        <f t="shared" si="17"/>
        <v>1.732</v>
      </c>
      <c r="V25" s="57">
        <f t="shared" si="12"/>
        <v>2.806</v>
      </c>
      <c r="W25" s="58">
        <f t="shared" si="18"/>
        <v>0.78</v>
      </c>
      <c r="X25" s="57">
        <f t="shared" si="14"/>
        <v>0.527631213551791</v>
      </c>
      <c r="Y25" s="56">
        <f t="shared" si="19"/>
        <v>0.8</v>
      </c>
      <c r="Z25" s="59">
        <v>0</v>
      </c>
      <c r="AA25" s="59">
        <v>0</v>
      </c>
      <c r="AB25" s="59">
        <f t="shared" si="15"/>
        <v>0.06</v>
      </c>
      <c r="AC25" s="60">
        <f t="shared" si="16"/>
        <v>26262.2649072029</v>
      </c>
      <c r="AE25" s="1" t="s">
        <v>76</v>
      </c>
    </row>
    <row r="26" s="1" customFormat="1" spans="2:31">
      <c r="B26" s="64" t="s">
        <v>77</v>
      </c>
      <c r="C26" s="64" t="s">
        <v>78</v>
      </c>
      <c r="D26" s="64" t="s">
        <v>79</v>
      </c>
      <c r="E26" s="64" t="s">
        <v>80</v>
      </c>
      <c r="F26" s="65"/>
      <c r="G26" s="45"/>
      <c r="H26" s="6"/>
      <c r="I26" s="6"/>
      <c r="J26" s="6"/>
      <c r="K26" s="6"/>
      <c r="L26" s="6"/>
      <c r="M26" s="6"/>
      <c r="N26" s="6"/>
      <c r="P26" s="54" t="s">
        <v>81</v>
      </c>
      <c r="Q26" s="55">
        <f>95.91%*3</f>
        <v>2.8773</v>
      </c>
      <c r="R26" s="56" t="s">
        <v>44</v>
      </c>
      <c r="S26" s="56">
        <f t="shared" si="10"/>
        <v>1050</v>
      </c>
      <c r="T26" s="55">
        <f t="shared" si="11"/>
        <v>1.92033333333333</v>
      </c>
      <c r="U26" s="55">
        <f t="shared" si="17"/>
        <v>1.732</v>
      </c>
      <c r="V26" s="57">
        <f t="shared" si="12"/>
        <v>2.806</v>
      </c>
      <c r="W26" s="58">
        <f t="shared" si="18"/>
        <v>0.78</v>
      </c>
      <c r="X26" s="57">
        <f t="shared" si="14"/>
        <v>0.527631213551791</v>
      </c>
      <c r="Y26" s="56">
        <f t="shared" si="19"/>
        <v>0.8</v>
      </c>
      <c r="Z26" s="59">
        <v>1.1</v>
      </c>
      <c r="AA26" s="59">
        <v>0</v>
      </c>
      <c r="AB26" s="59">
        <f t="shared" si="15"/>
        <v>0.06</v>
      </c>
      <c r="AC26" s="60">
        <f t="shared" si="16"/>
        <v>113120.381463316</v>
      </c>
      <c r="AE26" s="66">
        <v>0.06</v>
      </c>
    </row>
    <row r="27" s="1" customFormat="1" spans="2:31">
      <c r="B27" s="67" t="s">
        <v>113</v>
      </c>
      <c r="C27" s="67">
        <v>120000</v>
      </c>
      <c r="D27" s="67">
        <f t="shared" ref="D27:D30" si="20">C27/E$27</f>
        <v>4800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4" t="s">
        <v>74</v>
      </c>
      <c r="Q27" s="55">
        <v>0.5746</v>
      </c>
      <c r="R27" s="56" t="s">
        <v>44</v>
      </c>
      <c r="S27" s="56">
        <f t="shared" si="10"/>
        <v>1050</v>
      </c>
      <c r="T27" s="55">
        <f t="shared" si="11"/>
        <v>1.92033333333333</v>
      </c>
      <c r="U27" s="55">
        <f t="shared" si="17"/>
        <v>1.732</v>
      </c>
      <c r="V27" s="57">
        <f t="shared" si="12"/>
        <v>2.806</v>
      </c>
      <c r="W27" s="58">
        <f t="shared" si="18"/>
        <v>0.78</v>
      </c>
      <c r="X27" s="57">
        <f t="shared" si="14"/>
        <v>0.527631213551791</v>
      </c>
      <c r="Y27" s="56">
        <f t="shared" si="19"/>
        <v>0.8</v>
      </c>
      <c r="Z27" s="59">
        <v>0</v>
      </c>
      <c r="AA27" s="59">
        <v>0</v>
      </c>
      <c r="AB27" s="59">
        <f t="shared" si="15"/>
        <v>0.06</v>
      </c>
      <c r="AC27" s="60">
        <f t="shared" si="16"/>
        <v>10757.2693296826</v>
      </c>
    </row>
    <row r="28" s="1" customFormat="1" spans="2:31">
      <c r="B28" s="67" t="s">
        <v>51</v>
      </c>
      <c r="C28" s="67">
        <v>50000</v>
      </c>
      <c r="D28" s="67">
        <f t="shared" si="20"/>
        <v>2000</v>
      </c>
      <c r="E28" s="6"/>
      <c r="F28" s="6"/>
      <c r="G28" s="45"/>
      <c r="H28" s="6"/>
      <c r="I28" s="6"/>
      <c r="J28" s="6"/>
      <c r="K28" s="6"/>
      <c r="L28" s="6"/>
      <c r="M28" s="6"/>
      <c r="N28" s="6"/>
      <c r="P28" s="54" t="s">
        <v>70</v>
      </c>
      <c r="Q28" s="55">
        <f>45.63%+45.63%</f>
        <v>0.9126</v>
      </c>
      <c r="R28" s="56" t="s">
        <v>44</v>
      </c>
      <c r="S28" s="56">
        <f t="shared" si="10"/>
        <v>1050</v>
      </c>
      <c r="T28" s="55">
        <f t="shared" si="11"/>
        <v>1.92033333333333</v>
      </c>
      <c r="U28" s="55">
        <f t="shared" si="17"/>
        <v>1.732</v>
      </c>
      <c r="V28" s="57">
        <f t="shared" si="12"/>
        <v>2.806</v>
      </c>
      <c r="W28" s="58">
        <f t="shared" si="18"/>
        <v>0.78</v>
      </c>
      <c r="X28" s="57">
        <f t="shared" si="14"/>
        <v>0.527631213551791</v>
      </c>
      <c r="Y28" s="56">
        <f t="shared" si="19"/>
        <v>0.8</v>
      </c>
      <c r="Z28" s="59">
        <v>0</v>
      </c>
      <c r="AA28" s="59">
        <v>0</v>
      </c>
      <c r="AB28" s="59">
        <f t="shared" si="15"/>
        <v>0.06</v>
      </c>
      <c r="AC28" s="60">
        <f t="shared" si="16"/>
        <v>17085.0748177312</v>
      </c>
    </row>
    <row r="29" s="1" customFormat="1" spans="2:31">
      <c r="B29" s="67" t="s">
        <v>84</v>
      </c>
      <c r="C29" s="67">
        <f>SUM(AC18:AC34)</f>
        <v>1120857.20164112</v>
      </c>
      <c r="D29" s="67">
        <f t="shared" si="20"/>
        <v>44834.2880656449</v>
      </c>
      <c r="E29" s="45"/>
      <c r="F29" s="6"/>
      <c r="G29" s="68"/>
      <c r="H29" s="6"/>
      <c r="I29" s="6"/>
      <c r="J29" s="6"/>
      <c r="K29" s="6"/>
      <c r="L29" s="6"/>
      <c r="M29" s="6"/>
      <c r="N29" s="6"/>
      <c r="P29" s="54" t="s">
        <v>71</v>
      </c>
      <c r="Q29" s="55">
        <f>70.14%+70.14%</f>
        <v>1.4028</v>
      </c>
      <c r="R29" s="56" t="s">
        <v>44</v>
      </c>
      <c r="S29" s="56">
        <f t="shared" si="10"/>
        <v>1050</v>
      </c>
      <c r="T29" s="55">
        <f t="shared" si="11"/>
        <v>1.92033333333333</v>
      </c>
      <c r="U29" s="55">
        <f t="shared" si="17"/>
        <v>1.732</v>
      </c>
      <c r="V29" s="57">
        <f t="shared" si="12"/>
        <v>2.806</v>
      </c>
      <c r="W29" s="58">
        <f t="shared" ref="W29:W34" si="21">$K$17+K$18</f>
        <v>0.78</v>
      </c>
      <c r="X29" s="57">
        <f t="shared" si="14"/>
        <v>0.527631213551791</v>
      </c>
      <c r="Y29" s="56">
        <f t="shared" si="19"/>
        <v>0.8</v>
      </c>
      <c r="Z29" s="59">
        <v>0</v>
      </c>
      <c r="AA29" s="59">
        <v>0</v>
      </c>
      <c r="AB29" s="59">
        <f t="shared" si="15"/>
        <v>0.06</v>
      </c>
      <c r="AC29" s="60">
        <f t="shared" si="16"/>
        <v>26262.2649072029</v>
      </c>
    </row>
    <row r="30" s="1" customFormat="1" spans="2:31">
      <c r="B30" s="67" t="s">
        <v>85</v>
      </c>
      <c r="C30" s="67">
        <f>101573-20000</f>
        <v>81573</v>
      </c>
      <c r="D30" s="67">
        <f t="shared" si="20"/>
        <v>3262.92</v>
      </c>
      <c r="E30" s="45"/>
      <c r="F30" s="6"/>
      <c r="G30" s="45"/>
      <c r="H30" s="6"/>
      <c r="I30" s="6"/>
      <c r="J30" s="6"/>
      <c r="K30" s="6"/>
      <c r="L30" s="6"/>
      <c r="M30" s="6"/>
      <c r="N30" s="6"/>
      <c r="P30" s="54" t="s">
        <v>86</v>
      </c>
      <c r="Q30" s="55">
        <v>3.5411</v>
      </c>
      <c r="R30" s="56" t="s">
        <v>44</v>
      </c>
      <c r="S30" s="56">
        <f t="shared" si="10"/>
        <v>1050</v>
      </c>
      <c r="T30" s="55">
        <f t="shared" si="11"/>
        <v>1.92033333333333</v>
      </c>
      <c r="U30" s="55">
        <f t="shared" si="17"/>
        <v>1.732</v>
      </c>
      <c r="V30" s="57">
        <f t="shared" si="12"/>
        <v>2.806</v>
      </c>
      <c r="W30" s="58">
        <f t="shared" si="21"/>
        <v>0.78</v>
      </c>
      <c r="X30" s="57">
        <f t="shared" si="14"/>
        <v>0.527631213551791</v>
      </c>
      <c r="Y30" s="56">
        <f t="shared" si="19"/>
        <v>0.8</v>
      </c>
      <c r="Z30" s="59">
        <v>1.1</v>
      </c>
      <c r="AA30" s="59">
        <v>0</v>
      </c>
      <c r="AB30" s="59">
        <f t="shared" si="15"/>
        <v>0.06</v>
      </c>
      <c r="AC30" s="60">
        <f t="shared" si="16"/>
        <v>139217.524345653</v>
      </c>
    </row>
    <row r="31" s="1" customFormat="1" spans="2:31">
      <c r="B31" s="67" t="s">
        <v>87</v>
      </c>
      <c r="C31" s="67">
        <f>SUM(C27:C30)</f>
        <v>1372430.20164112</v>
      </c>
      <c r="D31" s="67">
        <f>C31/E27</f>
        <v>54897.2080656449</v>
      </c>
      <c r="E31" s="6"/>
      <c r="G31"/>
      <c r="H31"/>
      <c r="I31"/>
      <c r="J31" s="6"/>
      <c r="K31" s="6"/>
      <c r="L31" s="6"/>
      <c r="M31" s="6"/>
      <c r="N31" s="6"/>
      <c r="P31" s="54" t="s">
        <v>107</v>
      </c>
      <c r="Q31" s="55">
        <v>5.28</v>
      </c>
      <c r="R31" s="56" t="s">
        <v>44</v>
      </c>
      <c r="S31" s="56">
        <f t="shared" si="10"/>
        <v>1050</v>
      </c>
      <c r="T31" s="55">
        <f t="shared" si="11"/>
        <v>1.92033333333333</v>
      </c>
      <c r="U31" s="55">
        <f t="shared" si="17"/>
        <v>1.732</v>
      </c>
      <c r="V31" s="57">
        <f t="shared" si="12"/>
        <v>2.806</v>
      </c>
      <c r="W31" s="58">
        <f t="shared" si="21"/>
        <v>0.78</v>
      </c>
      <c r="X31" s="57">
        <f t="shared" si="14"/>
        <v>0.527631213551791</v>
      </c>
      <c r="Y31" s="56">
        <f t="shared" si="19"/>
        <v>0.8</v>
      </c>
      <c r="Z31" s="59">
        <v>0</v>
      </c>
      <c r="AA31" s="59">
        <v>0</v>
      </c>
      <c r="AB31" s="59">
        <f t="shared" si="15"/>
        <v>0.06</v>
      </c>
      <c r="AC31" s="60">
        <f t="shared" si="16"/>
        <v>98848.5591032443</v>
      </c>
    </row>
    <row r="32" s="1" customFormat="1" spans="2:31">
      <c r="B32" s="67"/>
      <c r="C32" s="67"/>
      <c r="D32" s="67"/>
      <c r="E32" s="6"/>
      <c r="G32"/>
      <c r="H32"/>
      <c r="I32"/>
      <c r="J32" s="6"/>
      <c r="K32" s="6"/>
      <c r="L32" s="6"/>
      <c r="M32" s="6"/>
      <c r="N32" s="6"/>
      <c r="P32" s="61" t="s">
        <v>90</v>
      </c>
      <c r="Q32" s="55">
        <f>460.34%</f>
        <v>4.6034</v>
      </c>
      <c r="R32" s="56" t="s">
        <v>44</v>
      </c>
      <c r="S32" s="56">
        <f t="shared" si="10"/>
        <v>1050</v>
      </c>
      <c r="T32" s="55">
        <f t="shared" si="11"/>
        <v>1.92033333333333</v>
      </c>
      <c r="U32" s="55">
        <f t="shared" si="17"/>
        <v>1.732</v>
      </c>
      <c r="V32" s="57">
        <f t="shared" si="12"/>
        <v>2.806</v>
      </c>
      <c r="W32" s="58">
        <f t="shared" si="21"/>
        <v>0.78</v>
      </c>
      <c r="X32" s="57">
        <f t="shared" si="14"/>
        <v>0.527631213551791</v>
      </c>
      <c r="Y32" s="56">
        <f t="shared" si="19"/>
        <v>0.8</v>
      </c>
      <c r="Z32" s="59">
        <v>0</v>
      </c>
      <c r="AA32" s="59">
        <v>0</v>
      </c>
      <c r="AB32" s="59">
        <f t="shared" si="15"/>
        <v>0.06</v>
      </c>
      <c r="AC32" s="60">
        <f t="shared" si="16"/>
        <v>86181.7153363399</v>
      </c>
    </row>
    <row r="33" s="1" customFormat="1" spans="2:29">
      <c r="B33" s="67"/>
      <c r="C33" s="67"/>
      <c r="D33" s="67"/>
      <c r="E33" s="6"/>
      <c r="G33" s="67"/>
      <c r="H33" s="6"/>
      <c r="I33" s="45"/>
      <c r="J33" s="6"/>
      <c r="K33" s="6"/>
      <c r="L33" s="6"/>
      <c r="M33" s="6"/>
      <c r="N33" s="6"/>
      <c r="P33" s="69" t="s">
        <v>92</v>
      </c>
      <c r="Q33" s="55">
        <f>745.54%+49.71%*5</f>
        <v>9.9409</v>
      </c>
      <c r="R33" s="56" t="s">
        <v>44</v>
      </c>
      <c r="S33" s="56">
        <f t="shared" si="10"/>
        <v>1050</v>
      </c>
      <c r="T33" s="55">
        <f t="shared" si="11"/>
        <v>1.92033333333333</v>
      </c>
      <c r="U33" s="55">
        <f>SUM($E$17:$E$22)+40%</f>
        <v>2.132</v>
      </c>
      <c r="V33" s="57">
        <f t="shared" si="12"/>
        <v>2.806</v>
      </c>
      <c r="W33" s="58">
        <f t="shared" si="21"/>
        <v>0.78</v>
      </c>
      <c r="X33" s="57">
        <f t="shared" si="14"/>
        <v>0.527631213551791</v>
      </c>
      <c r="Y33" s="56">
        <f t="shared" si="19"/>
        <v>0.8</v>
      </c>
      <c r="Z33" s="59">
        <v>0.6</v>
      </c>
      <c r="AA33" s="59">
        <v>0</v>
      </c>
      <c r="AB33" s="59">
        <f t="shared" si="15"/>
        <v>0.06</v>
      </c>
      <c r="AC33" s="60">
        <f t="shared" si="16"/>
        <v>341368.282111599</v>
      </c>
    </row>
    <row r="34" s="1" customFormat="1" ht="17.5" spans="2:29">
      <c r="B34" s="6"/>
      <c r="C34" s="70" t="s">
        <v>114</v>
      </c>
      <c r="D34" s="70"/>
      <c r="E34" s="6"/>
      <c r="F34" s="70" t="s">
        <v>115</v>
      </c>
      <c r="G34" s="70" t="s">
        <v>97</v>
      </c>
      <c r="H34" s="68"/>
      <c r="I34" s="45"/>
      <c r="J34" s="70" t="s">
        <v>96</v>
      </c>
      <c r="K34" s="70" t="s">
        <v>97</v>
      </c>
      <c r="L34" s="6"/>
      <c r="M34" s="6"/>
      <c r="N34" s="6"/>
      <c r="P34" s="54" t="s">
        <v>94</v>
      </c>
      <c r="Q34" s="55">
        <v>5</v>
      </c>
      <c r="R34" s="56" t="s">
        <v>60</v>
      </c>
      <c r="S34" s="56">
        <f t="shared" si="10"/>
        <v>1050</v>
      </c>
      <c r="T34" s="55">
        <f t="shared" si="11"/>
        <v>1.92033333333333</v>
      </c>
      <c r="U34" s="55">
        <f>SUM($E$17:$E$21)</f>
        <v>1.44</v>
      </c>
      <c r="V34" s="57">
        <f t="shared" si="12"/>
        <v>2.806</v>
      </c>
      <c r="W34" s="58">
        <f>$K$17</f>
        <v>0.2</v>
      </c>
      <c r="X34" s="57">
        <f t="shared" si="14"/>
        <v>0.527631213551791</v>
      </c>
      <c r="Y34" s="56">
        <v>0.8</v>
      </c>
      <c r="Z34" s="59">
        <v>0</v>
      </c>
      <c r="AA34" s="59">
        <v>0</v>
      </c>
      <c r="AB34" s="59">
        <f t="shared" si="15"/>
        <v>0.06</v>
      </c>
      <c r="AC34" s="60">
        <f t="shared" si="16"/>
        <v>56360.754703999</v>
      </c>
    </row>
    <row r="35" s="1" customFormat="1" ht="17.5" spans="2:29">
      <c r="B35" s="6"/>
      <c r="C35" s="71" t="s">
        <v>98</v>
      </c>
      <c r="D35" s="72">
        <v>54897</v>
      </c>
      <c r="E35" s="6"/>
      <c r="F35" s="71" t="s">
        <v>98</v>
      </c>
      <c r="G35" s="72">
        <f>58944-870</f>
        <v>58074</v>
      </c>
      <c r="H35" s="68"/>
      <c r="I35" s="73"/>
      <c r="J35" s="71" t="s">
        <v>98</v>
      </c>
      <c r="K35" s="72">
        <v>78134</v>
      </c>
      <c r="N35" s="6"/>
      <c r="P35" s="54"/>
      <c r="Q35" s="55"/>
      <c r="R35" s="56"/>
      <c r="S35" s="56"/>
      <c r="T35" s="56"/>
      <c r="U35" s="55"/>
      <c r="V35" s="57"/>
      <c r="W35" s="59"/>
      <c r="X35" s="56"/>
      <c r="Y35" s="56"/>
      <c r="Z35" s="59"/>
      <c r="AA35" s="59"/>
      <c r="AB35" s="74"/>
      <c r="AC35" s="60"/>
    </row>
    <row r="36" s="1" customFormat="1" ht="17.5" spans="2:29">
      <c r="B36" s="67"/>
      <c r="C36" s="71" t="s">
        <v>99</v>
      </c>
      <c r="D36" s="72">
        <v>57435</v>
      </c>
      <c r="E36" s="6"/>
      <c r="F36" s="71" t="s">
        <v>99</v>
      </c>
      <c r="G36" s="72">
        <f>61711-870</f>
        <v>60841</v>
      </c>
      <c r="H36" s="2"/>
      <c r="J36" s="71" t="s">
        <v>99</v>
      </c>
      <c r="K36" s="72">
        <v>82327</v>
      </c>
      <c r="N36" s="6"/>
      <c r="P36" s="75"/>
      <c r="Q36" s="75"/>
      <c r="R36" s="75"/>
      <c r="U36" s="2"/>
      <c r="V36" s="3"/>
      <c r="AB36" s="4"/>
      <c r="AC36" s="4"/>
    </row>
    <row r="37" s="1" customFormat="1" ht="17.5" spans="2:29">
      <c r="B37" s="67"/>
      <c r="C37" s="71" t="s">
        <v>99</v>
      </c>
      <c r="D37" s="72">
        <v>57435</v>
      </c>
      <c r="E37" s="6"/>
      <c r="F37" s="71" t="s">
        <v>77</v>
      </c>
      <c r="G37" s="72">
        <f>69190-870</f>
        <v>68320</v>
      </c>
      <c r="J37" s="71" t="s">
        <v>77</v>
      </c>
      <c r="K37" s="72">
        <v>91774</v>
      </c>
      <c r="N37" s="6"/>
      <c r="U37" s="2"/>
      <c r="V37" s="3"/>
      <c r="AB37" s="4"/>
      <c r="AC37" s="4"/>
    </row>
    <row r="38" s="1" customFormat="1" ht="17.5" spans="2:29">
      <c r="B38" s="6"/>
      <c r="C38" s="71" t="s">
        <v>99</v>
      </c>
      <c r="D38" s="72">
        <v>57435</v>
      </c>
      <c r="E38" s="6"/>
      <c r="F38" s="71" t="s">
        <v>77</v>
      </c>
      <c r="G38" s="72">
        <f>69190-870</f>
        <v>68320</v>
      </c>
      <c r="J38" s="71" t="s">
        <v>100</v>
      </c>
      <c r="K38" s="72">
        <v>96234</v>
      </c>
      <c r="N38" s="6"/>
      <c r="Q38" s="2"/>
      <c r="U38" s="2"/>
      <c r="V38" s="3"/>
      <c r="AB38" s="4"/>
      <c r="AC38" s="4"/>
    </row>
    <row r="39" s="1" customFormat="1" ht="17.5" spans="2:29">
      <c r="B39" s="67"/>
      <c r="C39" s="71" t="s">
        <v>116</v>
      </c>
      <c r="D39" s="76">
        <f>(D35+D36+D37+D37)/4</f>
        <v>56800.5</v>
      </c>
      <c r="E39" s="6"/>
      <c r="F39" s="71" t="s">
        <v>116</v>
      </c>
      <c r="G39" s="76">
        <f>(G35+G36+G37+G37)/4</f>
        <v>63888.75</v>
      </c>
      <c r="J39" s="71" t="s">
        <v>101</v>
      </c>
      <c r="K39" s="76">
        <f>(K35+K36+K37+K38)/4</f>
        <v>87117.25</v>
      </c>
      <c r="M39"/>
      <c r="N39"/>
      <c r="O39"/>
      <c r="Q39" s="2"/>
      <c r="U39" s="2"/>
      <c r="V39" s="78"/>
      <c r="AB39" s="4"/>
      <c r="AC39" s="4"/>
    </row>
    <row r="40" s="1" customFormat="1" ht="20" customHeight="1" spans="2:29">
      <c r="B40" s="67"/>
      <c r="C40" s="67"/>
      <c r="D40" s="72"/>
      <c r="E40" s="6"/>
      <c r="F40" s="6"/>
      <c r="G40" s="72"/>
      <c r="M40"/>
      <c r="N40"/>
      <c r="O40"/>
      <c r="Q40" s="78"/>
      <c r="U40" s="2"/>
      <c r="V40" s="78"/>
      <c r="AB40" s="4"/>
      <c r="AC40" s="4"/>
    </row>
    <row r="41" s="1" customFormat="1" ht="20" customHeight="1" spans="2:29">
      <c r="B41" s="6"/>
      <c r="C41" s="6"/>
      <c r="D41" s="6"/>
      <c r="E41" s="6"/>
      <c r="F41" s="67"/>
      <c r="G41" s="2"/>
      <c r="M41"/>
      <c r="N41"/>
      <c r="O41"/>
      <c r="Q41" s="78"/>
      <c r="V41" s="78"/>
      <c r="AB41" s="4"/>
      <c r="AC41" s="4"/>
    </row>
    <row r="42" s="1" customFormat="1" ht="20" customHeight="1" spans="2:29">
      <c r="B42" s="67"/>
      <c r="C42" s="67"/>
      <c r="D42" s="67"/>
      <c r="E42" s="6"/>
      <c r="G42" s="2"/>
      <c r="M42"/>
      <c r="N42"/>
      <c r="O42"/>
      <c r="Q42" s="78"/>
      <c r="U42" s="2"/>
      <c r="V42" s="2"/>
      <c r="AB42" s="4"/>
      <c r="AC42" s="4"/>
    </row>
    <row r="43" s="1" customFormat="1" ht="20" customHeight="1" spans="2:29">
      <c r="B43" s="67"/>
      <c r="C43" s="67"/>
      <c r="D43" s="67"/>
      <c r="E43" s="6"/>
      <c r="G43" s="2" t="s">
        <v>116</v>
      </c>
      <c r="M43"/>
      <c r="N43"/>
      <c r="O43"/>
      <c r="Q43" s="81"/>
      <c r="U43" s="2"/>
      <c r="V43" s="3"/>
      <c r="AB43" s="4"/>
      <c r="AC43" s="4"/>
    </row>
    <row r="44" s="1" customFormat="1" spans="2:29">
      <c r="B44" s="6"/>
      <c r="C44" s="6"/>
      <c r="D44" s="6"/>
      <c r="E44" s="6"/>
      <c r="F44" s="1" t="s">
        <v>117</v>
      </c>
      <c r="G44" s="82">
        <v>87117</v>
      </c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F45" s="1" t="s">
        <v>118</v>
      </c>
      <c r="G45" s="82">
        <v>62412</v>
      </c>
      <c r="N45" s="6"/>
      <c r="Q45" s="2"/>
      <c r="U45" s="2"/>
      <c r="V45" s="3"/>
      <c r="AB45" s="4"/>
      <c r="AC45" s="4"/>
    </row>
    <row r="46" s="1" customFormat="1" spans="2:29">
      <c r="E46" s="6"/>
      <c r="F46" s="1" t="s">
        <v>119</v>
      </c>
      <c r="G46" s="82">
        <v>56801</v>
      </c>
      <c r="N46" s="6"/>
      <c r="Q46" s="2"/>
      <c r="U46" s="2"/>
      <c r="V46" s="3"/>
      <c r="AB46" s="4"/>
      <c r="AC46" s="4"/>
    </row>
    <row r="47" s="1" customFormat="1" spans="2:29">
      <c r="E47" s="6"/>
      <c r="F47" s="1" t="s">
        <v>120</v>
      </c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D28" workbookViewId="0">
      <selection activeCell="N43" sqref="N43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12.1818181818182" style="1" customWidth="1"/>
    <col min="4" max="4" width="9.36363636363636" style="1" customWidth="1"/>
    <col min="5" max="5" width="5.46363636363636" style="1" customWidth="1"/>
    <col min="6" max="6" width="12.1818181818182" style="1" customWidth="1"/>
    <col min="7" max="7" width="12.1818181818182" style="2" customWidth="1"/>
    <col min="8" max="8" width="17.9090909090909" style="1" customWidth="1"/>
    <col min="9" max="9" width="8.92727272727273" style="1" customWidth="1"/>
    <col min="10" max="10" width="12.1818181818182" style="1" customWidth="1"/>
    <col min="11" max="11" width="9.36363636363636" style="1" customWidth="1"/>
    <col min="12" max="12" width="10.3090909090909" style="1" customWidth="1"/>
    <col min="13" max="13" width="12.1818181818182" style="1" customWidth="1"/>
    <col min="14" max="14" width="9.36363636363636" style="1" customWidth="1"/>
    <col min="15" max="15" width="10.7272727272727" style="1" customWidth="1"/>
    <col min="16" max="16" width="16.2727272727273" style="1" customWidth="1"/>
    <col min="17" max="17" width="9.54545454545454" style="2" customWidth="1"/>
    <col min="18" max="18" width="5.54545454545455" style="1" customWidth="1"/>
    <col min="19" max="19" width="6.54545454545455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3" width="7.54545454545455" style="1" customWidth="1"/>
    <col min="24" max="24" width="8.54545454545454" style="1" customWidth="1"/>
    <col min="25" max="25" width="7.54545454545455" style="1" customWidth="1"/>
    <col min="26" max="26" width="9.54545454545454" style="1" customWidth="1"/>
    <col min="27" max="27" width="7.54545454545455" style="1" customWidth="1"/>
    <col min="28" max="28" width="9.54545454545454" style="4" customWidth="1"/>
    <col min="29" max="29" width="8.54545454545454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1.52544755970924</v>
      </c>
      <c r="U3" s="18">
        <f>SUM($E$4:$E$8)</f>
        <v>1.68</v>
      </c>
      <c r="V3" s="20">
        <f t="shared" ref="V3:V11" si="2">1+$G$9*($I$9-1)</f>
        <v>2.58025</v>
      </c>
      <c r="W3" s="21">
        <f t="shared" ref="W3:W11" si="3">$K$4</f>
        <v>0.15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f t="shared" ref="AB3:AB11" si="5">AE$26</f>
        <v>0.18</v>
      </c>
      <c r="AC3" s="23">
        <f t="shared" ref="AC3:AC11" si="6">Q3*S3*(1+T3)*(1+U3)*V3*(1+W3)*X3*Y3*(1+Z3)*(1+AA3)*(1+AB3)</f>
        <v>20575.0905564881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v>0.15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1.52544755970924</v>
      </c>
      <c r="U4" s="18">
        <f t="shared" ref="U4:U11" si="7">SUM($E$4:$E$8)</f>
        <v>1.68</v>
      </c>
      <c r="V4" s="20">
        <f t="shared" si="2"/>
        <v>2.58025</v>
      </c>
      <c r="W4" s="21">
        <f t="shared" si="3"/>
        <v>0.15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f t="shared" si="5"/>
        <v>0.18</v>
      </c>
      <c r="AC4" s="23">
        <f t="shared" si="6"/>
        <v>80067.1228595006</v>
      </c>
      <c r="AD4" s="13">
        <v>10</v>
      </c>
      <c r="AE4" s="13">
        <v>0</v>
      </c>
      <c r="AF4" s="14">
        <f t="shared" ref="AF4:AF8" si="8">1520/(1520+(792+8*AG4)*(1-AE4/100)*(1-AD4/100))</f>
        <v>0.527631213551791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1.52544755970924</v>
      </c>
      <c r="U5" s="18">
        <f t="shared" si="7"/>
        <v>1.68</v>
      </c>
      <c r="V5" s="20">
        <f t="shared" si="2"/>
        <v>2.58025</v>
      </c>
      <c r="W5" s="21">
        <f t="shared" si="3"/>
        <v>0.15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f t="shared" si="5"/>
        <v>0.18</v>
      </c>
      <c r="AC5" s="23">
        <f t="shared" si="6"/>
        <v>25501.9460932129</v>
      </c>
      <c r="AD5" s="13">
        <v>52</v>
      </c>
      <c r="AE5" s="13">
        <v>0</v>
      </c>
      <c r="AF5" s="14">
        <f t="shared" si="8"/>
        <v>0.676831005984611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</f>
        <v>0.2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1.52544755970924</v>
      </c>
      <c r="U6" s="18">
        <f t="shared" ref="U6:U8" si="9">SUM($E$4:$E$9)</f>
        <v>2.212</v>
      </c>
      <c r="V6" s="20">
        <f t="shared" si="2"/>
        <v>2.58025</v>
      </c>
      <c r="W6" s="21">
        <f t="shared" si="3"/>
        <v>0.15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f t="shared" si="5"/>
        <v>0.18</v>
      </c>
      <c r="AC6" s="23">
        <f t="shared" si="6"/>
        <v>60942.0641869302</v>
      </c>
      <c r="AD6" s="13">
        <v>0</v>
      </c>
      <c r="AE6" s="13">
        <v>0</v>
      </c>
      <c r="AF6" s="14">
        <f t="shared" si="8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f>24%+40%</f>
        <v>0.64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1.52544755970924</v>
      </c>
      <c r="U7" s="18">
        <f t="shared" si="9"/>
        <v>2.212</v>
      </c>
      <c r="V7" s="20">
        <f t="shared" si="2"/>
        <v>2.58025</v>
      </c>
      <c r="W7" s="21">
        <f t="shared" si="3"/>
        <v>0.15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f t="shared" si="5"/>
        <v>0.18</v>
      </c>
      <c r="AC7" s="23">
        <f t="shared" si="6"/>
        <v>33742.1321619622</v>
      </c>
      <c r="AD7" s="13">
        <v>0</v>
      </c>
      <c r="AE7" s="13">
        <v>0</v>
      </c>
      <c r="AF7" s="14">
        <f t="shared" si="8"/>
        <v>0.50131926121372</v>
      </c>
      <c r="AG7" s="24">
        <v>90</v>
      </c>
    </row>
    <row r="8" s="1" customFormat="1" spans="2:33">
      <c r="B8" s="25" t="s">
        <v>49</v>
      </c>
      <c r="C8" s="31">
        <f>25%+14%</f>
        <v>0.39</v>
      </c>
      <c r="D8" s="25" t="s">
        <v>50</v>
      </c>
      <c r="E8" s="32">
        <v>0.24</v>
      </c>
      <c r="F8" s="25" t="s">
        <v>51</v>
      </c>
      <c r="G8" s="28">
        <v>0.125</v>
      </c>
      <c r="H8" s="25" t="s">
        <v>51</v>
      </c>
      <c r="I8" s="28"/>
      <c r="J8" s="30"/>
      <c r="K8" s="28"/>
      <c r="L8" s="25"/>
      <c r="M8" s="26"/>
      <c r="N8" s="6"/>
      <c r="P8" s="17" t="s">
        <v>53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1.52544755970924</v>
      </c>
      <c r="U8" s="18">
        <f t="shared" si="9"/>
        <v>2.212</v>
      </c>
      <c r="V8" s="20">
        <f t="shared" si="2"/>
        <v>2.58025</v>
      </c>
      <c r="W8" s="21">
        <f t="shared" si="3"/>
        <v>0.15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f t="shared" si="5"/>
        <v>0.18</v>
      </c>
      <c r="AC8" s="23">
        <f t="shared" si="6"/>
        <v>133467.903264313</v>
      </c>
      <c r="AD8" s="13">
        <v>0</v>
      </c>
      <c r="AE8" s="13">
        <v>36</v>
      </c>
      <c r="AF8" s="14">
        <f t="shared" si="8"/>
        <v>0.611011062516079</v>
      </c>
      <c r="AG8" s="24">
        <v>90</v>
      </c>
    </row>
    <row r="9" s="1" customFormat="1" spans="2:33">
      <c r="B9" s="25" t="s">
        <v>54</v>
      </c>
      <c r="C9" s="26">
        <v>350</v>
      </c>
      <c r="D9" s="25" t="s">
        <v>55</v>
      </c>
      <c r="E9" s="33">
        <f>36%+M5</f>
        <v>0.532</v>
      </c>
      <c r="F9" s="34" t="s">
        <v>56</v>
      </c>
      <c r="G9" s="35">
        <f>MIN(100%,SUM(G4:G8))</f>
        <v>0.903</v>
      </c>
      <c r="H9" s="34" t="s">
        <v>57</v>
      </c>
      <c r="I9" s="36">
        <f>SUM(I4:I8)</f>
        <v>2.75</v>
      </c>
      <c r="J9" s="30"/>
      <c r="K9" s="28"/>
      <c r="L9" s="25"/>
      <c r="M9" s="26"/>
      <c r="N9" s="6"/>
      <c r="P9" s="37" t="s">
        <v>58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1.52544755970924</v>
      </c>
      <c r="U9" s="18">
        <f t="shared" si="7"/>
        <v>1.68</v>
      </c>
      <c r="V9" s="20">
        <f t="shared" si="2"/>
        <v>2.58025</v>
      </c>
      <c r="W9" s="21">
        <f t="shared" si="3"/>
        <v>0.15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f t="shared" si="5"/>
        <v>0.18</v>
      </c>
      <c r="AC9" s="23">
        <f t="shared" si="6"/>
        <v>21290.8254681951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59</v>
      </c>
      <c r="Q10" s="18">
        <v>1</v>
      </c>
      <c r="R10" s="19" t="s">
        <v>60</v>
      </c>
      <c r="S10" s="19">
        <f t="shared" si="0"/>
        <v>963</v>
      </c>
      <c r="T10" s="18">
        <f t="shared" si="1"/>
        <v>1.52544755970924</v>
      </c>
      <c r="U10" s="18">
        <f t="shared" si="7"/>
        <v>1.68</v>
      </c>
      <c r="V10" s="20">
        <f t="shared" si="2"/>
        <v>2.58025</v>
      </c>
      <c r="W10" s="21">
        <f t="shared" si="3"/>
        <v>0.15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f t="shared" si="5"/>
        <v>0.18</v>
      </c>
      <c r="AC10" s="23">
        <f t="shared" si="6"/>
        <v>9152.62035430963</v>
      </c>
    </row>
    <row r="11" s="1" customFormat="1" spans="2:33">
      <c r="B11" s="40" t="s">
        <v>61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62</v>
      </c>
      <c r="Q11" s="18">
        <f>27.36%*10</f>
        <v>2.736</v>
      </c>
      <c r="R11" s="19" t="s">
        <v>63</v>
      </c>
      <c r="S11" s="19">
        <f t="shared" si="0"/>
        <v>963</v>
      </c>
      <c r="T11" s="18">
        <f t="shared" si="1"/>
        <v>1.52544755970924</v>
      </c>
      <c r="U11" s="18">
        <f t="shared" si="7"/>
        <v>1.68</v>
      </c>
      <c r="V11" s="20">
        <f t="shared" si="2"/>
        <v>2.58025</v>
      </c>
      <c r="W11" s="21">
        <f t="shared" si="3"/>
        <v>0.15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f t="shared" si="5"/>
        <v>0.18</v>
      </c>
      <c r="AC11" s="23">
        <f t="shared" si="6"/>
        <v>25041.5692893911</v>
      </c>
    </row>
    <row r="12" s="1" customFormat="1" spans="2:33">
      <c r="B12" s="6"/>
      <c r="C12" s="6"/>
      <c r="D12" s="6"/>
      <c r="E12" s="6"/>
      <c r="F12" s="6" t="s">
        <v>64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/>
      <c r="Q14" s="18"/>
      <c r="R14" s="19"/>
      <c r="S14" s="19"/>
      <c r="T14" s="18"/>
      <c r="U14" s="18"/>
      <c r="V14" s="20"/>
      <c r="W14" s="21"/>
      <c r="X14" s="20"/>
      <c r="Y14" s="19"/>
      <c r="Z14" s="22"/>
      <c r="AA14" s="22"/>
      <c r="AB14" s="22"/>
      <c r="AC14" s="23"/>
    </row>
    <row r="15" s="1" customFormat="1" ht="15" spans="2:33">
      <c r="B15" s="46" t="s">
        <v>65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/>
      <c r="Q15" s="18"/>
      <c r="R15" s="19"/>
      <c r="S15" s="19"/>
      <c r="T15" s="18"/>
      <c r="U15" s="18"/>
      <c r="V15" s="20"/>
      <c r="W15" s="21"/>
      <c r="X15" s="20"/>
      <c r="Y15" s="19"/>
      <c r="Z15" s="22"/>
      <c r="AA15" s="22"/>
      <c r="AB15" s="22"/>
      <c r="AC15" s="23"/>
    </row>
    <row r="16" s="1" customFormat="1" spans="2:33">
      <c r="B16" s="49" t="s">
        <v>18</v>
      </c>
      <c r="C16" s="50"/>
      <c r="D16" s="49" t="s">
        <v>6</v>
      </c>
      <c r="E16" s="50"/>
      <c r="F16" s="49" t="s">
        <v>19</v>
      </c>
      <c r="G16" s="50"/>
      <c r="H16" s="49" t="s">
        <v>20</v>
      </c>
      <c r="I16" s="50"/>
      <c r="J16" s="51" t="s">
        <v>8</v>
      </c>
      <c r="K16" s="51"/>
      <c r="L16" s="49" t="s">
        <v>21</v>
      </c>
      <c r="M16" s="50"/>
      <c r="N16" s="6"/>
      <c r="P16" s="17"/>
      <c r="Q16" s="18"/>
      <c r="R16" s="19"/>
      <c r="S16" s="19"/>
      <c r="T16" s="18"/>
      <c r="U16" s="18"/>
      <c r="V16" s="20"/>
      <c r="W16" s="21"/>
      <c r="X16" s="20"/>
      <c r="Y16" s="19"/>
      <c r="Z16" s="22"/>
      <c r="AA16" s="22"/>
      <c r="AB16" s="22"/>
      <c r="AC16" s="23"/>
    </row>
    <row r="17" s="1" customFormat="1" spans="2:31">
      <c r="B17" s="25" t="s">
        <v>4</v>
      </c>
      <c r="C17" s="26">
        <f>463+587</f>
        <v>1050</v>
      </c>
      <c r="D17" s="25" t="s">
        <v>24</v>
      </c>
      <c r="E17" s="32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2" t="s">
        <v>26</v>
      </c>
      <c r="K17" s="53">
        <f>15%+25%+15%+15%</f>
        <v>0.7</v>
      </c>
      <c r="L17" s="25" t="s">
        <v>27</v>
      </c>
      <c r="M17" s="28">
        <f>8.6%*2</f>
        <v>0.172</v>
      </c>
      <c r="N17" s="6"/>
      <c r="P17" s="17"/>
      <c r="Q17" s="18"/>
      <c r="R17" s="19"/>
      <c r="S17" s="19"/>
      <c r="T17" s="18"/>
      <c r="U17" s="18"/>
      <c r="V17" s="20"/>
      <c r="W17" s="21"/>
      <c r="X17" s="20"/>
      <c r="Y17" s="19"/>
      <c r="Z17" s="22"/>
      <c r="AA17" s="22"/>
      <c r="AB17" s="22"/>
      <c r="AC17" s="23"/>
    </row>
    <row r="18" s="1" customFormat="1" spans="2:31">
      <c r="B18" s="25" t="s">
        <v>30</v>
      </c>
      <c r="C18" s="27">
        <v>0.24</v>
      </c>
      <c r="D18" s="25" t="s">
        <v>66</v>
      </c>
      <c r="E18" s="27">
        <v>0.12</v>
      </c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67</v>
      </c>
      <c r="K18" s="28">
        <f>20%</f>
        <v>0.2</v>
      </c>
      <c r="L18" s="25" t="s">
        <v>68</v>
      </c>
      <c r="M18" s="28">
        <f>8.6%*2</f>
        <v>0.172</v>
      </c>
      <c r="N18" s="6"/>
      <c r="P18" s="54" t="s">
        <v>63</v>
      </c>
      <c r="Q18" s="55">
        <v>1.6102</v>
      </c>
      <c r="R18" s="56" t="s">
        <v>63</v>
      </c>
      <c r="S18" s="56">
        <f t="shared" ref="S18:S34" si="10">$C$17</f>
        <v>1050</v>
      </c>
      <c r="T18" s="55">
        <f t="shared" ref="T18:T34" si="11">($C$18+$C$19+$C$20+$C$21)+($C$22+$C$23)/S18</f>
        <v>2.09533333333333</v>
      </c>
      <c r="U18" s="55">
        <f>SUM($E$17:$E$21)+60%</f>
        <v>2.2</v>
      </c>
      <c r="V18" s="57">
        <f t="shared" ref="V18:V34" si="12">1+$G$22*($I$22-1)</f>
        <v>2.806</v>
      </c>
      <c r="W18" s="58">
        <f>$K$17</f>
        <v>0.7</v>
      </c>
      <c r="X18" s="57">
        <f t="shared" ref="X18:X34" si="13">$AF$4</f>
        <v>0.527631213551791</v>
      </c>
      <c r="Y18" s="56">
        <v>0.8</v>
      </c>
      <c r="Z18" s="59">
        <v>0</v>
      </c>
      <c r="AA18" s="59">
        <v>0</v>
      </c>
      <c r="AB18" s="59">
        <f t="shared" ref="AB18:AB34" si="14">AE$26</f>
        <v>0.18</v>
      </c>
      <c r="AC18" s="60">
        <f t="shared" ref="AC18:AC34" si="15">Q18*S18*(1+T18)*(1+U18)*V18*(1+W18)*X18*Y18*(1+Z18)*(1+AA18)*(1+AB18)</f>
        <v>39789.2347167836</v>
      </c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0.4</v>
      </c>
      <c r="F19" s="25"/>
      <c r="G19" s="28"/>
      <c r="H19" s="25" t="s">
        <v>69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54" t="s">
        <v>22</v>
      </c>
      <c r="Q19" s="55">
        <f>72.67%*3</f>
        <v>2.1801</v>
      </c>
      <c r="R19" s="56" t="s">
        <v>23</v>
      </c>
      <c r="S19" s="56">
        <f t="shared" si="10"/>
        <v>1050</v>
      </c>
      <c r="T19" s="55">
        <f t="shared" si="11"/>
        <v>2.09533333333333</v>
      </c>
      <c r="U19" s="55">
        <f>SUM($E$17:$E$21)</f>
        <v>1.6</v>
      </c>
      <c r="V19" s="57">
        <f t="shared" si="12"/>
        <v>2.806</v>
      </c>
      <c r="W19" s="58">
        <f>$K$17</f>
        <v>0.7</v>
      </c>
      <c r="X19" s="57">
        <f t="shared" si="13"/>
        <v>0.527631213551791</v>
      </c>
      <c r="Y19" s="56">
        <v>0.8</v>
      </c>
      <c r="Z19" s="59">
        <v>0</v>
      </c>
      <c r="AA19" s="59">
        <v>0</v>
      </c>
      <c r="AB19" s="59">
        <f t="shared" si="14"/>
        <v>0.18</v>
      </c>
      <c r="AC19" s="60">
        <f t="shared" si="15"/>
        <v>43770.9072583677</v>
      </c>
    </row>
    <row r="20" s="1" customFormat="1" spans="2:31">
      <c r="B20" s="25" t="s">
        <v>45</v>
      </c>
      <c r="C20" s="31"/>
      <c r="D20" s="25" t="s">
        <v>49</v>
      </c>
      <c r="E20" s="27">
        <f>58%</f>
        <v>0.58</v>
      </c>
      <c r="F20" s="25" t="s">
        <v>33</v>
      </c>
      <c r="G20" s="28">
        <f>M19</f>
        <v>0.405</v>
      </c>
      <c r="H20" s="25"/>
      <c r="I20" s="28"/>
      <c r="J20" s="30"/>
      <c r="K20" s="28"/>
      <c r="L20" s="25" t="s">
        <v>47</v>
      </c>
      <c r="M20" s="27">
        <f>16.2%*5</f>
        <v>0.81</v>
      </c>
      <c r="N20" s="6"/>
      <c r="P20" s="54" t="s">
        <v>70</v>
      </c>
      <c r="Q20" s="55">
        <f>45.63%+45.63%</f>
        <v>0.9126</v>
      </c>
      <c r="R20" s="56" t="s">
        <v>44</v>
      </c>
      <c r="S20" s="56">
        <f t="shared" si="10"/>
        <v>1050</v>
      </c>
      <c r="T20" s="55">
        <f t="shared" si="11"/>
        <v>2.09533333333333</v>
      </c>
      <c r="U20" s="55">
        <f t="shared" ref="U20:U32" si="16">SUM($E$17:$E$22)</f>
        <v>1.892</v>
      </c>
      <c r="V20" s="57">
        <f t="shared" si="12"/>
        <v>2.806</v>
      </c>
      <c r="W20" s="58">
        <f t="shared" ref="W20:W33" si="17">$K$17+K$18</f>
        <v>0.9</v>
      </c>
      <c r="X20" s="57">
        <f t="shared" si="13"/>
        <v>0.527631213551791</v>
      </c>
      <c r="Y20" s="56">
        <f t="shared" ref="Y20:Y33" si="18">AE$23</f>
        <v>0.8</v>
      </c>
      <c r="Z20" s="59">
        <v>0</v>
      </c>
      <c r="AA20" s="59">
        <v>0</v>
      </c>
      <c r="AB20" s="59">
        <f t="shared" si="14"/>
        <v>0.18</v>
      </c>
      <c r="AC20" s="60">
        <f t="shared" si="15"/>
        <v>22778.1903696676</v>
      </c>
    </row>
    <row r="21" s="1" customFormat="1" spans="2:31">
      <c r="B21" s="25" t="s">
        <v>49</v>
      </c>
      <c r="C21" s="31">
        <f>25%+30%+14%</f>
        <v>0.69</v>
      </c>
      <c r="D21" s="25" t="s">
        <v>50</v>
      </c>
      <c r="E21" s="32">
        <v>0.2</v>
      </c>
      <c r="F21" s="25" t="s">
        <v>51</v>
      </c>
      <c r="G21" s="28">
        <v>0.125</v>
      </c>
      <c r="H21" s="25" t="s">
        <v>51</v>
      </c>
      <c r="I21" s="28">
        <v>0.25</v>
      </c>
      <c r="J21" s="30"/>
      <c r="K21" s="28"/>
      <c r="L21" s="25"/>
      <c r="M21" s="26"/>
      <c r="N21" s="6"/>
      <c r="P21" s="54" t="s">
        <v>71</v>
      </c>
      <c r="Q21" s="55">
        <f>70.14%+70.14%</f>
        <v>1.4028</v>
      </c>
      <c r="R21" s="56" t="s">
        <v>44</v>
      </c>
      <c r="S21" s="56">
        <f t="shared" si="10"/>
        <v>1050</v>
      </c>
      <c r="T21" s="55">
        <f t="shared" si="11"/>
        <v>2.09533333333333</v>
      </c>
      <c r="U21" s="55">
        <f t="shared" si="16"/>
        <v>1.892</v>
      </c>
      <c r="V21" s="57">
        <f t="shared" si="12"/>
        <v>2.806</v>
      </c>
      <c r="W21" s="58">
        <f t="shared" si="17"/>
        <v>0.9</v>
      </c>
      <c r="X21" s="57">
        <f t="shared" si="13"/>
        <v>0.527631213551791</v>
      </c>
      <c r="Y21" s="56">
        <f t="shared" si="18"/>
        <v>0.8</v>
      </c>
      <c r="Z21" s="59">
        <v>0</v>
      </c>
      <c r="AA21" s="59">
        <v>0</v>
      </c>
      <c r="AB21" s="59">
        <f t="shared" si="14"/>
        <v>0.18</v>
      </c>
      <c r="AC21" s="60">
        <f t="shared" si="15"/>
        <v>35013.4182013694</v>
      </c>
    </row>
    <row r="22" s="1" customFormat="1" spans="2:31">
      <c r="B22" s="25" t="s">
        <v>54</v>
      </c>
      <c r="C22" s="26">
        <v>350</v>
      </c>
      <c r="D22" s="25" t="s">
        <v>55</v>
      </c>
      <c r="E22" s="33">
        <f>12%+M18</f>
        <v>0.292</v>
      </c>
      <c r="F22" s="34" t="s">
        <v>56</v>
      </c>
      <c r="G22" s="35">
        <f>MIN(100%,SUM(G17:G21))</f>
        <v>0.903</v>
      </c>
      <c r="H22" s="34" t="s">
        <v>57</v>
      </c>
      <c r="I22" s="36">
        <f>SUM(I17:I21)</f>
        <v>3</v>
      </c>
      <c r="J22" s="30"/>
      <c r="K22" s="28"/>
      <c r="L22" s="25"/>
      <c r="M22" s="26"/>
      <c r="N22" s="6"/>
      <c r="P22" s="61" t="s">
        <v>72</v>
      </c>
      <c r="Q22" s="61">
        <f>26.56%*5+88.53%</f>
        <v>2.2133</v>
      </c>
      <c r="R22" s="56" t="s">
        <v>44</v>
      </c>
      <c r="S22" s="56">
        <f t="shared" si="10"/>
        <v>1050</v>
      </c>
      <c r="T22" s="55">
        <f t="shared" si="11"/>
        <v>2.09533333333333</v>
      </c>
      <c r="U22" s="55">
        <f t="shared" si="16"/>
        <v>1.892</v>
      </c>
      <c r="V22" s="57">
        <f t="shared" si="12"/>
        <v>2.806</v>
      </c>
      <c r="W22" s="58">
        <f t="shared" si="17"/>
        <v>0.9</v>
      </c>
      <c r="X22" s="57">
        <f t="shared" si="13"/>
        <v>0.527631213551791</v>
      </c>
      <c r="Y22" s="56">
        <f t="shared" si="18"/>
        <v>0.8</v>
      </c>
      <c r="Z22" s="59">
        <v>1.1</v>
      </c>
      <c r="AA22" s="59">
        <v>0</v>
      </c>
      <c r="AB22" s="59">
        <f t="shared" si="14"/>
        <v>0.18</v>
      </c>
      <c r="AC22" s="60">
        <f t="shared" si="15"/>
        <v>116010.776205226</v>
      </c>
      <c r="AE22" s="62" t="s">
        <v>73</v>
      </c>
    </row>
    <row r="23" s="1" customFormat="1" spans="2:31">
      <c r="B23" s="40" t="s">
        <v>61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4" t="s">
        <v>74</v>
      </c>
      <c r="Q23" s="55">
        <v>0.5746</v>
      </c>
      <c r="R23" s="56" t="s">
        <v>44</v>
      </c>
      <c r="S23" s="56">
        <f t="shared" si="10"/>
        <v>1050</v>
      </c>
      <c r="T23" s="55">
        <f t="shared" si="11"/>
        <v>2.09533333333333</v>
      </c>
      <c r="U23" s="55">
        <f t="shared" si="16"/>
        <v>1.892</v>
      </c>
      <c r="V23" s="57">
        <f t="shared" si="12"/>
        <v>2.806</v>
      </c>
      <c r="W23" s="58">
        <f t="shared" si="17"/>
        <v>0.9</v>
      </c>
      <c r="X23" s="57">
        <f t="shared" si="13"/>
        <v>0.527631213551791</v>
      </c>
      <c r="Y23" s="56">
        <f t="shared" si="18"/>
        <v>0.8</v>
      </c>
      <c r="Z23" s="59">
        <v>0</v>
      </c>
      <c r="AA23" s="59">
        <v>0</v>
      </c>
      <c r="AB23" s="59">
        <f t="shared" si="14"/>
        <v>0.18</v>
      </c>
      <c r="AC23" s="60">
        <f t="shared" si="15"/>
        <v>14341.823566087</v>
      </c>
      <c r="AE23" s="1">
        <v>0.8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4" t="s">
        <v>70</v>
      </c>
      <c r="Q24" s="55">
        <f>45.63%+45.63%</f>
        <v>0.9126</v>
      </c>
      <c r="R24" s="56" t="s">
        <v>44</v>
      </c>
      <c r="S24" s="56">
        <f t="shared" si="10"/>
        <v>1050</v>
      </c>
      <c r="T24" s="55">
        <f t="shared" si="11"/>
        <v>2.09533333333333</v>
      </c>
      <c r="U24" s="55">
        <f t="shared" si="16"/>
        <v>1.892</v>
      </c>
      <c r="V24" s="57">
        <f t="shared" si="12"/>
        <v>2.806</v>
      </c>
      <c r="W24" s="58">
        <f t="shared" si="17"/>
        <v>0.9</v>
      </c>
      <c r="X24" s="57">
        <f t="shared" si="13"/>
        <v>0.527631213551791</v>
      </c>
      <c r="Y24" s="56">
        <f t="shared" si="18"/>
        <v>0.8</v>
      </c>
      <c r="Z24" s="59">
        <v>0</v>
      </c>
      <c r="AA24" s="59">
        <v>0</v>
      </c>
      <c r="AB24" s="59">
        <f t="shared" si="14"/>
        <v>0.18</v>
      </c>
      <c r="AC24" s="60">
        <f t="shared" si="15"/>
        <v>22778.1903696676</v>
      </c>
    </row>
    <row r="25" s="1" customFormat="1" ht="15" spans="2:31">
      <c r="B25" s="63" t="s">
        <v>75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4" t="s">
        <v>71</v>
      </c>
      <c r="Q25" s="55">
        <f>70.14%+70.14%</f>
        <v>1.4028</v>
      </c>
      <c r="R25" s="56" t="s">
        <v>44</v>
      </c>
      <c r="S25" s="56">
        <f t="shared" si="10"/>
        <v>1050</v>
      </c>
      <c r="T25" s="55">
        <f t="shared" si="11"/>
        <v>2.09533333333333</v>
      </c>
      <c r="U25" s="55">
        <f t="shared" si="16"/>
        <v>1.892</v>
      </c>
      <c r="V25" s="57">
        <f t="shared" si="12"/>
        <v>2.806</v>
      </c>
      <c r="W25" s="58">
        <f t="shared" si="17"/>
        <v>0.9</v>
      </c>
      <c r="X25" s="57">
        <f t="shared" si="13"/>
        <v>0.527631213551791</v>
      </c>
      <c r="Y25" s="56">
        <f t="shared" si="18"/>
        <v>0.8</v>
      </c>
      <c r="Z25" s="59">
        <v>0</v>
      </c>
      <c r="AA25" s="59">
        <v>0</v>
      </c>
      <c r="AB25" s="59">
        <f t="shared" si="14"/>
        <v>0.18</v>
      </c>
      <c r="AC25" s="60">
        <f t="shared" si="15"/>
        <v>35013.4182013694</v>
      </c>
      <c r="AE25" s="1" t="s">
        <v>76</v>
      </c>
    </row>
    <row r="26" s="1" customFormat="1" spans="2:31">
      <c r="B26" s="64" t="s">
        <v>77</v>
      </c>
      <c r="C26" s="64" t="s">
        <v>78</v>
      </c>
      <c r="D26" s="64" t="s">
        <v>79</v>
      </c>
      <c r="E26" s="64" t="s">
        <v>80</v>
      </c>
      <c r="F26" s="65"/>
      <c r="G26" s="45"/>
      <c r="H26" s="6"/>
      <c r="I26" s="6"/>
      <c r="J26" s="6"/>
      <c r="K26" s="6"/>
      <c r="L26" s="6"/>
      <c r="M26" s="6"/>
      <c r="N26" s="6"/>
      <c r="P26" s="54" t="s">
        <v>81</v>
      </c>
      <c r="Q26" s="55">
        <f>95.91%*3</f>
        <v>2.8773</v>
      </c>
      <c r="R26" s="56" t="s">
        <v>44</v>
      </c>
      <c r="S26" s="56">
        <f t="shared" si="10"/>
        <v>1050</v>
      </c>
      <c r="T26" s="55">
        <f t="shared" si="11"/>
        <v>2.09533333333333</v>
      </c>
      <c r="U26" s="55">
        <f t="shared" si="16"/>
        <v>1.892</v>
      </c>
      <c r="V26" s="57">
        <f t="shared" si="12"/>
        <v>2.806</v>
      </c>
      <c r="W26" s="58">
        <f t="shared" si="17"/>
        <v>0.9</v>
      </c>
      <c r="X26" s="57">
        <f t="shared" si="13"/>
        <v>0.527631213551791</v>
      </c>
      <c r="Y26" s="56">
        <f t="shared" si="18"/>
        <v>0.8</v>
      </c>
      <c r="Z26" s="59">
        <v>1.1</v>
      </c>
      <c r="AA26" s="59">
        <v>0</v>
      </c>
      <c r="AB26" s="59">
        <f t="shared" si="14"/>
        <v>0.18</v>
      </c>
      <c r="AC26" s="60">
        <f t="shared" si="15"/>
        <v>150814.533219761</v>
      </c>
      <c r="AE26" s="66">
        <v>0.18</v>
      </c>
    </row>
    <row r="27" s="1" customFormat="1" spans="2:31">
      <c r="B27" s="67" t="s">
        <v>113</v>
      </c>
      <c r="C27" s="67">
        <f>SUM(AC3:AC11)</f>
        <v>409781.274234303</v>
      </c>
      <c r="D27" s="67">
        <f t="shared" ref="D27:D30" si="19">C27/E$27</f>
        <v>16391.2509693721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4" t="s">
        <v>74</v>
      </c>
      <c r="Q27" s="55">
        <v>0.5746</v>
      </c>
      <c r="R27" s="56" t="s">
        <v>44</v>
      </c>
      <c r="S27" s="56">
        <f t="shared" si="10"/>
        <v>1050</v>
      </c>
      <c r="T27" s="55">
        <f t="shared" si="11"/>
        <v>2.09533333333333</v>
      </c>
      <c r="U27" s="55">
        <f t="shared" si="16"/>
        <v>1.892</v>
      </c>
      <c r="V27" s="57">
        <f t="shared" si="12"/>
        <v>2.806</v>
      </c>
      <c r="W27" s="58">
        <f t="shared" si="17"/>
        <v>0.9</v>
      </c>
      <c r="X27" s="57">
        <f t="shared" si="13"/>
        <v>0.527631213551791</v>
      </c>
      <c r="Y27" s="56">
        <f t="shared" si="18"/>
        <v>0.8</v>
      </c>
      <c r="Z27" s="59">
        <v>0</v>
      </c>
      <c r="AA27" s="59">
        <v>0</v>
      </c>
      <c r="AB27" s="59">
        <f t="shared" si="14"/>
        <v>0.18</v>
      </c>
      <c r="AC27" s="60">
        <f t="shared" si="15"/>
        <v>14341.823566087</v>
      </c>
    </row>
    <row r="28" s="1" customFormat="1" spans="2:31">
      <c r="B28" s="67" t="s">
        <v>51</v>
      </c>
      <c r="C28" s="67">
        <v>50000</v>
      </c>
      <c r="D28" s="67">
        <f t="shared" si="19"/>
        <v>2000</v>
      </c>
      <c r="E28" s="6"/>
      <c r="F28" s="6"/>
      <c r="G28" s="45"/>
      <c r="H28" s="6"/>
      <c r="I28" s="6"/>
      <c r="J28" s="6"/>
      <c r="K28" s="6"/>
      <c r="L28" s="6"/>
      <c r="M28" s="6"/>
      <c r="N28" s="6"/>
      <c r="P28" s="54" t="s">
        <v>70</v>
      </c>
      <c r="Q28" s="55">
        <f>45.63%+45.63%</f>
        <v>0.9126</v>
      </c>
      <c r="R28" s="56" t="s">
        <v>44</v>
      </c>
      <c r="S28" s="56">
        <f t="shared" si="10"/>
        <v>1050</v>
      </c>
      <c r="T28" s="55">
        <f t="shared" si="11"/>
        <v>2.09533333333333</v>
      </c>
      <c r="U28" s="55">
        <f t="shared" si="16"/>
        <v>1.892</v>
      </c>
      <c r="V28" s="57">
        <f t="shared" si="12"/>
        <v>2.806</v>
      </c>
      <c r="W28" s="58">
        <f t="shared" si="17"/>
        <v>0.9</v>
      </c>
      <c r="X28" s="57">
        <f t="shared" si="13"/>
        <v>0.527631213551791</v>
      </c>
      <c r="Y28" s="56">
        <f t="shared" si="18"/>
        <v>0.8</v>
      </c>
      <c r="Z28" s="59">
        <v>0</v>
      </c>
      <c r="AA28" s="59">
        <v>0</v>
      </c>
      <c r="AB28" s="59">
        <f t="shared" si="14"/>
        <v>0.18</v>
      </c>
      <c r="AC28" s="60">
        <f t="shared" si="15"/>
        <v>22778.1903696676</v>
      </c>
    </row>
    <row r="29" s="1" customFormat="1" spans="2:31">
      <c r="B29" s="67" t="s">
        <v>84</v>
      </c>
      <c r="C29" s="67">
        <f>SUM(AC18:AC34)</f>
        <v>1537029.25528644</v>
      </c>
      <c r="D29" s="67">
        <f t="shared" si="19"/>
        <v>61481.1702114575</v>
      </c>
      <c r="E29" s="45"/>
      <c r="F29" s="6"/>
      <c r="G29" s="68"/>
      <c r="H29" s="6"/>
      <c r="I29" s="6"/>
      <c r="J29" s="6"/>
      <c r="K29" s="6"/>
      <c r="L29" s="6"/>
      <c r="M29" s="6"/>
      <c r="N29" s="6"/>
      <c r="P29" s="54" t="s">
        <v>71</v>
      </c>
      <c r="Q29" s="55">
        <f>70.14%+70.14%</f>
        <v>1.4028</v>
      </c>
      <c r="R29" s="56" t="s">
        <v>44</v>
      </c>
      <c r="S29" s="56">
        <f t="shared" si="10"/>
        <v>1050</v>
      </c>
      <c r="T29" s="55">
        <f t="shared" si="11"/>
        <v>2.09533333333333</v>
      </c>
      <c r="U29" s="55">
        <f t="shared" si="16"/>
        <v>1.892</v>
      </c>
      <c r="V29" s="57">
        <f t="shared" si="12"/>
        <v>2.806</v>
      </c>
      <c r="W29" s="58">
        <f t="shared" si="17"/>
        <v>0.9</v>
      </c>
      <c r="X29" s="57">
        <f t="shared" si="13"/>
        <v>0.527631213551791</v>
      </c>
      <c r="Y29" s="56">
        <f t="shared" si="18"/>
        <v>0.8</v>
      </c>
      <c r="Z29" s="59">
        <v>0</v>
      </c>
      <c r="AA29" s="59">
        <v>0</v>
      </c>
      <c r="AB29" s="59">
        <f t="shared" si="14"/>
        <v>0.18</v>
      </c>
      <c r="AC29" s="60">
        <f t="shared" si="15"/>
        <v>35013.4182013694</v>
      </c>
    </row>
    <row r="30" s="1" customFormat="1" spans="2:31">
      <c r="B30" s="67" t="s">
        <v>85</v>
      </c>
      <c r="C30" s="67">
        <f>101573</f>
        <v>101573</v>
      </c>
      <c r="D30" s="67">
        <f t="shared" si="19"/>
        <v>4062.92</v>
      </c>
      <c r="E30" s="45"/>
      <c r="F30" s="6"/>
      <c r="G30" s="45"/>
      <c r="H30" s="6"/>
      <c r="I30" s="6"/>
      <c r="J30" s="6"/>
      <c r="K30" s="6"/>
      <c r="L30" s="6"/>
      <c r="M30" s="6"/>
      <c r="N30" s="6"/>
      <c r="P30" s="54" t="s">
        <v>86</v>
      </c>
      <c r="Q30" s="55">
        <v>3.5411</v>
      </c>
      <c r="R30" s="56" t="s">
        <v>44</v>
      </c>
      <c r="S30" s="56">
        <f t="shared" si="10"/>
        <v>1050</v>
      </c>
      <c r="T30" s="55">
        <f t="shared" si="11"/>
        <v>2.09533333333333</v>
      </c>
      <c r="U30" s="55">
        <f t="shared" si="16"/>
        <v>1.892</v>
      </c>
      <c r="V30" s="57">
        <f t="shared" si="12"/>
        <v>2.806</v>
      </c>
      <c r="W30" s="58">
        <f t="shared" si="17"/>
        <v>0.9</v>
      </c>
      <c r="X30" s="57">
        <f t="shared" si="13"/>
        <v>0.527631213551791</v>
      </c>
      <c r="Y30" s="56">
        <f t="shared" si="18"/>
        <v>0.8</v>
      </c>
      <c r="Z30" s="59">
        <v>1.1</v>
      </c>
      <c r="AA30" s="59">
        <v>0</v>
      </c>
      <c r="AB30" s="59">
        <f t="shared" si="14"/>
        <v>0.18</v>
      </c>
      <c r="AC30" s="60">
        <f t="shared" si="15"/>
        <v>185607.807174954</v>
      </c>
    </row>
    <row r="31" s="1" customFormat="1" spans="2:31">
      <c r="B31" s="67" t="s">
        <v>87</v>
      </c>
      <c r="C31" s="67">
        <f>SUM(C27:C30)</f>
        <v>2098383.52952074</v>
      </c>
      <c r="D31" s="67">
        <f>C31/E27</f>
        <v>83935.3411808296</v>
      </c>
      <c r="E31" s="6"/>
      <c r="G31"/>
      <c r="H31"/>
      <c r="I31"/>
      <c r="J31" s="6"/>
      <c r="K31" s="6"/>
      <c r="L31" s="6"/>
      <c r="M31" s="6"/>
      <c r="N31" s="6"/>
      <c r="P31" s="54" t="s">
        <v>107</v>
      </c>
      <c r="Q31" s="55">
        <v>5.28</v>
      </c>
      <c r="R31" s="56" t="s">
        <v>44</v>
      </c>
      <c r="S31" s="56">
        <f t="shared" si="10"/>
        <v>1050</v>
      </c>
      <c r="T31" s="55">
        <f t="shared" si="11"/>
        <v>2.09533333333333</v>
      </c>
      <c r="U31" s="55">
        <f t="shared" si="16"/>
        <v>1.892</v>
      </c>
      <c r="V31" s="57">
        <f t="shared" si="12"/>
        <v>2.806</v>
      </c>
      <c r="W31" s="58">
        <f t="shared" si="17"/>
        <v>0.9</v>
      </c>
      <c r="X31" s="57">
        <f t="shared" si="13"/>
        <v>0.527631213551791</v>
      </c>
      <c r="Y31" s="56">
        <f t="shared" si="18"/>
        <v>0.8</v>
      </c>
      <c r="Z31" s="59">
        <v>0</v>
      </c>
      <c r="AA31" s="59">
        <v>0</v>
      </c>
      <c r="AB31" s="59">
        <f t="shared" si="14"/>
        <v>0.18</v>
      </c>
      <c r="AC31" s="60">
        <f t="shared" si="15"/>
        <v>131787.031724572</v>
      </c>
    </row>
    <row r="32" s="1" customFormat="1" spans="2:31">
      <c r="B32" s="67"/>
      <c r="C32" s="67"/>
      <c r="D32" s="67"/>
      <c r="E32" s="6"/>
      <c r="G32"/>
      <c r="H32"/>
      <c r="I32"/>
      <c r="J32" s="6"/>
      <c r="K32" s="6"/>
      <c r="L32" s="6"/>
      <c r="M32" s="6"/>
      <c r="N32" s="6"/>
      <c r="P32" s="61" t="s">
        <v>90</v>
      </c>
      <c r="Q32" s="55">
        <f>460.34%</f>
        <v>4.6034</v>
      </c>
      <c r="R32" s="56" t="s">
        <v>44</v>
      </c>
      <c r="S32" s="56">
        <f t="shared" si="10"/>
        <v>1050</v>
      </c>
      <c r="T32" s="55">
        <f t="shared" si="11"/>
        <v>2.09533333333333</v>
      </c>
      <c r="U32" s="55">
        <f t="shared" si="16"/>
        <v>1.892</v>
      </c>
      <c r="V32" s="57">
        <f t="shared" si="12"/>
        <v>2.806</v>
      </c>
      <c r="W32" s="58">
        <f t="shared" si="17"/>
        <v>0.9</v>
      </c>
      <c r="X32" s="57">
        <f t="shared" si="13"/>
        <v>0.527631213551791</v>
      </c>
      <c r="Y32" s="56">
        <f t="shared" si="18"/>
        <v>0.8</v>
      </c>
      <c r="Z32" s="59">
        <v>0</v>
      </c>
      <c r="AA32" s="59">
        <v>0</v>
      </c>
      <c r="AB32" s="59">
        <f t="shared" si="14"/>
        <v>0.18</v>
      </c>
      <c r="AC32" s="60">
        <f t="shared" si="15"/>
        <v>114899.322318352</v>
      </c>
    </row>
    <row r="33" s="1" customFormat="1" spans="2:29">
      <c r="B33" s="67"/>
      <c r="C33" s="67"/>
      <c r="D33" s="67"/>
      <c r="E33" s="6"/>
      <c r="G33" s="67"/>
      <c r="H33" s="6"/>
      <c r="I33" s="45"/>
      <c r="J33" s="6"/>
      <c r="K33" s="6"/>
      <c r="L33" s="6"/>
      <c r="M33" s="6"/>
      <c r="N33" s="6"/>
      <c r="P33" s="69" t="s">
        <v>92</v>
      </c>
      <c r="Q33" s="55">
        <f>745.54%+49.71%*5</f>
        <v>9.9409</v>
      </c>
      <c r="R33" s="56" t="s">
        <v>44</v>
      </c>
      <c r="S33" s="56">
        <f t="shared" si="10"/>
        <v>1050</v>
      </c>
      <c r="T33" s="55">
        <f t="shared" si="11"/>
        <v>2.09533333333333</v>
      </c>
      <c r="U33" s="55">
        <f>SUM($E$17:$E$22)+40%</f>
        <v>2.292</v>
      </c>
      <c r="V33" s="57">
        <f t="shared" si="12"/>
        <v>2.806</v>
      </c>
      <c r="W33" s="58">
        <f t="shared" si="17"/>
        <v>0.9</v>
      </c>
      <c r="X33" s="57">
        <f t="shared" si="13"/>
        <v>0.527631213551791</v>
      </c>
      <c r="Y33" s="56">
        <f t="shared" si="18"/>
        <v>0.8</v>
      </c>
      <c r="Z33" s="59">
        <v>0.6</v>
      </c>
      <c r="AA33" s="59">
        <v>0</v>
      </c>
      <c r="AB33" s="59">
        <f t="shared" si="14"/>
        <v>0.18</v>
      </c>
      <c r="AC33" s="60">
        <f t="shared" si="15"/>
        <v>451903.785624322</v>
      </c>
    </row>
    <row r="34" s="1" customFormat="1" ht="17.5" spans="2:29">
      <c r="B34" s="6"/>
      <c r="C34" s="70" t="s">
        <v>114</v>
      </c>
      <c r="D34" s="70"/>
      <c r="E34" s="6"/>
      <c r="F34" s="70" t="s">
        <v>115</v>
      </c>
      <c r="G34" s="70" t="s">
        <v>97</v>
      </c>
      <c r="H34" s="68"/>
      <c r="I34" s="45"/>
      <c r="J34" s="70" t="s">
        <v>96</v>
      </c>
      <c r="K34" s="70" t="s">
        <v>97</v>
      </c>
      <c r="L34" s="6"/>
      <c r="M34" s="70" t="s">
        <v>121</v>
      </c>
      <c r="N34" s="70" t="s">
        <v>97</v>
      </c>
      <c r="P34" s="54" t="s">
        <v>94</v>
      </c>
      <c r="Q34" s="55">
        <v>5</v>
      </c>
      <c r="R34" s="56" t="s">
        <v>60</v>
      </c>
      <c r="S34" s="56">
        <f t="shared" si="10"/>
        <v>1050</v>
      </c>
      <c r="T34" s="55">
        <f t="shared" si="11"/>
        <v>2.09533333333333</v>
      </c>
      <c r="U34" s="55">
        <f>SUM($E$17:$E$21)</f>
        <v>1.6</v>
      </c>
      <c r="V34" s="57">
        <f t="shared" si="12"/>
        <v>2.806</v>
      </c>
      <c r="W34" s="58">
        <f>$K$17</f>
        <v>0.7</v>
      </c>
      <c r="X34" s="57">
        <f t="shared" si="13"/>
        <v>0.527631213551791</v>
      </c>
      <c r="Y34" s="56">
        <v>0.8</v>
      </c>
      <c r="Z34" s="59">
        <v>0</v>
      </c>
      <c r="AA34" s="59">
        <v>0</v>
      </c>
      <c r="AB34" s="59">
        <f t="shared" si="14"/>
        <v>0.18</v>
      </c>
      <c r="AC34" s="60">
        <f t="shared" si="15"/>
        <v>100387.384198816</v>
      </c>
    </row>
    <row r="35" s="1" customFormat="1" ht="17.5" spans="2:29">
      <c r="B35" s="6"/>
      <c r="C35" s="71" t="s">
        <v>98</v>
      </c>
      <c r="D35" s="72">
        <v>54897</v>
      </c>
      <c r="E35" s="6"/>
      <c r="F35" s="71" t="s">
        <v>98</v>
      </c>
      <c r="G35" s="72">
        <f>58944-870</f>
        <v>58074</v>
      </c>
      <c r="H35" s="68"/>
      <c r="I35" s="73"/>
      <c r="J35" s="71" t="s">
        <v>98</v>
      </c>
      <c r="K35" s="72">
        <v>78134</v>
      </c>
      <c r="M35" s="71" t="s">
        <v>98</v>
      </c>
      <c r="N35" s="72">
        <v>71595</v>
      </c>
      <c r="P35" s="54"/>
      <c r="Q35" s="55"/>
      <c r="R35" s="56"/>
      <c r="S35" s="56"/>
      <c r="T35" s="56"/>
      <c r="U35" s="55"/>
      <c r="V35" s="57"/>
      <c r="W35" s="59"/>
      <c r="X35" s="56"/>
      <c r="Y35" s="56"/>
      <c r="Z35" s="59"/>
      <c r="AA35" s="59"/>
      <c r="AB35" s="74"/>
      <c r="AC35" s="60"/>
    </row>
    <row r="36" s="1" customFormat="1" ht="17.5" spans="2:29">
      <c r="B36" s="67"/>
      <c r="C36" s="71" t="s">
        <v>99</v>
      </c>
      <c r="D36" s="72">
        <v>57435</v>
      </c>
      <c r="E36" s="6"/>
      <c r="F36" s="71" t="s">
        <v>99</v>
      </c>
      <c r="G36" s="72">
        <f>61711-870</f>
        <v>60841</v>
      </c>
      <c r="H36" s="2"/>
      <c r="J36" s="71" t="s">
        <v>99</v>
      </c>
      <c r="K36" s="72">
        <v>82327</v>
      </c>
      <c r="M36" s="71" t="s">
        <v>99</v>
      </c>
      <c r="N36" s="72">
        <v>75304</v>
      </c>
      <c r="P36" s="75"/>
      <c r="Q36" s="75"/>
      <c r="R36" s="75"/>
      <c r="U36" s="2"/>
      <c r="V36" s="3"/>
      <c r="AB36" s="4"/>
      <c r="AC36" s="4"/>
    </row>
    <row r="37" s="1" customFormat="1" ht="17.5" spans="2:29">
      <c r="B37" s="67"/>
      <c r="C37" s="71" t="s">
        <v>99</v>
      </c>
      <c r="D37" s="72">
        <v>57435</v>
      </c>
      <c r="E37" s="6"/>
      <c r="F37" s="71" t="s">
        <v>77</v>
      </c>
      <c r="G37" s="72">
        <f>69190-870</f>
        <v>68320</v>
      </c>
      <c r="J37" s="71" t="s">
        <v>77</v>
      </c>
      <c r="K37" s="72">
        <v>91774</v>
      </c>
      <c r="M37" s="71" t="s">
        <v>77</v>
      </c>
      <c r="N37" s="72">
        <v>83935</v>
      </c>
      <c r="U37" s="2"/>
      <c r="V37" s="3"/>
      <c r="AB37" s="4"/>
      <c r="AC37" s="4"/>
    </row>
    <row r="38" s="1" customFormat="1" ht="17.5" spans="2:29">
      <c r="B38" s="6"/>
      <c r="C38" s="71" t="s">
        <v>99</v>
      </c>
      <c r="D38" s="72">
        <v>57435</v>
      </c>
      <c r="E38" s="6"/>
      <c r="F38" s="71" t="s">
        <v>77</v>
      </c>
      <c r="G38" s="72">
        <f>69190-870</f>
        <v>68320</v>
      </c>
      <c r="J38" s="71" t="s">
        <v>100</v>
      </c>
      <c r="K38" s="72">
        <v>96234</v>
      </c>
      <c r="M38" s="71" t="s">
        <v>77</v>
      </c>
      <c r="N38" s="72">
        <v>83935</v>
      </c>
      <c r="Q38" s="2"/>
      <c r="U38" s="2"/>
      <c r="V38" s="3"/>
      <c r="AB38" s="4"/>
      <c r="AC38" s="4"/>
    </row>
    <row r="39" s="1" customFormat="1" ht="17.5" spans="2:29">
      <c r="B39" s="67"/>
      <c r="C39" s="71" t="s">
        <v>116</v>
      </c>
      <c r="D39" s="76">
        <f>(D35+D36+D37+D37)/4</f>
        <v>56800.5</v>
      </c>
      <c r="E39" s="6"/>
      <c r="F39" s="71" t="s">
        <v>116</v>
      </c>
      <c r="G39" s="76">
        <f>(G35+G36+G37+G37)/4</f>
        <v>63888.75</v>
      </c>
      <c r="J39" s="71" t="s">
        <v>101</v>
      </c>
      <c r="K39" s="76">
        <f>(K35+K36+K37+K38)/4</f>
        <v>87117.25</v>
      </c>
      <c r="M39" s="71" t="s">
        <v>116</v>
      </c>
      <c r="N39" s="76">
        <f>(N35+N36+N37+N37)/4</f>
        <v>78692.25</v>
      </c>
      <c r="O39"/>
      <c r="Q39" s="2"/>
      <c r="U39" s="2"/>
      <c r="V39" s="78"/>
      <c r="AB39" s="4"/>
      <c r="AC39" s="4"/>
    </row>
    <row r="40" s="1" customFormat="1" ht="20" customHeight="1" spans="2:29">
      <c r="B40" s="67"/>
      <c r="C40" s="67"/>
      <c r="D40" s="72"/>
      <c r="E40" s="6"/>
      <c r="F40" s="6"/>
      <c r="G40" s="72"/>
      <c r="M40"/>
      <c r="N40"/>
      <c r="O40"/>
      <c r="Q40" s="78"/>
      <c r="U40" s="2"/>
      <c r="V40" s="78"/>
      <c r="AB40" s="4"/>
      <c r="AC40" s="4"/>
    </row>
    <row r="41" s="1" customFormat="1" ht="20" customHeight="1" spans="2:29">
      <c r="B41" s="6"/>
      <c r="C41" s="6"/>
      <c r="D41" s="6"/>
      <c r="E41" s="6"/>
      <c r="F41" s="67"/>
      <c r="G41" s="2"/>
      <c r="M41"/>
      <c r="N41"/>
      <c r="O41"/>
      <c r="Q41" s="78"/>
      <c r="V41" s="78"/>
      <c r="AB41" s="4"/>
      <c r="AC41" s="4"/>
    </row>
    <row r="42" s="1" customFormat="1" ht="20" customHeight="1" spans="2:29">
      <c r="B42" s="67"/>
      <c r="C42" s="67"/>
      <c r="D42" s="67"/>
      <c r="E42" s="6"/>
      <c r="G42" s="2"/>
      <c r="M42"/>
      <c r="N42">
        <f>4.81/7.3</f>
        <v>0.658904109589041</v>
      </c>
      <c r="O42"/>
      <c r="Q42" s="78"/>
      <c r="U42" s="2"/>
      <c r="V42" s="2"/>
      <c r="AB42" s="4"/>
      <c r="AC42" s="4"/>
    </row>
    <row r="43" s="1" customFormat="1" ht="20" customHeight="1" spans="2:29">
      <c r="B43" s="67"/>
      <c r="C43" s="67"/>
      <c r="D43" s="67"/>
      <c r="E43" s="6"/>
      <c r="F43" s="70" t="s">
        <v>122</v>
      </c>
      <c r="G43" s="84" t="s">
        <v>116</v>
      </c>
      <c r="H43" s="70" t="s">
        <v>123</v>
      </c>
      <c r="M43"/>
      <c r="N43"/>
      <c r="O43"/>
      <c r="Q43" s="81"/>
      <c r="U43" s="2"/>
      <c r="V43" s="3"/>
      <c r="AB43" s="4"/>
      <c r="AC43" s="4"/>
    </row>
    <row r="44" s="1" customFormat="1" ht="17.5" spans="2:29">
      <c r="B44" s="6"/>
      <c r="C44" s="6"/>
      <c r="D44" s="6"/>
      <c r="E44" s="6"/>
      <c r="F44" s="71" t="s">
        <v>117</v>
      </c>
      <c r="G44" s="85">
        <v>87117</v>
      </c>
      <c r="H44" s="86">
        <v>1</v>
      </c>
      <c r="N44" s="6"/>
      <c r="Q44" s="2"/>
      <c r="U44" s="2"/>
      <c r="V44" s="3"/>
      <c r="AB44" s="4"/>
      <c r="AC44" s="4"/>
    </row>
    <row r="45" s="1" customFormat="1" ht="17.5" spans="2:29">
      <c r="B45" s="67"/>
      <c r="C45" s="67"/>
      <c r="D45" s="67"/>
      <c r="E45" s="6"/>
      <c r="F45" s="71" t="s">
        <v>118</v>
      </c>
      <c r="G45" s="85">
        <v>62412</v>
      </c>
      <c r="H45" s="87">
        <f>G45/G$44</f>
        <v>0.716415854540446</v>
      </c>
      <c r="N45" s="6"/>
      <c r="Q45" s="2"/>
      <c r="U45" s="2"/>
      <c r="V45" s="3"/>
      <c r="AB45" s="4"/>
      <c r="AC45" s="4"/>
    </row>
    <row r="46" s="1" customFormat="1" ht="17.5" spans="2:29">
      <c r="E46" s="6"/>
      <c r="F46" s="71" t="s">
        <v>119</v>
      </c>
      <c r="G46" s="85">
        <v>56801</v>
      </c>
      <c r="H46" s="87">
        <f>G46/G$44</f>
        <v>0.652008218832145</v>
      </c>
      <c r="N46" s="6"/>
      <c r="Q46" s="2"/>
      <c r="U46" s="2"/>
      <c r="V46" s="3"/>
      <c r="AB46" s="4"/>
      <c r="AC46" s="4"/>
    </row>
    <row r="47" s="1" customFormat="1" ht="17.5" spans="2:29">
      <c r="E47" s="6"/>
      <c r="F47" s="71" t="s">
        <v>120</v>
      </c>
      <c r="G47" s="85">
        <v>78692</v>
      </c>
      <c r="H47" s="87">
        <f>G47/G$44</f>
        <v>0.903290976502864</v>
      </c>
      <c r="N47" s="6"/>
      <c r="Q47" s="2"/>
      <c r="U47" s="2"/>
      <c r="V47" s="3"/>
      <c r="AB47" s="4"/>
      <c r="AC47" s="4"/>
    </row>
    <row r="48" s="1" customFormat="1" ht="17.5" spans="2:29">
      <c r="F48" s="71" t="s">
        <v>124</v>
      </c>
      <c r="G48" s="85">
        <v>49405</v>
      </c>
      <c r="H48" s="87">
        <f>G48/G$44</f>
        <v>0.567110896839882</v>
      </c>
      <c r="N48" s="6"/>
      <c r="Q48" s="2"/>
      <c r="U48" s="2"/>
      <c r="V48" s="3"/>
      <c r="AB48" s="4"/>
      <c r="AC48" s="4"/>
    </row>
    <row r="49" s="1" customFormat="1" ht="17.5" spans="6:29">
      <c r="F49" s="71" t="s">
        <v>125</v>
      </c>
      <c r="G49" s="85">
        <v>43022</v>
      </c>
      <c r="H49" s="87">
        <f>G49/G$44</f>
        <v>0.493841615298966</v>
      </c>
      <c r="N49" s="6"/>
      <c r="Q49" s="2"/>
      <c r="U49" s="2"/>
      <c r="V49" s="3"/>
      <c r="AB49" s="4"/>
      <c r="AC49" s="4"/>
    </row>
    <row r="50" s="1" customFormat="1" spans="6:29">
      <c r="G50" s="2"/>
      <c r="N50" s="6"/>
      <c r="Q50" s="2"/>
      <c r="U50" s="2"/>
      <c r="V50" s="3"/>
      <c r="AB50" s="4"/>
      <c r="AC50" s="4"/>
    </row>
    <row r="51" s="1" customFormat="1" spans="6:29">
      <c r="G51" s="2"/>
      <c r="N51" s="6"/>
      <c r="Q51" s="2"/>
      <c r="U51" s="2"/>
      <c r="V51" s="3"/>
      <c r="AB51" s="4"/>
      <c r="AC51" s="4"/>
    </row>
    <row r="52" s="1" customFormat="1" spans="6:29">
      <c r="G52" s="2"/>
      <c r="N52" s="6"/>
      <c r="Q52" s="2"/>
      <c r="U52" s="2"/>
      <c r="V52" s="3"/>
      <c r="AB52" s="4"/>
      <c r="AC52" s="4"/>
    </row>
    <row r="53" s="1" customFormat="1" spans="6:29">
      <c r="G53" s="2"/>
      <c r="N53" s="6"/>
      <c r="Q53" s="2"/>
      <c r="U53" s="2"/>
      <c r="V53" s="3"/>
      <c r="AB53" s="4"/>
      <c r="AC53" s="4"/>
    </row>
    <row r="54" s="1" customFormat="1" spans="6:29">
      <c r="G54" s="2"/>
      <c r="N54" s="6"/>
      <c r="Q54" s="2"/>
      <c r="U54" s="2"/>
      <c r="V54" s="3"/>
      <c r="AB54" s="4"/>
      <c r="AC54" s="4"/>
    </row>
    <row r="55" s="1" customFormat="1" spans="6:29">
      <c r="G55" s="2"/>
      <c r="N55" s="6"/>
      <c r="Q55" s="2"/>
      <c r="U55" s="2"/>
      <c r="V55" s="3"/>
      <c r="AB55" s="4"/>
      <c r="AC55" s="4"/>
    </row>
    <row r="56" s="1" customFormat="1" spans="6:29">
      <c r="G56" s="2"/>
      <c r="N56" s="6"/>
      <c r="Q56" s="2"/>
      <c r="U56" s="2"/>
      <c r="V56" s="3"/>
      <c r="AB56" s="4"/>
      <c r="AC56" s="4"/>
    </row>
    <row r="57" s="1" customFormat="1" spans="6:29">
      <c r="G57" s="2"/>
      <c r="N57" s="6"/>
      <c r="Q57" s="2"/>
      <c r="U57" s="2"/>
      <c r="V57" s="3"/>
      <c r="AB57" s="4"/>
      <c r="AC57" s="4"/>
    </row>
    <row r="58" s="1" customFormat="1" spans="6:29">
      <c r="G58" s="2"/>
      <c r="N58" s="6"/>
      <c r="Q58" s="2"/>
      <c r="U58" s="2"/>
      <c r="V58" s="3"/>
      <c r="AB58" s="4"/>
      <c r="AC58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31" workbookViewId="0">
      <selection activeCell="G47" sqref="G47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12.1818181818182" style="1" customWidth="1"/>
    <col min="4" max="4" width="9.36363636363636" style="1" customWidth="1"/>
    <col min="5" max="5" width="5.46363636363636" style="1" customWidth="1"/>
    <col min="6" max="6" width="12.1818181818182" style="1" customWidth="1"/>
    <col min="7" max="7" width="8.09090909090909" style="2" customWidth="1"/>
    <col min="8" max="8" width="7.54545454545455" style="1" customWidth="1"/>
    <col min="9" max="9" width="8.92727272727273" style="1" customWidth="1"/>
    <col min="10" max="10" width="12.1818181818182" style="1" customWidth="1"/>
    <col min="11" max="11" width="9.36363636363636" style="1" customWidth="1"/>
    <col min="12" max="12" width="10.3090909090909" style="1" customWidth="1"/>
    <col min="13" max="13" width="12.1818181818182" style="1" customWidth="1"/>
    <col min="14" max="15" width="9.36363636363636" style="1" customWidth="1"/>
    <col min="16" max="16" width="16.2727272727273" style="1" customWidth="1"/>
    <col min="17" max="17" width="9.54545454545454" style="2" customWidth="1"/>
    <col min="18" max="18" width="5.54545454545455" style="1" customWidth="1"/>
    <col min="19" max="19" width="6.54545454545455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3" width="7.54545454545455" style="1" customWidth="1"/>
    <col min="24" max="24" width="8.54545454545454" style="1" customWidth="1"/>
    <col min="25" max="25" width="7.54545454545455" style="1" customWidth="1"/>
    <col min="26" max="26" width="9.54545454545454" style="1" customWidth="1"/>
    <col min="27" max="27" width="7.54545454545455" style="1" customWidth="1"/>
    <col min="28" max="28" width="9.54545454545454" style="4" customWidth="1"/>
    <col min="29" max="29" width="8.54545454545454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1.68</v>
      </c>
      <c r="V3" s="20">
        <f t="shared" ref="V3:V11" si="2">1+$G$9*($I$9-1)</f>
        <v>2.3615</v>
      </c>
      <c r="W3" s="21">
        <f t="shared" ref="W3:W11" si="3">$K$4</f>
        <v>0.25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f t="shared" ref="AB3:AB11" si="5">AE$26</f>
        <v>0.06</v>
      </c>
      <c r="AC3" s="23">
        <f t="shared" ref="AC3:AC11" si="6">Q3*S3*(1+T3)*(1+U3)*V3*(1+W3)*X3*Y3*(1+Z3)*(1+AA3)*(1+AB3)</f>
        <v>17367.4264338408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f>25%</f>
        <v>0.25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7">SUM($E$4:$E$8)</f>
        <v>1.68</v>
      </c>
      <c r="V4" s="20">
        <f t="shared" si="2"/>
        <v>2.3615</v>
      </c>
      <c r="W4" s="21">
        <f t="shared" si="3"/>
        <v>0.25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f t="shared" si="5"/>
        <v>0.06</v>
      </c>
      <c r="AC4" s="23">
        <f t="shared" si="6"/>
        <v>67584.6292007293</v>
      </c>
      <c r="AD4" s="13">
        <v>0</v>
      </c>
      <c r="AE4" s="13">
        <v>0</v>
      </c>
      <c r="AF4" s="14">
        <f t="shared" ref="AF4:AF8" si="8">1520/(1520+(792+8*AG4)*(1-AE4/100)*(1-AD4/100))</f>
        <v>0.50131926121372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7"/>
        <v>1.68</v>
      </c>
      <c r="V5" s="20">
        <f t="shared" si="2"/>
        <v>2.3615</v>
      </c>
      <c r="W5" s="21">
        <f t="shared" si="3"/>
        <v>0.25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f t="shared" si="5"/>
        <v>0.06</v>
      </c>
      <c r="AC5" s="23">
        <f t="shared" si="6"/>
        <v>21526.1833952894</v>
      </c>
      <c r="AD5" s="13">
        <v>58</v>
      </c>
      <c r="AE5" s="13">
        <v>0</v>
      </c>
      <c r="AF5" s="14">
        <f t="shared" si="8"/>
        <v>0.705323335065706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</f>
        <v>0.2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9">SUM($E$4:$E$9)</f>
        <v>2.212</v>
      </c>
      <c r="V6" s="20">
        <f t="shared" si="2"/>
        <v>2.3615</v>
      </c>
      <c r="W6" s="21">
        <f t="shared" si="3"/>
        <v>0.25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f t="shared" si="5"/>
        <v>0.06</v>
      </c>
      <c r="AC6" s="23">
        <f t="shared" si="6"/>
        <v>51441.1741511953</v>
      </c>
      <c r="AD6" s="13">
        <v>0</v>
      </c>
      <c r="AE6" s="13">
        <v>0</v>
      </c>
      <c r="AF6" s="14">
        <f t="shared" si="8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f>24%+40%</f>
        <v>0.64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9"/>
        <v>2.212</v>
      </c>
      <c r="V7" s="20">
        <f t="shared" si="2"/>
        <v>2.3615</v>
      </c>
      <c r="W7" s="21">
        <f t="shared" si="3"/>
        <v>0.25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f t="shared" si="5"/>
        <v>0.06</v>
      </c>
      <c r="AC7" s="23">
        <f t="shared" si="6"/>
        <v>28481.7214502622</v>
      </c>
      <c r="AD7" s="13">
        <v>0</v>
      </c>
      <c r="AE7" s="13">
        <v>0</v>
      </c>
      <c r="AF7" s="14">
        <f t="shared" si="8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53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9"/>
        <v>2.212</v>
      </c>
      <c r="V8" s="20">
        <f t="shared" si="2"/>
        <v>2.3615</v>
      </c>
      <c r="W8" s="21">
        <f t="shared" si="3"/>
        <v>0.25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f t="shared" si="5"/>
        <v>0.06</v>
      </c>
      <c r="AC8" s="23">
        <f t="shared" si="6"/>
        <v>112660.208462169</v>
      </c>
      <c r="AD8" s="13">
        <v>0</v>
      </c>
      <c r="AE8" s="13">
        <v>36</v>
      </c>
      <c r="AF8" s="14">
        <f t="shared" si="8"/>
        <v>0.611011062516079</v>
      </c>
      <c r="AG8" s="24">
        <v>90</v>
      </c>
    </row>
    <row r="9" s="1" customFormat="1" spans="2:33">
      <c r="B9" s="25" t="s">
        <v>54</v>
      </c>
      <c r="C9" s="26">
        <v>350</v>
      </c>
      <c r="D9" s="25" t="s">
        <v>55</v>
      </c>
      <c r="E9" s="33">
        <f>36%+M5</f>
        <v>0.532</v>
      </c>
      <c r="F9" s="34" t="s">
        <v>56</v>
      </c>
      <c r="G9" s="35">
        <f>MIN(100%,SUM(G4:G8))</f>
        <v>0.778</v>
      </c>
      <c r="H9" s="34" t="s">
        <v>57</v>
      </c>
      <c r="I9" s="36">
        <f>SUM(I4:I8)</f>
        <v>2.75</v>
      </c>
      <c r="J9" s="30"/>
      <c r="K9" s="28"/>
      <c r="L9" s="25"/>
      <c r="M9" s="26"/>
      <c r="N9" s="6"/>
      <c r="P9" s="37" t="s">
        <v>58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7"/>
        <v>1.68</v>
      </c>
      <c r="V9" s="20">
        <f t="shared" si="2"/>
        <v>2.3615</v>
      </c>
      <c r="W9" s="21">
        <f t="shared" si="3"/>
        <v>0.25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f t="shared" si="5"/>
        <v>0.06</v>
      </c>
      <c r="AC9" s="23">
        <f t="shared" si="6"/>
        <v>17971.578011744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59</v>
      </c>
      <c r="Q10" s="18">
        <v>1</v>
      </c>
      <c r="R10" s="19" t="s">
        <v>60</v>
      </c>
      <c r="S10" s="19">
        <f t="shared" si="0"/>
        <v>963</v>
      </c>
      <c r="T10" s="18">
        <f t="shared" si="1"/>
        <v>1.38544755970924</v>
      </c>
      <c r="U10" s="18">
        <f t="shared" si="7"/>
        <v>1.68</v>
      </c>
      <c r="V10" s="20">
        <f t="shared" si="2"/>
        <v>2.3615</v>
      </c>
      <c r="W10" s="21">
        <f t="shared" si="3"/>
        <v>0.25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f t="shared" si="5"/>
        <v>0.06</v>
      </c>
      <c r="AC10" s="23">
        <f t="shared" si="6"/>
        <v>7725.72350259822</v>
      </c>
    </row>
    <row r="11" s="1" customFormat="1" spans="2:33">
      <c r="B11" s="40" t="s">
        <v>61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62</v>
      </c>
      <c r="Q11" s="18">
        <f>27.36%*10</f>
        <v>2.736</v>
      </c>
      <c r="R11" s="19" t="s">
        <v>63</v>
      </c>
      <c r="S11" s="19">
        <f t="shared" si="0"/>
        <v>963</v>
      </c>
      <c r="T11" s="18">
        <f t="shared" si="1"/>
        <v>1.38544755970924</v>
      </c>
      <c r="U11" s="18">
        <f t="shared" si="7"/>
        <v>1.68</v>
      </c>
      <c r="V11" s="20">
        <f t="shared" si="2"/>
        <v>2.3615</v>
      </c>
      <c r="W11" s="21">
        <f t="shared" si="3"/>
        <v>0.25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f t="shared" si="5"/>
        <v>0.06</v>
      </c>
      <c r="AC11" s="23">
        <f t="shared" si="6"/>
        <v>21137.5795031087</v>
      </c>
    </row>
    <row r="12" s="1" customFormat="1" spans="2:33">
      <c r="B12" s="6"/>
      <c r="C12" s="6"/>
      <c r="D12" s="6"/>
      <c r="E12" s="6"/>
      <c r="F12" s="6" t="s">
        <v>64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/>
      <c r="Q14" s="18"/>
      <c r="R14" s="19"/>
      <c r="S14" s="19"/>
      <c r="T14" s="18"/>
      <c r="U14" s="18"/>
      <c r="V14" s="20"/>
      <c r="W14" s="21"/>
      <c r="X14" s="20"/>
      <c r="Y14" s="19"/>
      <c r="Z14" s="22"/>
      <c r="AA14" s="22"/>
      <c r="AB14" s="22"/>
      <c r="AC14" s="23"/>
    </row>
    <row r="15" s="1" customFormat="1" ht="15" spans="2:33">
      <c r="B15" s="46" t="s">
        <v>65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/>
      <c r="Q15" s="18"/>
      <c r="R15" s="19"/>
      <c r="S15" s="19"/>
      <c r="T15" s="18"/>
      <c r="U15" s="18"/>
      <c r="V15" s="20"/>
      <c r="W15" s="21"/>
      <c r="X15" s="20"/>
      <c r="Y15" s="19"/>
      <c r="Z15" s="22"/>
      <c r="AA15" s="22"/>
      <c r="AB15" s="22"/>
      <c r="AC15" s="23"/>
    </row>
    <row r="16" s="1" customFormat="1" spans="2:33">
      <c r="B16" s="49" t="s">
        <v>18</v>
      </c>
      <c r="C16" s="50"/>
      <c r="D16" s="49" t="s">
        <v>6</v>
      </c>
      <c r="E16" s="50"/>
      <c r="F16" s="49" t="s">
        <v>19</v>
      </c>
      <c r="G16" s="50"/>
      <c r="H16" s="49" t="s">
        <v>20</v>
      </c>
      <c r="I16" s="50"/>
      <c r="J16" s="51" t="s">
        <v>8</v>
      </c>
      <c r="K16" s="51"/>
      <c r="L16" s="49" t="s">
        <v>21</v>
      </c>
      <c r="M16" s="50"/>
      <c r="N16" s="6"/>
      <c r="P16" s="17"/>
      <c r="Q16" s="18"/>
      <c r="R16" s="19"/>
      <c r="S16" s="19"/>
      <c r="T16" s="18"/>
      <c r="U16" s="18"/>
      <c r="V16" s="20"/>
      <c r="W16" s="21"/>
      <c r="X16" s="20"/>
      <c r="Y16" s="19"/>
      <c r="Z16" s="22"/>
      <c r="AA16" s="22"/>
      <c r="AB16" s="22"/>
      <c r="AC16" s="23"/>
    </row>
    <row r="17" s="1" customFormat="1" spans="2:31">
      <c r="B17" s="25" t="s">
        <v>4</v>
      </c>
      <c r="C17" s="26">
        <f>463+587</f>
        <v>1050</v>
      </c>
      <c r="D17" s="25" t="s">
        <v>24</v>
      </c>
      <c r="E17" s="32">
        <v>0.6</v>
      </c>
      <c r="F17" s="25" t="s">
        <v>25</v>
      </c>
      <c r="G17" s="28">
        <v>0.13</v>
      </c>
      <c r="H17" s="25" t="s">
        <v>25</v>
      </c>
      <c r="I17" s="27">
        <v>1.5</v>
      </c>
      <c r="J17" s="52" t="s">
        <v>26</v>
      </c>
      <c r="K17" s="53">
        <f>15%+5%</f>
        <v>0.2</v>
      </c>
      <c r="L17" s="25" t="s">
        <v>27</v>
      </c>
      <c r="M17" s="28">
        <f>8.6%*2</f>
        <v>0.172</v>
      </c>
      <c r="N17" s="6"/>
      <c r="P17" s="17"/>
      <c r="Q17" s="18"/>
      <c r="R17" s="19"/>
      <c r="S17" s="19"/>
      <c r="T17" s="18"/>
      <c r="U17" s="18"/>
      <c r="V17" s="20"/>
      <c r="W17" s="21"/>
      <c r="X17" s="20"/>
      <c r="Y17" s="19"/>
      <c r="Z17" s="22"/>
      <c r="AA17" s="22"/>
      <c r="AB17" s="22"/>
      <c r="AC17" s="23"/>
    </row>
    <row r="18" s="1" customFormat="1" spans="2:31">
      <c r="B18" s="25" t="s">
        <v>30</v>
      </c>
      <c r="C18" s="27">
        <v>0.24</v>
      </c>
      <c r="D18" s="25" t="s">
        <v>66</v>
      </c>
      <c r="E18" s="27">
        <v>0.12</v>
      </c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67</v>
      </c>
      <c r="K18" s="28">
        <f>38%</f>
        <v>0.38</v>
      </c>
      <c r="L18" s="25" t="s">
        <v>68</v>
      </c>
      <c r="M18" s="28">
        <f>8.6%*2</f>
        <v>0.172</v>
      </c>
      <c r="N18" s="6"/>
      <c r="P18" s="54" t="s">
        <v>63</v>
      </c>
      <c r="Q18" s="55">
        <v>1.6102</v>
      </c>
      <c r="R18" s="56" t="s">
        <v>63</v>
      </c>
      <c r="S18" s="56">
        <f t="shared" ref="S18:S34" si="10">$C$17</f>
        <v>1050</v>
      </c>
      <c r="T18" s="55">
        <f t="shared" ref="T18:T34" si="11">($C$18+$C$19+$C$20+$C$21)+($C$22+$C$23)/S18</f>
        <v>1.98033333333333</v>
      </c>
      <c r="U18" s="55">
        <f>SUM($E$17:$E$21)+60%</f>
        <v>1.84</v>
      </c>
      <c r="V18" s="57">
        <f t="shared" ref="V18:V34" si="12">1+$G$22*($I$22-1)</f>
        <v>2.3615</v>
      </c>
      <c r="W18" s="58">
        <f>$K$17</f>
        <v>0.2</v>
      </c>
      <c r="X18" s="57">
        <f t="shared" ref="X18:X34" si="13">$AF$4</f>
        <v>0.50131926121372</v>
      </c>
      <c r="Y18" s="56">
        <v>0.8</v>
      </c>
      <c r="Z18" s="59">
        <v>0</v>
      </c>
      <c r="AA18" s="59">
        <v>0</v>
      </c>
      <c r="AB18" s="59">
        <f t="shared" ref="AB18:AB34" si="14">AE$26</f>
        <v>0.06</v>
      </c>
      <c r="AC18" s="60">
        <f t="shared" ref="AC18:AC34" si="15">Q18*S18*(1+T18)*(1+U18)*V18*(1+W18)*X18*Y18*(1+Z18)*(1+AA18)*(1+AB18)</f>
        <v>17239.7808484374</v>
      </c>
    </row>
    <row r="19" s="1" customFormat="1" spans="2:31">
      <c r="B19" s="25" t="s">
        <v>38</v>
      </c>
      <c r="C19" s="27">
        <f>18%+18%+M17</f>
        <v>0.532</v>
      </c>
      <c r="D19" s="25" t="s">
        <v>39</v>
      </c>
      <c r="E19" s="27">
        <v>0.4</v>
      </c>
      <c r="F19" s="25"/>
      <c r="G19" s="28"/>
      <c r="H19" s="25" t="s">
        <v>69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54" t="s">
        <v>22</v>
      </c>
      <c r="Q19" s="55">
        <f>72.67%*3</f>
        <v>2.1801</v>
      </c>
      <c r="R19" s="56" t="s">
        <v>23</v>
      </c>
      <c r="S19" s="56">
        <f t="shared" si="10"/>
        <v>1050</v>
      </c>
      <c r="T19" s="55">
        <f t="shared" si="11"/>
        <v>1.98033333333333</v>
      </c>
      <c r="U19" s="55">
        <f>SUM($E$17:$E$21)</f>
        <v>1.24</v>
      </c>
      <c r="V19" s="57">
        <f t="shared" si="12"/>
        <v>2.3615</v>
      </c>
      <c r="W19" s="58">
        <f>$K$17</f>
        <v>0.2</v>
      </c>
      <c r="X19" s="57">
        <f t="shared" si="13"/>
        <v>0.50131926121372</v>
      </c>
      <c r="Y19" s="56">
        <v>0.8</v>
      </c>
      <c r="Z19" s="59">
        <v>0</v>
      </c>
      <c r="AA19" s="59">
        <v>0</v>
      </c>
      <c r="AB19" s="59">
        <f t="shared" si="14"/>
        <v>0.06</v>
      </c>
      <c r="AC19" s="60">
        <f t="shared" si="15"/>
        <v>18410.1790237762</v>
      </c>
    </row>
    <row r="20" s="1" customFormat="1" spans="2:31">
      <c r="B20" s="25" t="s">
        <v>45</v>
      </c>
      <c r="C20" s="31"/>
      <c r="D20" s="25" t="s">
        <v>49</v>
      </c>
      <c r="E20" s="27">
        <f>12%</f>
        <v>0.12</v>
      </c>
      <c r="F20" s="25" t="s">
        <v>33</v>
      </c>
      <c r="G20" s="28">
        <f>M19</f>
        <v>0.405</v>
      </c>
      <c r="H20" s="25"/>
      <c r="I20" s="28"/>
      <c r="J20" s="30"/>
      <c r="K20" s="28"/>
      <c r="L20" s="25" t="s">
        <v>47</v>
      </c>
      <c r="M20" s="27">
        <f>16.2%*5</f>
        <v>0.81</v>
      </c>
      <c r="N20" s="6"/>
      <c r="P20" s="54" t="s">
        <v>70</v>
      </c>
      <c r="Q20" s="55">
        <f>45.63%+45.63%</f>
        <v>0.9126</v>
      </c>
      <c r="R20" s="56" t="s">
        <v>44</v>
      </c>
      <c r="S20" s="56">
        <f t="shared" si="10"/>
        <v>1050</v>
      </c>
      <c r="T20" s="55">
        <f t="shared" si="11"/>
        <v>1.98033333333333</v>
      </c>
      <c r="U20" s="55">
        <f t="shared" ref="U20:U32" si="16">SUM($E$17:$E$22)</f>
        <v>1.712</v>
      </c>
      <c r="V20" s="57">
        <f t="shared" si="12"/>
        <v>2.3615</v>
      </c>
      <c r="W20" s="58">
        <f t="shared" ref="W20:W33" si="17">$K$17+K$18</f>
        <v>0.58</v>
      </c>
      <c r="X20" s="57">
        <f t="shared" si="13"/>
        <v>0.50131926121372</v>
      </c>
      <c r="Y20" s="56">
        <f t="shared" ref="Y20:Y33" si="18">AE$23</f>
        <v>0.8</v>
      </c>
      <c r="Z20" s="59">
        <v>0</v>
      </c>
      <c r="AA20" s="59">
        <v>0</v>
      </c>
      <c r="AB20" s="59">
        <f t="shared" si="14"/>
        <v>0.06</v>
      </c>
      <c r="AC20" s="60">
        <f t="shared" si="15"/>
        <v>12285.1246952429</v>
      </c>
    </row>
    <row r="21" s="1" customFormat="1" spans="2:31">
      <c r="B21" s="25" t="s">
        <v>49</v>
      </c>
      <c r="C21" s="31">
        <f>25%+22.5%+20%+20%</f>
        <v>0.875</v>
      </c>
      <c r="D21" s="25" t="s">
        <v>50</v>
      </c>
      <c r="E21" s="32"/>
      <c r="F21" s="25" t="s">
        <v>51</v>
      </c>
      <c r="G21" s="28"/>
      <c r="H21" s="25" t="s">
        <v>51</v>
      </c>
      <c r="I21" s="28"/>
      <c r="J21" s="30"/>
      <c r="K21" s="28"/>
      <c r="L21" s="25"/>
      <c r="M21" s="26"/>
      <c r="N21" s="6"/>
      <c r="P21" s="54" t="s">
        <v>71</v>
      </c>
      <c r="Q21" s="55">
        <f>70.14%+70.14%</f>
        <v>1.4028</v>
      </c>
      <c r="R21" s="56" t="s">
        <v>44</v>
      </c>
      <c r="S21" s="56">
        <f t="shared" si="10"/>
        <v>1050</v>
      </c>
      <c r="T21" s="55">
        <f t="shared" si="11"/>
        <v>1.98033333333333</v>
      </c>
      <c r="U21" s="55">
        <f t="shared" si="16"/>
        <v>1.712</v>
      </c>
      <c r="V21" s="57">
        <f t="shared" si="12"/>
        <v>2.3615</v>
      </c>
      <c r="W21" s="58">
        <f t="shared" si="17"/>
        <v>0.58</v>
      </c>
      <c r="X21" s="57">
        <f t="shared" si="13"/>
        <v>0.50131926121372</v>
      </c>
      <c r="Y21" s="56">
        <f t="shared" si="18"/>
        <v>0.8</v>
      </c>
      <c r="Z21" s="59">
        <v>0</v>
      </c>
      <c r="AA21" s="59">
        <v>0</v>
      </c>
      <c r="AB21" s="59">
        <f t="shared" si="14"/>
        <v>0.06</v>
      </c>
      <c r="AC21" s="60">
        <f t="shared" si="15"/>
        <v>18884.0378287166</v>
      </c>
    </row>
    <row r="22" s="1" customFormat="1" spans="2:31">
      <c r="B22" s="25" t="s">
        <v>54</v>
      </c>
      <c r="C22" s="26">
        <v>350</v>
      </c>
      <c r="D22" s="25" t="s">
        <v>55</v>
      </c>
      <c r="E22" s="33">
        <f>12%+M18+18%</f>
        <v>0.472</v>
      </c>
      <c r="F22" s="34" t="s">
        <v>56</v>
      </c>
      <c r="G22" s="35">
        <f>MIN(100%,SUM(G17:G21))</f>
        <v>0.778</v>
      </c>
      <c r="H22" s="34" t="s">
        <v>57</v>
      </c>
      <c r="I22" s="36">
        <f>SUM(I17:I21)</f>
        <v>2.75</v>
      </c>
      <c r="J22" s="30"/>
      <c r="K22" s="28"/>
      <c r="L22" s="25"/>
      <c r="M22" s="26"/>
      <c r="N22" s="6"/>
      <c r="P22" s="61" t="s">
        <v>72</v>
      </c>
      <c r="Q22" s="61">
        <f>26.56%*5+88.53%</f>
        <v>2.2133</v>
      </c>
      <c r="R22" s="56" t="s">
        <v>44</v>
      </c>
      <c r="S22" s="56">
        <f t="shared" si="10"/>
        <v>1050</v>
      </c>
      <c r="T22" s="55">
        <f t="shared" si="11"/>
        <v>1.98033333333333</v>
      </c>
      <c r="U22" s="55">
        <f t="shared" si="16"/>
        <v>1.712</v>
      </c>
      <c r="V22" s="57">
        <f t="shared" si="12"/>
        <v>2.3615</v>
      </c>
      <c r="W22" s="58">
        <f t="shared" si="17"/>
        <v>0.58</v>
      </c>
      <c r="X22" s="57">
        <f t="shared" si="13"/>
        <v>0.50131926121372</v>
      </c>
      <c r="Y22" s="56">
        <f t="shared" si="18"/>
        <v>0.8</v>
      </c>
      <c r="Z22" s="59">
        <v>1.1</v>
      </c>
      <c r="AA22" s="59">
        <v>0</v>
      </c>
      <c r="AB22" s="59">
        <f t="shared" si="14"/>
        <v>0.06</v>
      </c>
      <c r="AC22" s="60">
        <f t="shared" si="15"/>
        <v>62568.923542363</v>
      </c>
      <c r="AE22" s="62" t="s">
        <v>73</v>
      </c>
    </row>
    <row r="23" s="1" customFormat="1" spans="2:31">
      <c r="B23" s="40" t="s">
        <v>61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4" t="s">
        <v>74</v>
      </c>
      <c r="Q23" s="55">
        <v>0.5746</v>
      </c>
      <c r="R23" s="56" t="s">
        <v>44</v>
      </c>
      <c r="S23" s="56">
        <f t="shared" si="10"/>
        <v>1050</v>
      </c>
      <c r="T23" s="55">
        <f t="shared" si="11"/>
        <v>1.98033333333333</v>
      </c>
      <c r="U23" s="55">
        <f t="shared" si="16"/>
        <v>1.712</v>
      </c>
      <c r="V23" s="57">
        <f t="shared" si="12"/>
        <v>2.3615</v>
      </c>
      <c r="W23" s="58">
        <f t="shared" si="17"/>
        <v>0.58</v>
      </c>
      <c r="X23" s="57">
        <f t="shared" si="13"/>
        <v>0.50131926121372</v>
      </c>
      <c r="Y23" s="56">
        <f t="shared" si="18"/>
        <v>0.8</v>
      </c>
      <c r="Z23" s="59">
        <v>0</v>
      </c>
      <c r="AA23" s="59">
        <v>0</v>
      </c>
      <c r="AB23" s="59">
        <f t="shared" si="14"/>
        <v>0.06</v>
      </c>
      <c r="AC23" s="60">
        <f t="shared" si="15"/>
        <v>7735.07851181962</v>
      </c>
      <c r="AE23" s="1">
        <v>0.8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4" t="s">
        <v>70</v>
      </c>
      <c r="Q24" s="55">
        <f>45.63%+45.63%</f>
        <v>0.9126</v>
      </c>
      <c r="R24" s="56" t="s">
        <v>44</v>
      </c>
      <c r="S24" s="56">
        <f t="shared" si="10"/>
        <v>1050</v>
      </c>
      <c r="T24" s="55">
        <f t="shared" si="11"/>
        <v>1.98033333333333</v>
      </c>
      <c r="U24" s="55">
        <f t="shared" si="16"/>
        <v>1.712</v>
      </c>
      <c r="V24" s="57">
        <f t="shared" si="12"/>
        <v>2.3615</v>
      </c>
      <c r="W24" s="58">
        <f t="shared" si="17"/>
        <v>0.58</v>
      </c>
      <c r="X24" s="57">
        <f t="shared" si="13"/>
        <v>0.50131926121372</v>
      </c>
      <c r="Y24" s="56">
        <f t="shared" si="18"/>
        <v>0.8</v>
      </c>
      <c r="Z24" s="59">
        <v>0</v>
      </c>
      <c r="AA24" s="59">
        <v>0</v>
      </c>
      <c r="AB24" s="59">
        <f t="shared" si="14"/>
        <v>0.06</v>
      </c>
      <c r="AC24" s="60">
        <f t="shared" si="15"/>
        <v>12285.1246952429</v>
      </c>
    </row>
    <row r="25" s="1" customFormat="1" ht="15" spans="2:31">
      <c r="B25" s="63" t="s">
        <v>75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4" t="s">
        <v>71</v>
      </c>
      <c r="Q25" s="55">
        <f>70.14%+70.14%</f>
        <v>1.4028</v>
      </c>
      <c r="R25" s="56" t="s">
        <v>44</v>
      </c>
      <c r="S25" s="56">
        <f t="shared" si="10"/>
        <v>1050</v>
      </c>
      <c r="T25" s="55">
        <f t="shared" si="11"/>
        <v>1.98033333333333</v>
      </c>
      <c r="U25" s="55">
        <f t="shared" si="16"/>
        <v>1.712</v>
      </c>
      <c r="V25" s="57">
        <f t="shared" si="12"/>
        <v>2.3615</v>
      </c>
      <c r="W25" s="58">
        <f t="shared" si="17"/>
        <v>0.58</v>
      </c>
      <c r="X25" s="57">
        <f t="shared" si="13"/>
        <v>0.50131926121372</v>
      </c>
      <c r="Y25" s="56">
        <f t="shared" si="18"/>
        <v>0.8</v>
      </c>
      <c r="Z25" s="59">
        <v>0</v>
      </c>
      <c r="AA25" s="59">
        <v>0</v>
      </c>
      <c r="AB25" s="59">
        <f t="shared" si="14"/>
        <v>0.06</v>
      </c>
      <c r="AC25" s="60">
        <f t="shared" si="15"/>
        <v>18884.0378287166</v>
      </c>
      <c r="AE25" s="1" t="s">
        <v>76</v>
      </c>
    </row>
    <row r="26" s="1" customFormat="1" spans="2:31">
      <c r="B26" s="64" t="s">
        <v>77</v>
      </c>
      <c r="C26" s="64" t="s">
        <v>78</v>
      </c>
      <c r="D26" s="64" t="s">
        <v>79</v>
      </c>
      <c r="E26" s="64" t="s">
        <v>80</v>
      </c>
      <c r="F26" s="65"/>
      <c r="G26" s="45"/>
      <c r="H26" s="6"/>
      <c r="I26" s="6"/>
      <c r="J26" s="6"/>
      <c r="K26" s="6"/>
      <c r="L26" s="6"/>
      <c r="M26" s="6"/>
      <c r="N26" s="6"/>
      <c r="P26" s="54" t="s">
        <v>81</v>
      </c>
      <c r="Q26" s="55">
        <f>95.91%*3</f>
        <v>2.8773</v>
      </c>
      <c r="R26" s="56" t="s">
        <v>44</v>
      </c>
      <c r="S26" s="56">
        <f t="shared" si="10"/>
        <v>1050</v>
      </c>
      <c r="T26" s="55">
        <f t="shared" si="11"/>
        <v>1.98033333333333</v>
      </c>
      <c r="U26" s="55">
        <f t="shared" si="16"/>
        <v>1.712</v>
      </c>
      <c r="V26" s="57">
        <f t="shared" si="12"/>
        <v>2.3615</v>
      </c>
      <c r="W26" s="58">
        <f t="shared" si="17"/>
        <v>0.58</v>
      </c>
      <c r="X26" s="57">
        <f t="shared" si="13"/>
        <v>0.50131926121372</v>
      </c>
      <c r="Y26" s="56">
        <f t="shared" si="18"/>
        <v>0.8</v>
      </c>
      <c r="Z26" s="59">
        <v>1.1</v>
      </c>
      <c r="AA26" s="59">
        <v>0</v>
      </c>
      <c r="AB26" s="59">
        <f t="shared" si="14"/>
        <v>0.06</v>
      </c>
      <c r="AC26" s="60">
        <f t="shared" si="15"/>
        <v>81339.883300249</v>
      </c>
      <c r="AE26" s="66">
        <v>0.06</v>
      </c>
    </row>
    <row r="27" s="1" customFormat="1" spans="2:31">
      <c r="B27" s="67" t="s">
        <v>113</v>
      </c>
      <c r="C27" s="67">
        <v>120000</v>
      </c>
      <c r="D27" s="67">
        <f t="shared" ref="D27:D30" si="19">C27/E$27</f>
        <v>4800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4" t="s">
        <v>74</v>
      </c>
      <c r="Q27" s="55">
        <v>0.5746</v>
      </c>
      <c r="R27" s="56" t="s">
        <v>44</v>
      </c>
      <c r="S27" s="56">
        <f t="shared" si="10"/>
        <v>1050</v>
      </c>
      <c r="T27" s="55">
        <f t="shared" si="11"/>
        <v>1.98033333333333</v>
      </c>
      <c r="U27" s="55">
        <f t="shared" si="16"/>
        <v>1.712</v>
      </c>
      <c r="V27" s="57">
        <f t="shared" si="12"/>
        <v>2.3615</v>
      </c>
      <c r="W27" s="58">
        <f t="shared" si="17"/>
        <v>0.58</v>
      </c>
      <c r="X27" s="57">
        <f t="shared" si="13"/>
        <v>0.50131926121372</v>
      </c>
      <c r="Y27" s="56">
        <f t="shared" si="18"/>
        <v>0.8</v>
      </c>
      <c r="Z27" s="59">
        <v>0</v>
      </c>
      <c r="AA27" s="59">
        <v>0</v>
      </c>
      <c r="AB27" s="59">
        <f t="shared" si="14"/>
        <v>0.06</v>
      </c>
      <c r="AC27" s="60">
        <f t="shared" si="15"/>
        <v>7735.07851181962</v>
      </c>
    </row>
    <row r="28" s="1" customFormat="1" spans="2:31">
      <c r="B28" s="67" t="s">
        <v>51</v>
      </c>
      <c r="C28" s="67">
        <v>30000</v>
      </c>
      <c r="D28" s="67">
        <f t="shared" si="19"/>
        <v>1200</v>
      </c>
      <c r="E28" s="6"/>
      <c r="F28" s="6"/>
      <c r="G28" s="45"/>
      <c r="H28" s="6"/>
      <c r="I28" s="6"/>
      <c r="J28" s="6"/>
      <c r="K28" s="6"/>
      <c r="L28" s="6"/>
      <c r="M28" s="6"/>
      <c r="N28" s="6"/>
      <c r="P28" s="54" t="s">
        <v>70</v>
      </c>
      <c r="Q28" s="55">
        <f>45.63%+45.63%</f>
        <v>0.9126</v>
      </c>
      <c r="R28" s="56" t="s">
        <v>44</v>
      </c>
      <c r="S28" s="56">
        <f t="shared" si="10"/>
        <v>1050</v>
      </c>
      <c r="T28" s="55">
        <f t="shared" si="11"/>
        <v>1.98033333333333</v>
      </c>
      <c r="U28" s="55">
        <f t="shared" si="16"/>
        <v>1.712</v>
      </c>
      <c r="V28" s="57">
        <f t="shared" si="12"/>
        <v>2.3615</v>
      </c>
      <c r="W28" s="58">
        <f t="shared" si="17"/>
        <v>0.58</v>
      </c>
      <c r="X28" s="57">
        <f t="shared" si="13"/>
        <v>0.50131926121372</v>
      </c>
      <c r="Y28" s="56">
        <f t="shared" si="18"/>
        <v>0.8</v>
      </c>
      <c r="Z28" s="59">
        <v>0</v>
      </c>
      <c r="AA28" s="59">
        <v>0</v>
      </c>
      <c r="AB28" s="59">
        <f t="shared" si="14"/>
        <v>0.06</v>
      </c>
      <c r="AC28" s="60">
        <f t="shared" si="15"/>
        <v>12285.1246952429</v>
      </c>
    </row>
    <row r="29" s="1" customFormat="1" spans="2:31">
      <c r="B29" s="67" t="s">
        <v>84</v>
      </c>
      <c r="C29" s="67">
        <f>SUM(AC18:AC34)</f>
        <v>809606.046286152</v>
      </c>
      <c r="D29" s="67">
        <f t="shared" si="19"/>
        <v>32384.2418514461</v>
      </c>
      <c r="E29" s="45"/>
      <c r="F29" s="6"/>
      <c r="G29" s="68"/>
      <c r="H29" s="6"/>
      <c r="I29" s="6"/>
      <c r="J29" s="6"/>
      <c r="K29" s="6"/>
      <c r="L29" s="6"/>
      <c r="M29" s="6"/>
      <c r="N29" s="6"/>
      <c r="P29" s="54" t="s">
        <v>71</v>
      </c>
      <c r="Q29" s="55">
        <f>70.14%+70.14%</f>
        <v>1.4028</v>
      </c>
      <c r="R29" s="56" t="s">
        <v>44</v>
      </c>
      <c r="S29" s="56">
        <f t="shared" si="10"/>
        <v>1050</v>
      </c>
      <c r="T29" s="55">
        <f t="shared" si="11"/>
        <v>1.98033333333333</v>
      </c>
      <c r="U29" s="55">
        <f t="shared" si="16"/>
        <v>1.712</v>
      </c>
      <c r="V29" s="57">
        <f t="shared" si="12"/>
        <v>2.3615</v>
      </c>
      <c r="W29" s="58">
        <f t="shared" si="17"/>
        <v>0.58</v>
      </c>
      <c r="X29" s="57">
        <f t="shared" si="13"/>
        <v>0.50131926121372</v>
      </c>
      <c r="Y29" s="56">
        <f t="shared" si="18"/>
        <v>0.8</v>
      </c>
      <c r="Z29" s="59">
        <v>0</v>
      </c>
      <c r="AA29" s="59">
        <v>0</v>
      </c>
      <c r="AB29" s="59">
        <f t="shared" si="14"/>
        <v>0.06</v>
      </c>
      <c r="AC29" s="60">
        <f t="shared" si="15"/>
        <v>18884.0378287166</v>
      </c>
    </row>
    <row r="30" s="1" customFormat="1" spans="2:31">
      <c r="B30" s="67" t="s">
        <v>85</v>
      </c>
      <c r="C30" s="67">
        <f>101573-20000</f>
        <v>81573</v>
      </c>
      <c r="D30" s="67">
        <f t="shared" si="19"/>
        <v>3262.92</v>
      </c>
      <c r="E30" s="45"/>
      <c r="F30" s="6"/>
      <c r="G30" s="45"/>
      <c r="H30" s="6"/>
      <c r="I30" s="6"/>
      <c r="J30" s="6"/>
      <c r="K30" s="6"/>
      <c r="L30" s="6"/>
      <c r="M30" s="6"/>
      <c r="N30" s="6"/>
      <c r="P30" s="54" t="s">
        <v>86</v>
      </c>
      <c r="Q30" s="55">
        <v>3.5411</v>
      </c>
      <c r="R30" s="56" t="s">
        <v>44</v>
      </c>
      <c r="S30" s="56">
        <f t="shared" si="10"/>
        <v>1050</v>
      </c>
      <c r="T30" s="55">
        <f t="shared" si="11"/>
        <v>1.98033333333333</v>
      </c>
      <c r="U30" s="55">
        <f t="shared" si="16"/>
        <v>1.712</v>
      </c>
      <c r="V30" s="57">
        <f t="shared" si="12"/>
        <v>2.3615</v>
      </c>
      <c r="W30" s="58">
        <f t="shared" si="17"/>
        <v>0.58</v>
      </c>
      <c r="X30" s="57">
        <f t="shared" si="13"/>
        <v>0.50131926121372</v>
      </c>
      <c r="Y30" s="56">
        <f t="shared" si="18"/>
        <v>0.8</v>
      </c>
      <c r="Z30" s="59">
        <v>1.1</v>
      </c>
      <c r="AA30" s="59">
        <v>0</v>
      </c>
      <c r="AB30" s="59">
        <f t="shared" si="14"/>
        <v>0.06</v>
      </c>
      <c r="AC30" s="60">
        <f t="shared" si="15"/>
        <v>100105.189154593</v>
      </c>
    </row>
    <row r="31" s="1" customFormat="1" spans="2:31">
      <c r="B31" s="67" t="s">
        <v>87</v>
      </c>
      <c r="C31" s="67">
        <f>SUM(C27:C30)</f>
        <v>1041179.04628615</v>
      </c>
      <c r="D31" s="67">
        <f>C31/E27</f>
        <v>41647.1618514461</v>
      </c>
      <c r="E31" s="6"/>
      <c r="G31"/>
      <c r="H31"/>
      <c r="I31"/>
      <c r="J31" s="6"/>
      <c r="K31" s="6"/>
      <c r="L31" s="6"/>
      <c r="M31" s="6"/>
      <c r="N31" s="6"/>
      <c r="P31" s="54" t="s">
        <v>107</v>
      </c>
      <c r="Q31" s="55">
        <v>5.28</v>
      </c>
      <c r="R31" s="56" t="s">
        <v>44</v>
      </c>
      <c r="S31" s="56">
        <f t="shared" si="10"/>
        <v>1050</v>
      </c>
      <c r="T31" s="55">
        <f t="shared" si="11"/>
        <v>1.98033333333333</v>
      </c>
      <c r="U31" s="55">
        <f t="shared" si="16"/>
        <v>1.712</v>
      </c>
      <c r="V31" s="57">
        <f t="shared" si="12"/>
        <v>2.3615</v>
      </c>
      <c r="W31" s="58">
        <f t="shared" si="17"/>
        <v>0.58</v>
      </c>
      <c r="X31" s="57">
        <f t="shared" si="13"/>
        <v>0.50131926121372</v>
      </c>
      <c r="Y31" s="56">
        <f t="shared" si="18"/>
        <v>0.8</v>
      </c>
      <c r="Z31" s="59">
        <v>0</v>
      </c>
      <c r="AA31" s="59">
        <v>0</v>
      </c>
      <c r="AB31" s="59">
        <f t="shared" si="14"/>
        <v>0.06</v>
      </c>
      <c r="AC31" s="60">
        <f t="shared" si="15"/>
        <v>71077.6445221155</v>
      </c>
    </row>
    <row r="32" s="1" customFormat="1" spans="2:31">
      <c r="B32" s="67"/>
      <c r="C32" s="67"/>
      <c r="D32" s="67"/>
      <c r="E32" s="6"/>
      <c r="G32"/>
      <c r="H32"/>
      <c r="I32"/>
      <c r="J32" s="6"/>
      <c r="K32" s="6"/>
      <c r="L32" s="6"/>
      <c r="M32" s="6"/>
      <c r="N32" s="6"/>
      <c r="P32" s="61" t="s">
        <v>90</v>
      </c>
      <c r="Q32" s="55">
        <f>460.34%</f>
        <v>4.6034</v>
      </c>
      <c r="R32" s="56" t="s">
        <v>44</v>
      </c>
      <c r="S32" s="56">
        <f t="shared" si="10"/>
        <v>1050</v>
      </c>
      <c r="T32" s="55">
        <f t="shared" si="11"/>
        <v>1.98033333333333</v>
      </c>
      <c r="U32" s="55">
        <f t="shared" si="16"/>
        <v>1.712</v>
      </c>
      <c r="V32" s="57">
        <f t="shared" si="12"/>
        <v>2.3615</v>
      </c>
      <c r="W32" s="58">
        <f t="shared" si="17"/>
        <v>0.58</v>
      </c>
      <c r="X32" s="57">
        <f t="shared" si="13"/>
        <v>0.50131926121372</v>
      </c>
      <c r="Y32" s="56">
        <f t="shared" si="18"/>
        <v>0.8</v>
      </c>
      <c r="Z32" s="59">
        <v>0</v>
      </c>
      <c r="AA32" s="59">
        <v>0</v>
      </c>
      <c r="AB32" s="59">
        <f t="shared" si="14"/>
        <v>0.06</v>
      </c>
      <c r="AC32" s="60">
        <f t="shared" si="15"/>
        <v>61969.4751502096</v>
      </c>
    </row>
    <row r="33" s="1" customFormat="1" spans="2:29">
      <c r="B33" s="67"/>
      <c r="C33" s="67"/>
      <c r="D33" s="67"/>
      <c r="E33" s="6"/>
      <c r="G33" s="67"/>
      <c r="H33" s="6"/>
      <c r="I33" s="45"/>
      <c r="J33" s="6"/>
      <c r="K33" s="6"/>
      <c r="L33" s="6"/>
      <c r="M33" s="6"/>
      <c r="N33" s="6"/>
      <c r="P33" s="69" t="s">
        <v>92</v>
      </c>
      <c r="Q33" s="55">
        <f>745.54%+49.71%*5</f>
        <v>9.9409</v>
      </c>
      <c r="R33" s="56" t="s">
        <v>44</v>
      </c>
      <c r="S33" s="56">
        <f t="shared" si="10"/>
        <v>1050</v>
      </c>
      <c r="T33" s="55">
        <f t="shared" si="11"/>
        <v>1.98033333333333</v>
      </c>
      <c r="U33" s="55">
        <f>SUM($E$17:$E$22)+40%</f>
        <v>2.112</v>
      </c>
      <c r="V33" s="57">
        <f t="shared" si="12"/>
        <v>2.3615</v>
      </c>
      <c r="W33" s="58">
        <f t="shared" si="17"/>
        <v>0.58</v>
      </c>
      <c r="X33" s="57">
        <f t="shared" si="13"/>
        <v>0.50131926121372</v>
      </c>
      <c r="Y33" s="56">
        <f t="shared" si="18"/>
        <v>0.8</v>
      </c>
      <c r="Z33" s="59">
        <v>0.6</v>
      </c>
      <c r="AA33" s="59">
        <v>0</v>
      </c>
      <c r="AB33" s="59">
        <f t="shared" si="14"/>
        <v>0.06</v>
      </c>
      <c r="AC33" s="60">
        <f t="shared" si="15"/>
        <v>245694.08174777</v>
      </c>
    </row>
    <row r="34" s="1" customFormat="1" ht="17.5" spans="2:29">
      <c r="B34" s="6"/>
      <c r="C34" s="70" t="s">
        <v>114</v>
      </c>
      <c r="D34" s="70"/>
      <c r="E34" s="6"/>
      <c r="F34" s="70" t="s">
        <v>115</v>
      </c>
      <c r="G34" s="70" t="s">
        <v>97</v>
      </c>
      <c r="H34" s="68"/>
      <c r="I34" s="45"/>
      <c r="J34" s="70" t="s">
        <v>96</v>
      </c>
      <c r="K34" s="70" t="s">
        <v>97</v>
      </c>
      <c r="L34" s="6"/>
      <c r="M34" s="6"/>
      <c r="N34" s="6"/>
      <c r="P34" s="54" t="s">
        <v>94</v>
      </c>
      <c r="Q34" s="55">
        <v>5</v>
      </c>
      <c r="R34" s="56" t="s">
        <v>60</v>
      </c>
      <c r="S34" s="56">
        <f t="shared" si="10"/>
        <v>1050</v>
      </c>
      <c r="T34" s="55">
        <f t="shared" si="11"/>
        <v>1.98033333333333</v>
      </c>
      <c r="U34" s="55">
        <f>SUM($E$17:$E$21)</f>
        <v>1.24</v>
      </c>
      <c r="V34" s="57">
        <f t="shared" si="12"/>
        <v>2.3615</v>
      </c>
      <c r="W34" s="58">
        <f>$K$17</f>
        <v>0.2</v>
      </c>
      <c r="X34" s="57">
        <f t="shared" si="13"/>
        <v>0.50131926121372</v>
      </c>
      <c r="Y34" s="56">
        <v>0.8</v>
      </c>
      <c r="Z34" s="59">
        <v>0</v>
      </c>
      <c r="AA34" s="59">
        <v>0</v>
      </c>
      <c r="AB34" s="59">
        <f t="shared" si="14"/>
        <v>0.06</v>
      </c>
      <c r="AC34" s="60">
        <f t="shared" si="15"/>
        <v>42223.2444011196</v>
      </c>
    </row>
    <row r="35" s="1" customFormat="1" ht="17.5" spans="2:29">
      <c r="B35" s="6"/>
      <c r="C35" s="71" t="s">
        <v>98</v>
      </c>
      <c r="D35" s="72">
        <v>54897</v>
      </c>
      <c r="E35" s="6"/>
      <c r="F35" s="71" t="s">
        <v>98</v>
      </c>
      <c r="G35" s="72">
        <f>58944-870</f>
        <v>58074</v>
      </c>
      <c r="H35" s="68"/>
      <c r="I35" s="73"/>
      <c r="J35" s="71" t="s">
        <v>98</v>
      </c>
      <c r="K35" s="72">
        <v>78134</v>
      </c>
      <c r="N35" s="6"/>
      <c r="P35" s="54"/>
      <c r="Q35" s="55"/>
      <c r="R35" s="56"/>
      <c r="S35" s="56"/>
      <c r="T35" s="56"/>
      <c r="U35" s="55"/>
      <c r="V35" s="57"/>
      <c r="W35" s="59"/>
      <c r="X35" s="56"/>
      <c r="Y35" s="56"/>
      <c r="Z35" s="59"/>
      <c r="AA35" s="59"/>
      <c r="AB35" s="74"/>
      <c r="AC35" s="60"/>
    </row>
    <row r="36" s="1" customFormat="1" ht="17.5" spans="2:29">
      <c r="B36" s="67"/>
      <c r="C36" s="71" t="s">
        <v>99</v>
      </c>
      <c r="D36" s="72">
        <v>57435</v>
      </c>
      <c r="E36" s="6"/>
      <c r="F36" s="71" t="s">
        <v>99</v>
      </c>
      <c r="G36" s="72">
        <f>61711-870</f>
        <v>60841</v>
      </c>
      <c r="H36" s="2"/>
      <c r="J36" s="71" t="s">
        <v>99</v>
      </c>
      <c r="K36" s="72">
        <v>82327</v>
      </c>
      <c r="N36" s="6"/>
      <c r="P36" s="75"/>
      <c r="Q36" s="75"/>
      <c r="R36" s="75"/>
      <c r="U36" s="2"/>
      <c r="V36" s="3"/>
      <c r="AB36" s="4"/>
      <c r="AC36" s="4"/>
    </row>
    <row r="37" s="1" customFormat="1" ht="17.5" spans="2:29">
      <c r="B37" s="67"/>
      <c r="C37" s="71" t="s">
        <v>99</v>
      </c>
      <c r="D37" s="72">
        <v>57435</v>
      </c>
      <c r="E37" s="6"/>
      <c r="F37" s="71" t="s">
        <v>77</v>
      </c>
      <c r="G37" s="72">
        <f>69190-870</f>
        <v>68320</v>
      </c>
      <c r="J37" s="71" t="s">
        <v>77</v>
      </c>
      <c r="K37" s="72">
        <v>91774</v>
      </c>
      <c r="N37" s="6"/>
      <c r="U37" s="2"/>
      <c r="V37" s="3"/>
      <c r="AB37" s="4"/>
      <c r="AC37" s="4"/>
    </row>
    <row r="38" s="1" customFormat="1" ht="17.5" spans="2:29">
      <c r="B38" s="6"/>
      <c r="C38" s="71" t="s">
        <v>99</v>
      </c>
      <c r="D38" s="72">
        <v>57435</v>
      </c>
      <c r="E38" s="6"/>
      <c r="F38" s="71" t="s">
        <v>77</v>
      </c>
      <c r="G38" s="72">
        <f>69190-870</f>
        <v>68320</v>
      </c>
      <c r="J38" s="71" t="s">
        <v>100</v>
      </c>
      <c r="K38" s="72">
        <v>96234</v>
      </c>
      <c r="N38" s="6"/>
      <c r="Q38" s="2"/>
      <c r="U38" s="2"/>
      <c r="V38" s="3"/>
      <c r="AB38" s="4"/>
      <c r="AC38" s="4"/>
    </row>
    <row r="39" s="1" customFormat="1" ht="17.5" spans="2:29">
      <c r="B39" s="67"/>
      <c r="C39" s="71" t="s">
        <v>116</v>
      </c>
      <c r="D39" s="76">
        <f>(D35+D36+D37+D37)/4</f>
        <v>56800.5</v>
      </c>
      <c r="E39" s="6"/>
      <c r="F39" s="71" t="s">
        <v>116</v>
      </c>
      <c r="G39" s="76">
        <f>(G35+G36+G37+G37)/4</f>
        <v>63888.75</v>
      </c>
      <c r="J39" s="71" t="s">
        <v>101</v>
      </c>
      <c r="K39" s="76">
        <f>(K35+K36+K37+K38)/4</f>
        <v>87117.25</v>
      </c>
      <c r="M39"/>
      <c r="N39" s="77"/>
      <c r="O39"/>
      <c r="Q39" s="2"/>
      <c r="U39" s="2"/>
      <c r="V39" s="78"/>
      <c r="AB39" s="4"/>
      <c r="AC39" s="4"/>
    </row>
    <row r="40" s="1" customFormat="1" ht="20" customHeight="1" spans="2:29">
      <c r="B40" s="67"/>
      <c r="C40" s="67"/>
      <c r="D40" s="72"/>
      <c r="E40" s="6"/>
      <c r="F40" s="6"/>
      <c r="G40" s="72"/>
      <c r="M40"/>
      <c r="N40"/>
      <c r="O40"/>
      <c r="Q40" s="78"/>
      <c r="U40" s="2"/>
      <c r="V40" s="78"/>
      <c r="AB40" s="4"/>
      <c r="AC40" s="4"/>
    </row>
    <row r="41" s="1" customFormat="1" ht="20" customHeight="1" spans="2:29">
      <c r="B41" s="6"/>
      <c r="C41" s="6"/>
      <c r="D41" s="6"/>
      <c r="E41" s="6"/>
      <c r="F41" s="67"/>
      <c r="G41" s="2"/>
      <c r="M41"/>
      <c r="N41"/>
      <c r="O41"/>
      <c r="Q41" s="78"/>
      <c r="V41" s="78"/>
      <c r="AB41" s="4"/>
      <c r="AC41" s="4"/>
    </row>
    <row r="42" s="1" customFormat="1" ht="20" customHeight="1" spans="2:29">
      <c r="B42" s="67"/>
      <c r="C42" s="67"/>
      <c r="D42" s="67"/>
      <c r="E42" s="6"/>
      <c r="G42" s="2"/>
      <c r="M42" s="79" t="s">
        <v>124</v>
      </c>
      <c r="N42" s="79" t="s">
        <v>126</v>
      </c>
      <c r="O42" s="79" t="s">
        <v>127</v>
      </c>
      <c r="Q42" s="78"/>
      <c r="U42" s="2"/>
      <c r="V42" s="2"/>
      <c r="AB42" s="4"/>
      <c r="AC42" s="4"/>
    </row>
    <row r="43" s="1" customFormat="1" ht="20" customHeight="1" spans="2:29">
      <c r="B43" s="67"/>
      <c r="C43" s="67"/>
      <c r="D43" s="67"/>
      <c r="E43" s="6"/>
      <c r="G43" s="2" t="s">
        <v>116</v>
      </c>
      <c r="M43" s="80" t="s">
        <v>98</v>
      </c>
      <c r="N43" s="72">
        <v>47770</v>
      </c>
      <c r="O43" s="80">
        <v>41647</v>
      </c>
      <c r="Q43" s="81"/>
      <c r="U43" s="2"/>
      <c r="V43" s="3"/>
      <c r="AB43" s="4"/>
      <c r="AC43" s="4"/>
    </row>
    <row r="44" s="1" customFormat="1" ht="17.5" spans="2:29">
      <c r="B44" s="6"/>
      <c r="C44" s="6"/>
      <c r="D44" s="6"/>
      <c r="E44" s="6"/>
      <c r="F44" s="1" t="s">
        <v>117</v>
      </c>
      <c r="G44" s="82">
        <v>87117</v>
      </c>
      <c r="M44" s="80" t="s">
        <v>99</v>
      </c>
      <c r="N44" s="72">
        <v>49950</v>
      </c>
      <c r="O44" s="80">
        <v>43480</v>
      </c>
      <c r="Q44" s="2"/>
      <c r="U44" s="2"/>
      <c r="V44" s="3"/>
      <c r="AB44" s="4"/>
      <c r="AC44" s="4"/>
    </row>
    <row r="45" s="1" customFormat="1" ht="17.5" spans="2:29">
      <c r="B45" s="67"/>
      <c r="C45" s="67"/>
      <c r="D45" s="67"/>
      <c r="E45" s="6"/>
      <c r="F45" s="1" t="s">
        <v>118</v>
      </c>
      <c r="G45" s="82">
        <v>62412</v>
      </c>
      <c r="M45" s="80" t="s">
        <v>99</v>
      </c>
      <c r="N45" s="72">
        <v>49950</v>
      </c>
      <c r="O45" s="80">
        <v>43480</v>
      </c>
      <c r="Q45" s="2"/>
      <c r="U45" s="2"/>
      <c r="V45" s="3"/>
      <c r="AB45" s="4"/>
      <c r="AC45" s="4"/>
    </row>
    <row r="46" s="1" customFormat="1" ht="17.5" spans="2:29">
      <c r="E46" s="6"/>
      <c r="F46" s="1" t="s">
        <v>119</v>
      </c>
      <c r="G46" s="82">
        <v>56801</v>
      </c>
      <c r="M46" s="80" t="s">
        <v>99</v>
      </c>
      <c r="N46" s="72">
        <v>49950</v>
      </c>
      <c r="O46" s="80">
        <v>43480</v>
      </c>
      <c r="Q46" s="2"/>
      <c r="U46" s="2"/>
      <c r="V46" s="3"/>
      <c r="AB46" s="4"/>
      <c r="AC46" s="4"/>
    </row>
    <row r="47" s="1" customFormat="1" ht="17.5" spans="2:29">
      <c r="E47" s="6"/>
      <c r="F47" s="1" t="s">
        <v>120</v>
      </c>
      <c r="G47" s="2"/>
      <c r="M47" s="80" t="s">
        <v>116</v>
      </c>
      <c r="N47" s="76">
        <f>(N43+N45+N44+N46)/4</f>
        <v>49405</v>
      </c>
      <c r="O47" s="83">
        <f>(O43+O45+O44+O46)/4</f>
        <v>43021.75</v>
      </c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01陆</vt:lpstr>
      <vt:lpstr>链</vt:lpstr>
      <vt:lpstr>陆散守</vt:lpstr>
      <vt:lpstr>陆琳守</vt:lpstr>
      <vt:lpstr>00陆散维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2026-01-20T10:45:00Z</dcterms:created>
  <dcterms:modified xsi:type="dcterms:W3CDTF">2026-01-27T04:56:35Z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98E64F7B19664CBCA42E4C991EBE4D1D_11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