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2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<sst xmlns="http://schemas.openxmlformats.org/spreadsheetml/2006/main" count="235" uniqueCount="130">
  <si>
    <t>角色主类型</t>
  </si>
  <si>
    <t>a</t>
  </si>
  <si>
    <t>3C属伤数</t>
  </si>
  <si>
    <t>陆赫斯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</si>
  <si>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</si>
  <si>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</si>
  <si>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</si>
  <si>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</si>
  <si>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</si>
  <si>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</si>
  <si>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</si>
  <si>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</si>
  <si>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</si>
  <si>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</si>
  <si>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</si>
  <si>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</si>
  <si>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</si>
  <si>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</si>
  <si>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</si>
  <si>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</si>
  <si>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</si>
  <si>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</si>
  <si>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</si>
  <si>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</si>
  <si>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</si>
  <si>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</si>
  <si>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</si>
  <si>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</si>
  <si>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</si>
  <si>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</si>
  <si>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</si>
  <si>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</si>
  <si>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变奏</t>
  </si>
  <si>
    <t>bz</t>
  </si>
  <si>
    <t>固有武器</t>
  </si>
  <si>
    <t>套装首位</t>
  </si>
  <si>
    <t>武器</t>
  </si>
  <si>
    <t>a加深</t>
  </si>
  <si>
    <t>a伤害</t>
  </si>
  <si>
    <t>a1</t>
  </si>
  <si>
    <t>主副词条</t>
  </si>
  <si>
    <t>自拐属伤</t>
  </si>
  <si>
    <t>套装</t>
  </si>
  <si>
    <t>镰刀·裁断a2</t>
  </si>
  <si>
    <t xml:space="preserve">自拐攻击 </t>
  </si>
  <si>
    <t>被拐属伤</t>
  </si>
  <si>
    <t>爆伤</t>
  </si>
  <si>
    <t>镰刀·裁断a3</t>
  </si>
  <si>
    <t>被拐攻击</t>
  </si>
  <si>
    <t>其他属伤</t>
  </si>
  <si>
    <t>共鸣链</t>
  </si>
  <si>
    <t>固有</t>
  </si>
  <si>
    <t>流金贯行</t>
  </si>
  <si>
    <t>声骸固定攻击</t>
  </si>
  <si>
    <t>a加成</t>
  </si>
  <si>
    <t>队友</t>
  </si>
  <si>
    <t>斩杀日冕·环</t>
  </si>
  <si>
    <t>额外固定攻击</t>
  </si>
  <si>
    <t>面板暴击率</t>
  </si>
  <si>
    <t>面板暴击伤害</t>
  </si>
  <si>
    <t>斩杀日冕·破</t>
  </si>
  <si>
    <t>溢出暴击</t>
  </si>
  <si>
    <t>斩杀日冕·曜</t>
  </si>
  <si>
    <t>判决大地裂响</t>
  </si>
  <si>
    <t>日髓阵列</t>
  </si>
  <si>
    <t>物理</t>
  </si>
  <si>
    <t>琳奈</t>
  </si>
  <si>
    <t>于永冻中释义</t>
  </si>
  <si>
    <t>热熔</t>
  </si>
  <si>
    <t>延奏</t>
  </si>
  <si>
    <t>yz</t>
  </si>
  <si>
    <t>衍射</t>
  </si>
  <si>
    <t>主类型加深</t>
  </si>
  <si>
    <t>普攻伤害</t>
  </si>
  <si>
    <t>爆炸喷涂</t>
  </si>
  <si>
    <t>r</t>
  </si>
  <si>
    <t>集谐</t>
  </si>
  <si>
    <t>琳奈式创想</t>
  </si>
  <si>
    <t>e</t>
  </si>
  <si>
    <t>灵感碰撞</t>
  </si>
  <si>
    <t>幻光折跃*3</t>
  </si>
  <si>
    <t>视觉冲击</t>
  </si>
  <si>
    <t>加色混合</t>
  </si>
  <si>
    <t>有空一起兜风！</t>
  </si>
  <si>
    <t>海维夏</t>
  </si>
  <si>
    <t>10莫宁</t>
  </si>
  <si>
    <t>防御</t>
  </si>
  <si>
    <t>3防2暴3爆伤2共解</t>
  </si>
  <si>
    <t>光翼共奏</t>
  </si>
  <si>
    <t>震谐</t>
  </si>
  <si>
    <t>基础</t>
  </si>
  <si>
    <t>爱弥斯震谐</t>
  </si>
  <si>
    <t>固有和武器</t>
  </si>
  <si>
    <t>首位加成</t>
  </si>
  <si>
    <t>声骸</t>
  </si>
  <si>
    <t>声骸加深</t>
  </si>
  <si>
    <t>琳奈震谐</t>
  </si>
  <si>
    <t>声骸和词条</t>
  </si>
  <si>
    <t>套装效果</t>
  </si>
  <si>
    <t>仇远</t>
  </si>
  <si>
    <t>共技加深</t>
  </si>
  <si>
    <t>莫宁震谐</t>
  </si>
  <si>
    <t>其他buff</t>
  </si>
  <si>
    <t>共解</t>
  </si>
  <si>
    <t>谐度破坏</t>
  </si>
  <si>
    <t>谐破</t>
  </si>
  <si>
    <t>队友buff</t>
  </si>
  <si>
    <t>武器效果</t>
  </si>
  <si>
    <t>守岸人</t>
  </si>
  <si>
    <t>归敛</t>
  </si>
  <si>
    <t>r加成</t>
  </si>
  <si>
    <t>aaa</t>
  </si>
  <si>
    <t xml:space="preserve">                                                                             </t>
  </si>
  <si>
    <t>分布式阵列</t>
  </si>
  <si>
    <t>声骸技</t>
  </si>
  <si>
    <t>20抗100级怪</t>
  </si>
  <si>
    <t>临界协议</t>
  </si>
  <si>
    <t>两轮三破</t>
  </si>
  <si>
    <t>总伤</t>
  </si>
  <si>
    <t>dps</t>
  </si>
  <si>
    <t>秒数</t>
  </si>
  <si>
    <t>占比</t>
  </si>
  <si>
    <t>回路1</t>
  </si>
  <si>
    <t>合计</t>
  </si>
  <si>
    <t>掉buff统计</t>
  </si>
  <si>
    <t>词条奖惩</t>
  </si>
  <si>
    <t>14词</t>
  </si>
  <si>
    <t>13词</t>
  </si>
  <si>
    <t>莫宁</t>
  </si>
  <si>
    <t>10词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</si>
</sst>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9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9" applyNumberFormat="0" applyAlignment="0" applyProtection="0">
      <alignment vertical="center"/>
    </xf>
    <xf numFmtId="0" fontId="19" fillId="14" borderId="20" applyNumberFormat="0" applyAlignment="0" applyProtection="0">
      <alignment vertical="center"/>
    </xf>
    <xf numFmtId="0" fontId="20" fillId="14" borderId="19" applyNumberFormat="0" applyAlignment="0" applyProtection="0">
      <alignment vertical="center"/>
    </xf>
    <xf numFmtId="0" fontId="21" fillId="15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0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9" fontId="3" fillId="0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7" fontId="2" fillId="9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177" fontId="7" fillId="9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9" borderId="9" xfId="0" applyNumberFormat="1" applyFont="1" applyFill="1" applyBorder="1" applyAlignment="1">
      <alignment horizontal="center" vertical="center"/>
    </xf>
    <xf numFmtId="177" fontId="7" fillId="0" borderId="12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8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topLeftCell="B19" workbookViewId="0">
      <selection activeCell="I46" sqref="I4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3365.6</v>
      </c>
      <c r="T3" s="23">
        <f t="shared" ref="T3:T15" si="1">S3/$C$4-1</f>
        <v>2.20533333333333</v>
      </c>
      <c r="U3" s="23">
        <f>IF(R3=$C$1,SUM($E$4:$E$9),SUM($E$4:$E$8))+60%</f>
        <v>2.6</v>
      </c>
      <c r="V3" s="24">
        <f t="shared" ref="V3:V15" si="2">1+$G$10*($I$10-1)</f>
        <v>2.3615</v>
      </c>
      <c r="W3" s="25">
        <f t="shared" ref="W3:W14" si="3">IF(R3=$C$1,$K$4+$K$5,$K$4)</f>
        <v>0.65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35050.3783363443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15%+25%+25%</f>
        <v>0.65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3365.6</v>
      </c>
      <c r="T4" s="40">
        <f t="shared" si="1"/>
        <v>2.20533333333333</v>
      </c>
      <c r="U4" s="40">
        <f t="shared" ref="U4:U13" si="8">IF(R4=$C$1,SUM($E$4:$E$9),SUM($E$4:$E$8))</f>
        <v>2</v>
      </c>
      <c r="V4" s="24">
        <f t="shared" si="2"/>
        <v>2.3615</v>
      </c>
      <c r="W4" s="41">
        <f t="shared" si="3"/>
        <v>0.65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39546.5003369479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v>0.2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3365.6</v>
      </c>
      <c r="T5" s="40">
        <f t="shared" si="1"/>
        <v>2.20533333333333</v>
      </c>
      <c r="U5" s="40">
        <f t="shared" si="8"/>
        <v>2.292</v>
      </c>
      <c r="V5" s="24">
        <f t="shared" si="2"/>
        <v>2.3615</v>
      </c>
      <c r="W5" s="41">
        <f t="shared" si="3"/>
        <v>0.85</v>
      </c>
      <c r="X5" s="26">
        <f t="shared" ref="X5:X14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27030.8169312718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3365.6</v>
      </c>
      <c r="T6" s="40">
        <f t="shared" si="1"/>
        <v>2.20533333333333</v>
      </c>
      <c r="U6" s="40">
        <f t="shared" si="8"/>
        <v>2.292</v>
      </c>
      <c r="V6" s="24">
        <f t="shared" si="2"/>
        <v>2.3615</v>
      </c>
      <c r="W6" s="41">
        <f t="shared" si="3"/>
        <v>0.85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71157.002593529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3365.6</v>
      </c>
      <c r="T7" s="40">
        <f t="shared" si="1"/>
        <v>2.20533333333333</v>
      </c>
      <c r="U7" s="40">
        <f t="shared" si="8"/>
        <v>2.292</v>
      </c>
      <c r="V7" s="24">
        <f t="shared" si="2"/>
        <v>2.3615</v>
      </c>
      <c r="W7" s="41">
        <f t="shared" si="3"/>
        <v>0.85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105733.491358731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</f>
        <v>0.55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1</v>
      </c>
      <c r="P8" s="19" t="s">
        <v>52</v>
      </c>
      <c r="Q8" s="37">
        <v>1.5547</v>
      </c>
      <c r="R8" s="38" t="s">
        <v>1</v>
      </c>
      <c r="S8" s="39">
        <f t="shared" si="0"/>
        <v>3365.6</v>
      </c>
      <c r="T8" s="40">
        <f t="shared" si="1"/>
        <v>2.20533333333333</v>
      </c>
      <c r="U8" s="40">
        <f t="shared" si="8"/>
        <v>2.292</v>
      </c>
      <c r="V8" s="24">
        <f t="shared" si="2"/>
        <v>2.3615</v>
      </c>
      <c r="W8" s="41">
        <f t="shared" si="3"/>
        <v>0.85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36568.7531178631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3365.6</v>
      </c>
      <c r="T9" s="40">
        <f t="shared" si="1"/>
        <v>2.20533333333333</v>
      </c>
      <c r="U9" s="40">
        <f t="shared" si="8"/>
        <v>2.292</v>
      </c>
      <c r="V9" s="24">
        <f t="shared" si="2"/>
        <v>2.3615</v>
      </c>
      <c r="W9" s="41">
        <f t="shared" si="3"/>
        <v>0.85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0.18</v>
      </c>
      <c r="AC9" s="19">
        <f t="shared" si="6"/>
        <v>109325.917977172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3365.6</v>
      </c>
      <c r="T10" s="40">
        <f t="shared" si="1"/>
        <v>2.20533333333333</v>
      </c>
      <c r="U10" s="40">
        <f t="shared" si="8"/>
        <v>2.292</v>
      </c>
      <c r="V10" s="24">
        <f t="shared" si="2"/>
        <v>2.3615</v>
      </c>
      <c r="W10" s="41">
        <f t="shared" si="3"/>
        <v>0.85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0.18</v>
      </c>
      <c r="AC10" s="19">
        <f t="shared" si="6"/>
        <v>142124.187320163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3365.6</v>
      </c>
      <c r="T11" s="40">
        <f t="shared" si="1"/>
        <v>2.20533333333333</v>
      </c>
      <c r="U11" s="40">
        <f t="shared" si="8"/>
        <v>2.292</v>
      </c>
      <c r="V11" s="24">
        <f t="shared" si="2"/>
        <v>2.3615</v>
      </c>
      <c r="W11" s="41">
        <f t="shared" si="3"/>
        <v>0.85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0.18</v>
      </c>
      <c r="AC11" s="19">
        <f t="shared" si="6"/>
        <v>174912.577666365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3365.6</v>
      </c>
      <c r="T12" s="40">
        <f t="shared" si="1"/>
        <v>2.20533333333333</v>
      </c>
      <c r="U12" s="40">
        <f t="shared" si="8"/>
        <v>2.292</v>
      </c>
      <c r="V12" s="24">
        <f t="shared" si="2"/>
        <v>2.3615</v>
      </c>
      <c r="W12" s="41">
        <f t="shared" si="3"/>
        <v>0.85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0.18</v>
      </c>
      <c r="AC12" s="19">
        <f t="shared" si="6"/>
        <v>151593.205743434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3365.6</v>
      </c>
      <c r="T13" s="40">
        <f t="shared" si="1"/>
        <v>2.20533333333333</v>
      </c>
      <c r="U13" s="40">
        <f t="shared" si="8"/>
        <v>2.292</v>
      </c>
      <c r="V13" s="24">
        <f t="shared" si="2"/>
        <v>2.3615</v>
      </c>
      <c r="W13" s="41">
        <f t="shared" si="3"/>
        <v>0.85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0.18</v>
      </c>
      <c r="AC13" s="19">
        <f t="shared" si="6"/>
        <v>75796.6028717168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3365.6</v>
      </c>
      <c r="T14" s="40">
        <f t="shared" si="1"/>
        <v>2.20533333333333</v>
      </c>
      <c r="U14" s="40">
        <f>IF(R14=$C$1,SUM($E$4:$E$9),SUM($E$4:$E$8))+40%</f>
        <v>2.692</v>
      </c>
      <c r="V14" s="24">
        <f t="shared" si="2"/>
        <v>2.3615</v>
      </c>
      <c r="W14" s="41">
        <f t="shared" si="3"/>
        <v>0.85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0.18</v>
      </c>
      <c r="AC14" s="19">
        <f t="shared" si="6"/>
        <v>458911.745709961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3365.6</v>
      </c>
      <c r="T15" s="67">
        <f t="shared" si="1"/>
        <v>2.20533333333333</v>
      </c>
      <c r="U15" s="67">
        <f>IF(R15=$C$1,SUM($E$4:$E$9),SUM($E$4:$E$8))+$E$10</f>
        <v>2</v>
      </c>
      <c r="V15" s="68">
        <f t="shared" si="2"/>
        <v>2.3615</v>
      </c>
      <c r="W15" s="69">
        <f>IF(R15=$C$1,$K$4+$K$5,$K$4)+$K$6</f>
        <v>0.65</v>
      </c>
      <c r="X15" s="26">
        <f t="shared" ref="X15:X24" si="11"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90698.8219277738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2">$C$16*(1+$C$17+$C$18+$C$19+$C$20)+($C$21+$C$22)</f>
        <v>2586.086</v>
      </c>
      <c r="T16" s="78">
        <f t="shared" ref="T16:T24" si="13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4">1+$G$22*($I$22-1)</f>
        <v>2.3615</v>
      </c>
      <c r="W16" s="80">
        <f t="shared" ref="W16:W24" si="15">IF(R16=$C$1,$K$16+$K$17,$K$16)</f>
        <v>0.25</v>
      </c>
      <c r="X16" s="79">
        <f t="shared" si="11"/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19069.1032178336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2"/>
        <v>2586.086</v>
      </c>
      <c r="T17" s="84">
        <f t="shared" si="13"/>
        <v>1.68544755970924</v>
      </c>
      <c r="U17" s="84">
        <f>IF(R17=$C$13,SUM($E$16:$E$21),SUM($E$16:$E$20))-12%</f>
        <v>1.41</v>
      </c>
      <c r="V17" s="85">
        <f t="shared" si="14"/>
        <v>2.3615</v>
      </c>
      <c r="W17" s="86">
        <f t="shared" si="15"/>
        <v>0.25</v>
      </c>
      <c r="X17" s="85">
        <f t="shared" si="11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74206.6347640605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2"/>
        <v>2586.086</v>
      </c>
      <c r="T18" s="84">
        <f t="shared" si="13"/>
        <v>1.68544755970924</v>
      </c>
      <c r="U18" s="84">
        <f>IF(R18=$C$13,SUM($E$16:$E$21),SUM($E$16:$E$20))-6%</f>
        <v>1.47</v>
      </c>
      <c r="V18" s="85">
        <f t="shared" si="14"/>
        <v>2.3615</v>
      </c>
      <c r="W18" s="86">
        <f t="shared" si="15"/>
        <v>0.25</v>
      </c>
      <c r="X18" s="85">
        <f t="shared" si="11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24223.7707784049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2"/>
        <v>2586.086</v>
      </c>
      <c r="T19" s="84">
        <f t="shared" si="13"/>
        <v>1.68544755970924</v>
      </c>
      <c r="U19" s="84">
        <f t="shared" ref="U19:U24" si="18">IF(R19=$C$13,SUM($E$16:$E$21),SUM($E$16:$E$20))</f>
        <v>1.976</v>
      </c>
      <c r="V19" s="85">
        <f t="shared" si="14"/>
        <v>2.3615</v>
      </c>
      <c r="W19" s="86">
        <f t="shared" si="15"/>
        <v>0.25</v>
      </c>
      <c r="X19" s="85">
        <f t="shared" si="11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58194.349255567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2"/>
        <v>2586.086</v>
      </c>
      <c r="T20" s="84">
        <f t="shared" si="13"/>
        <v>1.68544755970924</v>
      </c>
      <c r="U20" s="84">
        <f t="shared" si="18"/>
        <v>1.976</v>
      </c>
      <c r="V20" s="85">
        <f t="shared" si="14"/>
        <v>2.3615</v>
      </c>
      <c r="W20" s="86">
        <f t="shared" si="15"/>
        <v>0.25</v>
      </c>
      <c r="X20" s="85">
        <f t="shared" si="11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32220.7895295061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2"/>
        <v>2586.086</v>
      </c>
      <c r="T21" s="84">
        <f t="shared" si="13"/>
        <v>1.68544755970924</v>
      </c>
      <c r="U21" s="84">
        <f t="shared" si="18"/>
        <v>1.976</v>
      </c>
      <c r="V21" s="85">
        <f t="shared" si="14"/>
        <v>2.3615</v>
      </c>
      <c r="W21" s="86">
        <f t="shared" si="15"/>
        <v>0.25</v>
      </c>
      <c r="X21" s="85">
        <f t="shared" si="11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127450.191925685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2"/>
        <v>2586.086</v>
      </c>
      <c r="T22" s="84">
        <f t="shared" si="13"/>
        <v>1.68544755970924</v>
      </c>
      <c r="U22" s="84">
        <f t="shared" si="18"/>
        <v>1.53</v>
      </c>
      <c r="V22" s="85">
        <f t="shared" si="14"/>
        <v>2.3615</v>
      </c>
      <c r="W22" s="86">
        <f t="shared" si="15"/>
        <v>0.25</v>
      </c>
      <c r="X22" s="85">
        <f t="shared" si="11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20714.9787732887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2"/>
        <v>2586.086</v>
      </c>
      <c r="T23" s="84">
        <f t="shared" si="13"/>
        <v>1.68544755970924</v>
      </c>
      <c r="U23" s="84">
        <f t="shared" si="18"/>
        <v>1.53</v>
      </c>
      <c r="V23" s="85">
        <f t="shared" si="14"/>
        <v>2.3615</v>
      </c>
      <c r="W23" s="86">
        <f t="shared" si="15"/>
        <v>0.25</v>
      </c>
      <c r="X23" s="85">
        <f t="shared" si="11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8905.07212332934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2"/>
        <v>2586.086</v>
      </c>
      <c r="T24" s="91">
        <f t="shared" si="13"/>
        <v>1.68544755970924</v>
      </c>
      <c r="U24" s="91">
        <f t="shared" si="18"/>
        <v>1.53</v>
      </c>
      <c r="V24" s="92">
        <f t="shared" si="14"/>
        <v>2.3615</v>
      </c>
      <c r="W24" s="93">
        <f t="shared" si="15"/>
        <v>0.25</v>
      </c>
      <c r="X24" s="92">
        <f t="shared" si="11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24364.2773294291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</f>
        <v>0.88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141048.185089974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0.88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3254.3501275887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0.88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4467.8910154444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0.88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2552.89717588052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0.88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5632.80681879597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1.052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78668.7390581741</v>
      </c>
    </row>
    <row r="37" s="1" customFormat="1" ht="1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/>
      <c r="J37"/>
      <c r="N37" s="53"/>
      <c r="O37" s="129">
        <v>1</v>
      </c>
      <c r="P37" s="114" t="s">
        <v>122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0.88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4147.73575608549</v>
      </c>
    </row>
    <row r="38" s="1" customFormat="1" ht="15" spans="1:29">
      <c r="B38" s="4" t="s">
        <v>3</v>
      </c>
      <c r="C38" s="130">
        <f>SUM(AC3:AC15)</f>
        <v>1518450.00189127</v>
      </c>
      <c r="D38" s="130">
        <f t="shared" ref="D38:D41" si="31">C38/$E$38</f>
        <v>60738.0000756509</v>
      </c>
      <c r="E38" s="131">
        <v>25</v>
      </c>
      <c r="F38" s="132">
        <f t="shared" ref="F38:F41" si="32">C38/$C$43</f>
        <v>0.707054367089852</v>
      </c>
      <c r="G38" s="2"/>
      <c r="I38"/>
      <c r="J38"/>
      <c r="Q38" s="2"/>
      <c r="U38" s="2"/>
      <c r="V38" s="3"/>
      <c r="AB38" s="4"/>
      <c r="AC38" s="4"/>
    </row>
    <row r="39" s="1" customFormat="1" ht="15" spans="1:29">
      <c r="B39" s="4" t="s">
        <v>66</v>
      </c>
      <c r="C39" s="130">
        <f>SUM(AC16:AC24)</f>
        <v>389349.167697104</v>
      </c>
      <c r="D39" s="130">
        <f t="shared" si="31"/>
        <v>15573.9667078842</v>
      </c>
      <c r="E39" s="133"/>
      <c r="F39" s="132">
        <f t="shared" si="32"/>
        <v>0.181297394711814</v>
      </c>
      <c r="G39" s="2"/>
      <c r="I39"/>
      <c r="J39"/>
      <c r="Q39" s="2"/>
      <c r="U39" s="2"/>
      <c r="V39" s="3"/>
      <c r="AB39" s="4"/>
      <c r="AC39" s="4"/>
    </row>
    <row r="40" s="1" customFormat="1" ht="15" spans="1:29">
      <c r="B40" s="4" t="s">
        <v>85</v>
      </c>
      <c r="C40" s="130">
        <f>SUM(AC32:AC37)+AC29</f>
        <v>98724.4199519691</v>
      </c>
      <c r="D40" s="130">
        <f t="shared" si="31"/>
        <v>3948.97679807877</v>
      </c>
      <c r="E40" s="134"/>
      <c r="F40" s="132">
        <f t="shared" si="32"/>
        <v>0.0459702539948698</v>
      </c>
      <c r="G40" s="2"/>
      <c r="I40"/>
      <c r="J40"/>
      <c r="Q40" s="2"/>
      <c r="U40" s="2"/>
      <c r="V40" s="3"/>
      <c r="AB40" s="4"/>
      <c r="AC40" s="4"/>
    </row>
    <row r="41" s="1" customFormat="1" ht="15" spans="1:29">
      <c r="B41" s="4" t="s">
        <v>104</v>
      </c>
      <c r="C41" s="130">
        <f>AC30</f>
        <v>141048.185089974</v>
      </c>
      <c r="D41" s="130">
        <f t="shared" si="31"/>
        <v>5641.92740359897</v>
      </c>
      <c r="E41" s="134"/>
      <c r="F41" s="132">
        <f t="shared" si="32"/>
        <v>0.0656779842034635</v>
      </c>
      <c r="G41" s="2"/>
      <c r="I41"/>
      <c r="J41"/>
      <c r="Q41" s="2"/>
      <c r="U41" s="2"/>
      <c r="V41" s="3"/>
      <c r="AB41" s="4"/>
      <c r="AC41" s="4"/>
    </row>
    <row r="42" s="1" customFormat="1" ht="15" spans="1:29">
      <c r="B42" s="4"/>
      <c r="C42" s="130"/>
      <c r="D42" s="130"/>
      <c r="E42" s="134"/>
      <c r="F42" s="132"/>
      <c r="G42" s="2"/>
      <c r="Q42" s="2"/>
      <c r="U42" s="2"/>
      <c r="V42" s="3"/>
      <c r="AB42" s="4"/>
      <c r="AC42" s="4"/>
    </row>
    <row r="43" s="1" customFormat="1" ht="15" spans="1:29">
      <c r="B43" s="4" t="s">
        <v>123</v>
      </c>
      <c r="C43" s="135">
        <f>SUM(C38:C41)</f>
        <v>2147571.77463032</v>
      </c>
      <c r="D43" s="135">
        <f>C43/E38</f>
        <v>85902.8709852128</v>
      </c>
      <c r="E43" s="136"/>
      <c r="F43" s="137"/>
      <c r="G43" s="2"/>
      <c r="Q43" s="2"/>
      <c r="U43" s="2"/>
      <c r="V43" s="3"/>
      <c r="AB43" s="4"/>
      <c r="AC43" s="4"/>
    </row>
    <row r="44" s="1" customFormat="1" ht="15" spans="1:29">
      <c r="B44" s="4"/>
      <c r="C44" s="4"/>
      <c r="D44" s="4"/>
      <c r="G44" s="138"/>
      <c r="Q44" s="2"/>
      <c r="U44" s="2"/>
      <c r="V44" s="3"/>
      <c r="AB44" s="4"/>
      <c r="AC44" s="4"/>
    </row>
    <row r="45" s="1" customFormat="1" ht="15" spans="1:29">
      <c r="B45" s="139" t="s">
        <v>124</v>
      </c>
      <c r="C45" s="140"/>
      <c r="D45" s="140"/>
      <c r="E45" s="140"/>
      <c r="F45" s="141"/>
      <c r="G45" s="2"/>
      <c r="Q45" s="2"/>
      <c r="U45" s="2"/>
      <c r="V45" s="3"/>
      <c r="AB45" s="4"/>
      <c r="AC45" s="4"/>
    </row>
    <row r="46" s="1" customFormat="1" ht="15" spans="1:29">
      <c r="B46" s="142"/>
      <c r="C46" s="143"/>
      <c r="D46" s="143"/>
      <c r="E46" s="143"/>
      <c r="F46" s="144"/>
      <c r="G46" s="2"/>
      <c r="Q46" s="2"/>
      <c r="U46" s="2"/>
      <c r="V46" s="3"/>
      <c r="AB46" s="4"/>
      <c r="AC46" s="4"/>
    </row>
    <row r="47" s="1" customFormat="1" spans="1:29">
      <c r="B47" s="145"/>
      <c r="C47" s="145"/>
      <c r="D47" s="145"/>
      <c r="E47" s="145"/>
      <c r="F47" s="145"/>
      <c r="Q47" s="2"/>
      <c r="U47" s="2"/>
      <c r="V47" s="3"/>
      <c r="AB47" s="4"/>
      <c r="AC47" s="4"/>
    </row>
    <row r="48" s="1" customFormat="1" ht="15" spans="1:29">
      <c r="B48" s="146" t="s">
        <v>125</v>
      </c>
      <c r="C48" s="147" t="s">
        <v>3</v>
      </c>
      <c r="D48" s="147" t="s">
        <v>126</v>
      </c>
      <c r="E48" s="76"/>
      <c r="F48" s="148"/>
      <c r="G48" s="2"/>
      <c r="Q48" s="2"/>
      <c r="U48" s="2"/>
      <c r="V48" s="3"/>
      <c r="AB48" s="4"/>
      <c r="AC48" s="4"/>
    </row>
    <row r="49" s="1" customFormat="1" ht="15" spans="2:29">
      <c r="B49" s="149"/>
      <c r="C49" s="134" t="s">
        <v>66</v>
      </c>
      <c r="D49" s="134" t="s">
        <v>127</v>
      </c>
      <c r="F49" s="150"/>
      <c r="G49" s="2"/>
      <c r="Q49" s="2"/>
      <c r="U49" s="2"/>
      <c r="V49" s="3"/>
      <c r="AB49" s="4"/>
      <c r="AC49" s="4"/>
    </row>
    <row r="50" s="1" customFormat="1" ht="15" spans="2:29">
      <c r="B50" s="151"/>
      <c r="C50" s="152" t="s">
        <v>128</v>
      </c>
      <c r="D50" s="152" t="s">
        <v>129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2026-03-15T18:55:07Z</dcterms:created>
  <dcterms:modified xsi:type="dcterms:W3CDTF">2026-03-15T18:55:51Z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83E1BDFE66B440F1B65097E046F8E7BC_11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