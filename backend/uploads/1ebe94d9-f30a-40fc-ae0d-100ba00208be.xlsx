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70" windowHeight="10780" firstSheet="1" activeTab="6"/>
  </bookViews>
  <sheets>
    <sheet name="陆琳莫" sheetId="1" r:id="rId1"/>
    <sheet name="陆琳守" sheetId="2" r:id="rId2"/>
    <sheet name="陆散莫" sheetId="3" r:id="rId3"/>
    <sheet name="陆散守" sheetId="4" r:id="rId4"/>
    <sheet name="陆散维" sheetId="5" r:id="rId5"/>
    <sheet name="00" sheetId="7" r:id="rId6"/>
    <sheet name="共鸣链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<sst xmlns="http://schemas.openxmlformats.org/spreadsheetml/2006/main" count="1736" uniqueCount="147">
  <si>
    <t>角色主类型</t>
  </si>
  <si>
    <t>a</t>
  </si>
  <si>
    <t>3C属伤数</t>
  </si>
  <si>
    <t>陆赫斯</t>
  </si>
  <si>
    <t>次数</t>
  </si>
  <si>
    <t>动作</t>
  </si>
  <si>
    <t>倍率</t>
  </si>
  <si>
    <t>类型</t>
  </si>
  <si>
    <t>面板攻击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</si>
  <si>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</si>
  <si>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</si>
  <si>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</si>
  <si>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</si>
  <si>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</si>
  <si>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</si>
  <si>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</si>
  <si>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</si>
  <si>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</si>
  <si>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</si>
  <si>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无视防御</t>
  </si>
  <si>
    <t>减防</t>
  </si>
  <si>
    <t>怪物等级</t>
  </si>
  <si>
    <t>攻击</t>
  </si>
  <si>
    <t>暴击</t>
  </si>
  <si>
    <t>暴击伤害</t>
  </si>
  <si>
    <t>副词条</t>
  </si>
  <si>
    <t>q</t>
  </si>
  <si>
    <t>白值</t>
  </si>
  <si>
    <t>3C声骸</t>
  </si>
  <si>
    <t>基础与固有</t>
  </si>
  <si>
    <t>全加深</t>
  </si>
  <si>
    <t>大攻击</t>
  </si>
  <si>
    <t>变奏</t>
  </si>
  <si>
    <t>bz</t>
  </si>
  <si>
    <t>固有武器</t>
  </si>
  <si>
    <t>套装首位</t>
  </si>
  <si>
    <t>武器</t>
  </si>
  <si>
    <t>a加深</t>
  </si>
  <si>
    <t>a伤害</t>
  </si>
  <si>
    <t>a1</t>
  </si>
  <si>
    <t>主副词条</t>
  </si>
  <si>
    <t>自拐属伤</t>
  </si>
  <si>
    <t>套装</t>
  </si>
  <si>
    <t>镰刀·裁断a2</t>
  </si>
  <si>
    <t xml:space="preserve">自拐攻击 </t>
  </si>
  <si>
    <t>被拐属伤</t>
  </si>
  <si>
    <t>爆伤</t>
  </si>
  <si>
    <t>镰刀·裁断a3</t>
  </si>
  <si>
    <t>被拐攻击</t>
  </si>
  <si>
    <t>其他属伤</t>
  </si>
  <si>
    <t>共鸣链</t>
  </si>
  <si>
    <t>固有</t>
  </si>
  <si>
    <t>流金贯行</t>
  </si>
  <si>
    <t>声骸固定攻击</t>
  </si>
  <si>
    <t>a加成</t>
  </si>
  <si>
    <t>队友</t>
  </si>
  <si>
    <t>斩杀日冕·环</t>
  </si>
  <si>
    <t>额外固定攻击</t>
  </si>
  <si>
    <t>面板暴击率</t>
  </si>
  <si>
    <t>面板暴击伤害</t>
  </si>
  <si>
    <t>斩杀日冕·破</t>
  </si>
  <si>
    <t>溢出暴击</t>
  </si>
  <si>
    <t>斩杀日冕·曜</t>
  </si>
  <si>
    <t>判决大地裂响</t>
  </si>
  <si>
    <t>日髓阵列</t>
  </si>
  <si>
    <t>物理</t>
  </si>
  <si>
    <t>琳奈</t>
  </si>
  <si>
    <t>于永冻中释义</t>
  </si>
  <si>
    <t>热熔</t>
  </si>
  <si>
    <t>延奏</t>
  </si>
  <si>
    <t>yz</t>
  </si>
  <si>
    <t>衍射</t>
  </si>
  <si>
    <t>主类型加深</t>
  </si>
  <si>
    <t>普攻伤害</t>
  </si>
  <si>
    <t>爆炸喷涂</t>
  </si>
  <si>
    <t>r</t>
  </si>
  <si>
    <t>集谐</t>
  </si>
  <si>
    <t>琳奈式创想</t>
  </si>
  <si>
    <t>e</t>
  </si>
  <si>
    <t>灵感碰撞</t>
  </si>
  <si>
    <t>幻光折跃*3</t>
  </si>
  <si>
    <t>视觉冲击</t>
  </si>
  <si>
    <t>加色混合</t>
  </si>
  <si>
    <t>有空一起兜风！</t>
  </si>
  <si>
    <t>海维夏</t>
  </si>
  <si>
    <t>10莫宁</t>
  </si>
  <si>
    <t>防御</t>
  </si>
  <si>
    <t>3防2暴3爆伤2共解</t>
  </si>
  <si>
    <t>光翼共奏</t>
  </si>
  <si>
    <t>震谐</t>
  </si>
  <si>
    <t>基础</t>
  </si>
  <si>
    <t>爱弥斯震谐</t>
  </si>
  <si>
    <t>固有和武器</t>
  </si>
  <si>
    <t>首位加成</t>
  </si>
  <si>
    <t>声骸</t>
  </si>
  <si>
    <t>声骸加深</t>
  </si>
  <si>
    <t>琳奈震谐</t>
  </si>
  <si>
    <t>声骸和词条</t>
  </si>
  <si>
    <t>套装效果</t>
  </si>
  <si>
    <t>仇远</t>
  </si>
  <si>
    <t>共技加深</t>
  </si>
  <si>
    <t>莫宁震谐</t>
  </si>
  <si>
    <t>其他buff</t>
  </si>
  <si>
    <t>共解</t>
  </si>
  <si>
    <t>谐度破坏</t>
  </si>
  <si>
    <t>谐破</t>
  </si>
  <si>
    <t>队友buff</t>
  </si>
  <si>
    <t>武器效果</t>
  </si>
  <si>
    <t>守岸人</t>
  </si>
  <si>
    <t>归敛</t>
  </si>
  <si>
    <t>r加成</t>
  </si>
  <si>
    <t>aaa</t>
  </si>
  <si>
    <t xml:space="preserve">                                                                             </t>
  </si>
  <si>
    <t>分布式阵列</t>
  </si>
  <si>
    <t>声骸技</t>
  </si>
  <si>
    <t>20抗100级怪</t>
  </si>
  <si>
    <t>临界协议</t>
  </si>
  <si>
    <t>两轮三破</t>
  </si>
  <si>
    <t>总伤</t>
  </si>
  <si>
    <t>dps</t>
  </si>
  <si>
    <t>秒数</t>
  </si>
  <si>
    <t>占比</t>
  </si>
  <si>
    <t>陆琳莫</t>
  </si>
  <si>
    <t>回路1</t>
  </si>
  <si>
    <t>一集谐</t>
  </si>
  <si>
    <t>二集谐</t>
  </si>
  <si>
    <t>三集谐</t>
  </si>
  <si>
    <t>四集谐</t>
  </si>
  <si>
    <t>合计</t>
  </si>
  <si>
    <t>掉buff统计</t>
  </si>
  <si>
    <t>词条奖惩</t>
  </si>
  <si>
    <t>14词</t>
  </si>
  <si>
    <t>13词</t>
  </si>
  <si>
    <t>莫宁</t>
  </si>
  <si>
    <t>10词</t>
  </si>
  <si>
    <t>陆琳守</t>
  </si>
  <si>
    <t>散华</t>
  </si>
  <si>
    <t>陆散莫</t>
  </si>
  <si>
    <t>陆散守</t>
  </si>
  <si>
    <t>陆散维</t>
  </si>
  <si>
    <t>谐振5 专武</t>
  </si>
  <si>
    <t>谐振1 专武</t>
  </si>
  <si>
    <t>谐振1 脉冲协臂</t>
  </si>
  <si>
    <t>谐振5 脉冲协臂</t>
  </si>
  <si>
    <t>全队dps</t>
  </si>
  <si>
    <t>全队dps提升</t>
  </si>
  <si>
    <t>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</si>
</sst>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30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1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19" applyNumberFormat="0" applyAlignment="0" applyProtection="0">
      <alignment vertical="center"/>
    </xf>
    <xf numFmtId="0" fontId="20" fillId="15" borderId="20" applyNumberFormat="0" applyAlignment="0" applyProtection="0">
      <alignment vertical="center"/>
    </xf>
    <xf numFmtId="0" fontId="21" fillId="15" borderId="19" applyNumberFormat="0" applyAlignment="0" applyProtection="0">
      <alignment vertical="center"/>
    </xf>
    <xf numFmtId="0" fontId="22" fillId="16" borderId="21" applyNumberFormat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0" fontId="2" fillId="0" borderId="4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4" fillId="5" borderId="4" xfId="0" applyNumberFormat="1" applyFon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9" fontId="3" fillId="0" borderId="2" xfId="0" applyNumberFormat="1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0" fontId="0" fillId="6" borderId="7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Fill="1" applyBorder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179" fontId="0" fillId="0" borderId="8" xfId="0" applyNumberFormat="1" applyFill="1" applyBorder="1" applyAlignment="1">
      <alignment horizontal="center" vertical="center"/>
    </xf>
    <xf numFmtId="9" fontId="0" fillId="0" borderId="8" xfId="0" applyNumberFormat="1" applyFont="1" applyFill="1" applyBorder="1" applyAlignment="1" applyProtection="1">
      <alignment horizontal="center" vertical="center"/>
    </xf>
    <xf numFmtId="9" fontId="5" fillId="0" borderId="8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9" fontId="0" fillId="0" borderId="10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0" fontId="0" fillId="0" borderId="6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0" fontId="0" fillId="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0" fontId="0" fillId="6" borderId="9" xfId="0" applyNumberForma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77" fontId="3" fillId="0" borderId="12" xfId="0" applyNumberFormat="1" applyFont="1" applyFill="1" applyBorder="1" applyAlignment="1">
      <alignment horizontal="center" vertical="center"/>
    </xf>
    <xf numFmtId="10" fontId="3" fillId="0" borderId="12" xfId="0" applyNumberFormat="1" applyFont="1" applyFill="1" applyBorder="1" applyAlignment="1">
      <alignment horizontal="center" vertical="center"/>
    </xf>
    <xf numFmtId="178" fontId="3" fillId="0" borderId="13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 applyProtection="1">
      <alignment horizontal="center" vertical="center"/>
    </xf>
    <xf numFmtId="9" fontId="3" fillId="0" borderId="12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177" fontId="2" fillId="9" borderId="6" xfId="0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177" fontId="4" fillId="9" borderId="4" xfId="0" applyNumberFormat="1" applyFon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77" fontId="0" fillId="0" borderId="12" xfId="0" applyNumberFormat="1" applyFill="1" applyBorder="1" applyAlignment="1">
      <alignment horizontal="center" vertical="center"/>
    </xf>
    <xf numFmtId="10" fontId="0" fillId="0" borderId="12" xfId="0" applyNumberFormat="1" applyFill="1" applyBorder="1" applyAlignment="1">
      <alignment horizontal="center" vertical="center"/>
    </xf>
    <xf numFmtId="178" fontId="0" fillId="0" borderId="12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 applyAlignment="1" applyProtection="1">
      <alignment horizontal="center" vertical="center"/>
    </xf>
    <xf numFmtId="9" fontId="0" fillId="0" borderId="12" xfId="0" applyNumberFormat="1" applyFill="1" applyBorder="1" applyAlignment="1">
      <alignment horizontal="center" vertical="center"/>
    </xf>
    <xf numFmtId="0" fontId="5" fillId="0" borderId="0" xfId="0" applyFont="1" applyFill="1" applyAlignment="1"/>
    <xf numFmtId="0" fontId="6" fillId="1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77" fontId="4" fillId="5" borderId="3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10" fontId="5" fillId="0" borderId="8" xfId="0" applyNumberFormat="1" applyFont="1" applyFill="1" applyBorder="1" applyAlignment="1">
      <alignment horizontal="center" vertical="center"/>
    </xf>
    <xf numFmtId="9" fontId="5" fillId="0" borderId="7" xfId="0" applyNumberFormat="1" applyFont="1" applyFill="1" applyBorder="1" applyAlignment="1">
      <alignment horizontal="center" vertical="center"/>
    </xf>
    <xf numFmtId="177" fontId="4" fillId="5" borderId="8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Alignment="1"/>
    <xf numFmtId="10" fontId="5" fillId="0" borderId="7" xfId="0" applyNumberFormat="1" applyFont="1" applyFill="1" applyBorder="1" applyAlignment="1">
      <alignment horizontal="center" vertical="center"/>
    </xf>
    <xf numFmtId="179" fontId="5" fillId="0" borderId="8" xfId="0" applyNumberFormat="1" applyFont="1" applyFill="1" applyBorder="1" applyAlignment="1">
      <alignment horizontal="center" vertical="center"/>
    </xf>
    <xf numFmtId="177" fontId="4" fillId="5" borderId="10" xfId="0" applyNumberFormat="1" applyFont="1" applyFill="1" applyBorder="1" applyAlignment="1">
      <alignment horizontal="center" vertical="center"/>
    </xf>
    <xf numFmtId="9" fontId="5" fillId="0" borderId="0" xfId="0" applyNumberFormat="1" applyFont="1" applyFill="1" applyAlignment="1"/>
    <xf numFmtId="0" fontId="5" fillId="0" borderId="8" xfId="0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10" fontId="5" fillId="7" borderId="8" xfId="0" applyNumberFormat="1" applyFont="1" applyFill="1" applyBorder="1" applyAlignment="1">
      <alignment horizontal="center" vertical="center"/>
    </xf>
    <xf numFmtId="9" fontId="5" fillId="7" borderId="8" xfId="0" applyNumberFormat="1" applyFont="1" applyFill="1" applyBorder="1" applyAlignment="1">
      <alignment horizontal="center" vertical="center"/>
    </xf>
    <xf numFmtId="177" fontId="2" fillId="6" borderId="4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9" fontId="5" fillId="0" borderId="10" xfId="0" applyNumberFormat="1" applyFont="1" applyFill="1" applyBorder="1" applyAlignment="1">
      <alignment horizontal="center" vertical="center"/>
    </xf>
    <xf numFmtId="10" fontId="5" fillId="0" borderId="10" xfId="0" applyNumberFormat="1" applyFont="1" applyFill="1" applyBorder="1" applyAlignment="1">
      <alignment horizontal="center" vertical="center"/>
    </xf>
    <xf numFmtId="10" fontId="5" fillId="0" borderId="9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0" fillId="11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0" fontId="7" fillId="0" borderId="0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Alignment="1">
      <alignment vertical="center" wrapText="1"/>
    </xf>
    <xf numFmtId="177" fontId="7" fillId="9" borderId="1" xfId="0" applyNumberFormat="1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177" fontId="7" fillId="9" borderId="9" xfId="0" applyNumberFormat="1" applyFont="1" applyFill="1" applyBorder="1" applyAlignment="1">
      <alignment horizontal="center" vertical="center"/>
    </xf>
    <xf numFmtId="177" fontId="7" fillId="0" borderId="12" xfId="0" applyNumberFormat="1" applyFont="1" applyFill="1" applyBorder="1" applyAlignment="1">
      <alignment horizontal="center" vertical="center" wrapText="1"/>
    </xf>
    <xf numFmtId="177" fontId="7" fillId="0" borderId="10" xfId="0" applyNumberFormat="1" applyFont="1" applyFill="1" applyBorder="1" applyAlignment="1">
      <alignment horizontal="center" vertical="center" wrapText="1"/>
    </xf>
    <xf numFmtId="0" fontId="0" fillId="0" borderId="0" xfId="0" applyFill="1" applyAlignment="1"/>
    <xf numFmtId="0" fontId="7" fillId="8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177" fontId="0" fillId="0" borderId="8" xfId="0" applyNumberForma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10" fontId="2" fillId="12" borderId="0" xfId="0" applyNumberFormat="1" applyFont="1" applyFill="1" applyAlignment="1">
      <alignment horizontal="center" vertical="center"/>
    </xf>
    <xf numFmtId="178" fontId="3" fillId="0" borderId="12" xfId="0" applyNumberFormat="1" applyFont="1" applyFill="1" applyBorder="1" applyAlignment="1">
      <alignment horizontal="center" vertical="center"/>
    </xf>
    <xf numFmtId="0" fontId="7" fillId="12" borderId="0" xfId="0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陆赫斯专武及下位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100000">
                  <a:schemeClr val="accent1">
                    <a:lumMod val="75000"/>
                    <a:alpha val="50000"/>
                  </a:schemeClr>
                </a:gs>
                <a:gs pos="0">
                  <a:schemeClr val="accent1">
                    <a:lumMod val="7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'00'!$H$46:$H$49</c:f>
              <c:strCache>
                <c:ptCount val="4"/>
                <c:pt idx="0">
                  <c:v>谐振5 专武</c:v>
                </c:pt>
                <c:pt idx="1">
                  <c:v>谐振1 专武</c:v>
                </c:pt>
                <c:pt idx="2">
                  <c:v>谐振1 脉冲协臂</c:v>
                </c:pt>
                <c:pt idx="3">
                  <c:v>谐振5 脉冲协臂</c:v>
                </c:pt>
              </c:strCache>
            </c:strRef>
          </c:cat>
          <c:val>
            <c:numRef>
              <c:f>'00'!$I$46:$I$49</c:f>
              <c:numCache>
                <c:formatCode>0.00%</c:formatCode>
                <c:ptCount val="4"/>
                <c:pt idx="0">
                  <c:v>1.26692496905194</c:v>
                </c:pt>
                <c:pt idx="1">
                  <c:v>1</c:v>
                </c:pt>
                <c:pt idx="2">
                  <c:v>0.864632401408338</c:v>
                </c:pt>
                <c:pt idx="3">
                  <c:v>0.952155110046462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100"/>
        <c:axId val="683675959"/>
        <c:axId val="271140961"/>
      </c:barChart>
      <c:catAx>
        <c:axId val="683675959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3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1140961"/>
        <c:crosses val="autoZero"/>
        <c:auto val="1"/>
        <c:lblAlgn val="ctr"/>
        <c:lblOffset val="100"/>
        <c:noMultiLvlLbl val="0"/>
      </c:catAx>
      <c:valAx>
        <c:axId val="27114096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3675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4478533-3245-4292-8faa-640b39e71c95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806450</xdr:colOff>
      <xdr:row>33</xdr:row>
      <xdr:rowOff>127000</xdr:rowOff>
    </xdr:from>
    <xdr:to>
      <xdr:col>10</xdr:col>
      <xdr:colOff>241300</xdr:colOff>
      <xdr:row>47</xdr:row>
      <xdr:rowOff>57150</xdr:rowOff>
    </xdr:to>
    <xdr:graphicFrame>
      <xdr:nvGraphicFramePr>
        <xdr:cNvPr id="2" name="图表 1" descr="7b0a202020202263686172745265734964223a20223230343736333439220a7d0a"/>
        <xdr:cNvGraphicFramePr/>
      </xdr:nvGraphicFramePr>
      <xdr:xfrm>
        <a:off x="3454400" y="6388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多彩-03">
    <a:dk1>
      <a:srgbClr val="000000"/>
    </a:dk1>
    <a:lt1>
      <a:srgbClr val="FFFFFF"/>
    </a:lt1>
    <a:dk2>
      <a:srgbClr val="000000"/>
    </a:dk2>
    <a:lt2>
      <a:srgbClr val="FEFFFF"/>
    </a:lt2>
    <a:accent1>
      <a:srgbClr val="6EC62E"/>
    </a:accent1>
    <a:accent2>
      <a:srgbClr val="FC9D3D"/>
    </a:accent2>
    <a:accent3>
      <a:srgbClr val="FC7299"/>
    </a:accent3>
    <a:accent4>
      <a:srgbClr val="4E81FF"/>
    </a:accent4>
    <a:accent5>
      <a:srgbClr val="FA5F5F"/>
    </a:accent5>
    <a:accent6>
      <a:srgbClr val="AC6DFF"/>
    </a:accent6>
    <a:hlink>
      <a:srgbClr val="304FFE"/>
    </a:hlink>
    <a:folHlink>
      <a:srgbClr val="00A3F4"/>
    </a:folHlink>
  </a:clrScheme>
  <a:fontScheme name="微软雅黑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A25" workbookViewId="0">
      <selection activeCell="A25" sqref="$A1:$XFD1048576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9.36363636363636" style="1" customWidth="1"/>
    <col min="10" max="10" width="8.09090909090909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0</v>
      </c>
      <c r="C1" s="5" t="s">
        <v>1</v>
      </c>
      <c r="D1" s="6" t="s">
        <v>2</v>
      </c>
      <c r="E1" s="6">
        <v>1</v>
      </c>
      <c r="Q1" s="2"/>
      <c r="U1" s="2"/>
      <c r="V1" s="3"/>
      <c r="AB1" s="4"/>
      <c r="AC1" s="4"/>
    </row>
    <row r="2" s="1" customFormat="1" ht="1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0" t="s">
        <v>5</v>
      </c>
      <c r="Q2" s="11" t="s">
        <v>6</v>
      </c>
      <c r="R2" s="10" t="s">
        <v>7</v>
      </c>
      <c r="S2" s="10" t="s">
        <v>8</v>
      </c>
      <c r="T2" s="10" t="s">
        <v>9</v>
      </c>
      <c r="U2" s="11" t="s">
        <v>10</v>
      </c>
      <c r="V2" s="12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3" t="s">
        <v>17</v>
      </c>
      <c r="AC2" s="13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18">
        <v>1</v>
      </c>
      <c r="P3" s="19" t="s">
        <v>26</v>
      </c>
      <c r="Q3" s="20">
        <v>1.6102</v>
      </c>
      <c r="R3" s="21" t="s">
        <v>26</v>
      </c>
      <c r="S3" s="22">
        <f t="shared" ref="S3:S15" si="0">$C$4*(1+C$5+C$6+C$7+C$8)+C$9</f>
        <v>3365.6</v>
      </c>
      <c r="T3" s="23">
        <f t="shared" ref="T3:T15" si="1">S3/$C$4-1</f>
        <v>2.20533333333333</v>
      </c>
      <c r="U3" s="23">
        <f>IF(R3=$C$1,SUM($E$4:$E$9),SUM($E$4:$E$8))+60%</f>
        <v>2.6</v>
      </c>
      <c r="V3" s="24">
        <f t="shared" ref="V3:V15" si="2">1+$G$10*($I$10-1)</f>
        <v>2.3615</v>
      </c>
      <c r="W3" s="25">
        <f t="shared" ref="W3:W14" si="3">IF(R3=$C$1,$K$4+$K$5,$K$4)</f>
        <v>0.65</v>
      </c>
      <c r="X3" s="26">
        <f>$AF$3</f>
        <v>0.488431876606684</v>
      </c>
      <c r="Y3" s="21">
        <f t="shared" ref="Y3:Y7" si="4">$AF$14</f>
        <v>0.8</v>
      </c>
      <c r="Z3" s="27">
        <v>0</v>
      </c>
      <c r="AA3" s="27">
        <v>0</v>
      </c>
      <c r="AB3" s="28">
        <f t="shared" ref="AB3:AB24" si="5">$AF$17</f>
        <v>0.18</v>
      </c>
      <c r="AC3" s="19">
        <f t="shared" ref="AC3:AC15" si="6">Q3*$C$4*(1+T3)*(1+U3)*V3*(1+W3)*X3*Y3*(1+Z3)*(1+AA3)*(1+AB3)*O3</f>
        <v>35050.3783363443</v>
      </c>
      <c r="AD3" s="14">
        <v>0</v>
      </c>
      <c r="AE3" s="14">
        <v>0</v>
      </c>
      <c r="AF3" s="15">
        <f t="shared" ref="AF3:AF8" si="7">1520/(1520+(792+8*AG3)*(1-AE3/100))</f>
        <v>0.488431876606684</v>
      </c>
      <c r="AG3" s="29">
        <v>100</v>
      </c>
    </row>
    <row r="4" s="1" customFormat="1" ht="15" spans="2:33">
      <c r="B4" s="30" t="s">
        <v>27</v>
      </c>
      <c r="C4" s="31">
        <f>463+587</f>
        <v>1050</v>
      </c>
      <c r="D4" s="30" t="s">
        <v>28</v>
      </c>
      <c r="E4" s="32">
        <f>E1*30%</f>
        <v>0.3</v>
      </c>
      <c r="F4" s="30" t="s">
        <v>29</v>
      </c>
      <c r="G4" s="33">
        <v>0.13</v>
      </c>
      <c r="H4" s="30" t="s">
        <v>29</v>
      </c>
      <c r="I4" s="33">
        <v>1.5</v>
      </c>
      <c r="J4" s="34" t="s">
        <v>30</v>
      </c>
      <c r="K4" s="35">
        <f>15%+25%+25%</f>
        <v>0.65</v>
      </c>
      <c r="L4" s="30" t="s">
        <v>31</v>
      </c>
      <c r="M4" s="33">
        <f>8.6%*2</f>
        <v>0.172</v>
      </c>
      <c r="O4" s="36">
        <v>1</v>
      </c>
      <c r="P4" s="19" t="s">
        <v>32</v>
      </c>
      <c r="Q4" s="37">
        <f>72.67%*3</f>
        <v>2.1801</v>
      </c>
      <c r="R4" s="38" t="s">
        <v>33</v>
      </c>
      <c r="S4" s="39">
        <f t="shared" si="0"/>
        <v>3365.6</v>
      </c>
      <c r="T4" s="40">
        <f t="shared" si="1"/>
        <v>2.20533333333333</v>
      </c>
      <c r="U4" s="40">
        <f t="shared" ref="U4:U13" si="8">IF(R4=$C$1,SUM($E$4:$E$9),SUM($E$4:$E$8))</f>
        <v>2</v>
      </c>
      <c r="V4" s="24">
        <f t="shared" si="2"/>
        <v>2.3615</v>
      </c>
      <c r="W4" s="41">
        <f t="shared" si="3"/>
        <v>0.65</v>
      </c>
      <c r="X4" s="26">
        <f>$AF$3</f>
        <v>0.488431876606684</v>
      </c>
      <c r="Y4" s="38">
        <f t="shared" si="4"/>
        <v>0.8</v>
      </c>
      <c r="Z4" s="42">
        <v>0</v>
      </c>
      <c r="AA4" s="42">
        <v>0</v>
      </c>
      <c r="AB4" s="28">
        <f t="shared" si="5"/>
        <v>0.18</v>
      </c>
      <c r="AC4" s="19">
        <f t="shared" si="6"/>
        <v>39546.5003369479</v>
      </c>
      <c r="AD4" s="14">
        <v>10</v>
      </c>
      <c r="AE4" s="14">
        <v>0</v>
      </c>
      <c r="AF4" s="15">
        <f>1520/(1520+(792+8*AG4)*(1-AE4/100)*(1-AD4/100))</f>
        <v>0.514765646166351</v>
      </c>
      <c r="AG4" s="29">
        <v>100</v>
      </c>
    </row>
    <row r="5" s="1" customFormat="1" ht="15" spans="2:33">
      <c r="B5" s="30" t="s">
        <v>34</v>
      </c>
      <c r="C5" s="32">
        <f>12%+12%</f>
        <v>0.24</v>
      </c>
      <c r="D5" s="30" t="s">
        <v>35</v>
      </c>
      <c r="E5" s="32">
        <v>0.4</v>
      </c>
      <c r="F5" s="30" t="s">
        <v>36</v>
      </c>
      <c r="G5" s="33">
        <v>0.243</v>
      </c>
      <c r="H5" s="30" t="s">
        <v>36</v>
      </c>
      <c r="I5" s="33">
        <v>0</v>
      </c>
      <c r="J5" s="43" t="s">
        <v>37</v>
      </c>
      <c r="K5" s="35">
        <v>0.2</v>
      </c>
      <c r="L5" s="30" t="s">
        <v>38</v>
      </c>
      <c r="M5" s="33">
        <f>8.6%*2</f>
        <v>0.172</v>
      </c>
      <c r="O5" s="36">
        <v>2</v>
      </c>
      <c r="P5" s="19" t="s">
        <v>39</v>
      </c>
      <c r="Q5" s="37">
        <v>0.5746</v>
      </c>
      <c r="R5" s="38" t="s">
        <v>1</v>
      </c>
      <c r="S5" s="39">
        <f t="shared" si="0"/>
        <v>3365.6</v>
      </c>
      <c r="T5" s="40">
        <f t="shared" si="1"/>
        <v>2.20533333333333</v>
      </c>
      <c r="U5" s="40">
        <f t="shared" si="8"/>
        <v>2.292</v>
      </c>
      <c r="V5" s="24">
        <f t="shared" si="2"/>
        <v>2.3615</v>
      </c>
      <c r="W5" s="41">
        <f t="shared" si="3"/>
        <v>0.85</v>
      </c>
      <c r="X5" s="26">
        <f t="shared" ref="X3:X15" si="9">$AF$4</f>
        <v>0.514765646166351</v>
      </c>
      <c r="Y5" s="38">
        <f t="shared" si="4"/>
        <v>0.8</v>
      </c>
      <c r="Z5" s="42">
        <v>0</v>
      </c>
      <c r="AA5" s="42">
        <v>0</v>
      </c>
      <c r="AB5" s="28">
        <f t="shared" si="5"/>
        <v>0.18</v>
      </c>
      <c r="AC5" s="19">
        <f t="shared" si="6"/>
        <v>27030.8169312718</v>
      </c>
      <c r="AD5" s="14">
        <v>0</v>
      </c>
      <c r="AE5" s="14">
        <v>30</v>
      </c>
      <c r="AF5" s="15">
        <f t="shared" si="7"/>
        <v>0.57698147585788</v>
      </c>
      <c r="AG5" s="29">
        <v>100</v>
      </c>
    </row>
    <row r="6" s="1" customFormat="1" ht="15" spans="2:33">
      <c r="B6" s="30" t="s">
        <v>40</v>
      </c>
      <c r="C6" s="33">
        <f>18%+18%+M4+(2-E1)*30%</f>
        <v>0.832</v>
      </c>
      <c r="D6" s="30" t="s">
        <v>41</v>
      </c>
      <c r="E6" s="32">
        <v>0.12</v>
      </c>
      <c r="F6" s="30" t="s">
        <v>42</v>
      </c>
      <c r="G6" s="33"/>
      <c r="H6" s="30" t="s">
        <v>42</v>
      </c>
      <c r="I6" s="33">
        <v>0</v>
      </c>
      <c r="J6" s="43"/>
      <c r="K6" s="32"/>
      <c r="L6" s="30" t="s">
        <v>23</v>
      </c>
      <c r="M6" s="33">
        <f>8.1*5%</f>
        <v>0.405</v>
      </c>
      <c r="O6" s="36">
        <v>3</v>
      </c>
      <c r="P6" s="19" t="s">
        <v>43</v>
      </c>
      <c r="Q6" s="37">
        <f>50.42%+50.42%</f>
        <v>1.0084</v>
      </c>
      <c r="R6" s="38" t="s">
        <v>1</v>
      </c>
      <c r="S6" s="39">
        <f t="shared" si="0"/>
        <v>3365.6</v>
      </c>
      <c r="T6" s="40">
        <f t="shared" si="1"/>
        <v>2.20533333333333</v>
      </c>
      <c r="U6" s="40">
        <f t="shared" si="8"/>
        <v>2.292</v>
      </c>
      <c r="V6" s="24">
        <f t="shared" si="2"/>
        <v>2.3615</v>
      </c>
      <c r="W6" s="41">
        <f t="shared" si="3"/>
        <v>0.85</v>
      </c>
      <c r="X6" s="26">
        <f t="shared" si="9"/>
        <v>0.514765646166351</v>
      </c>
      <c r="Y6" s="38">
        <f t="shared" ref="Y6:Y15" si="10">$AF$12</f>
        <v>0.8</v>
      </c>
      <c r="Z6" s="42">
        <v>0</v>
      </c>
      <c r="AA6" s="42">
        <v>0</v>
      </c>
      <c r="AB6" s="28">
        <f t="shared" si="5"/>
        <v>0.18</v>
      </c>
      <c r="AC6" s="19">
        <f t="shared" si="6"/>
        <v>71157.002593529</v>
      </c>
      <c r="AD6" s="14">
        <v>0</v>
      </c>
      <c r="AE6" s="14">
        <v>21.6</v>
      </c>
      <c r="AF6" s="15">
        <f t="shared" si="7"/>
        <v>0.549107555719967</v>
      </c>
      <c r="AG6" s="29">
        <v>100</v>
      </c>
    </row>
    <row r="7" s="1" customFormat="1" ht="15" spans="2:33">
      <c r="B7" s="30" t="s">
        <v>44</v>
      </c>
      <c r="C7" s="33">
        <v>0.25</v>
      </c>
      <c r="D7" s="30" t="s">
        <v>45</v>
      </c>
      <c r="E7" s="32">
        <f>58%+40%</f>
        <v>0.98</v>
      </c>
      <c r="F7" s="30" t="s">
        <v>40</v>
      </c>
      <c r="G7" s="33">
        <f>M6</f>
        <v>0.405</v>
      </c>
      <c r="H7" s="30" t="s">
        <v>40</v>
      </c>
      <c r="I7" s="33">
        <f>M7+44%</f>
        <v>1.25</v>
      </c>
      <c r="J7" s="43"/>
      <c r="K7" s="32"/>
      <c r="L7" s="30" t="s">
        <v>46</v>
      </c>
      <c r="M7" s="32">
        <f>16.2%*5</f>
        <v>0.81</v>
      </c>
      <c r="O7" s="36">
        <v>3</v>
      </c>
      <c r="P7" s="19" t="s">
        <v>47</v>
      </c>
      <c r="Q7" s="37">
        <f>74.92%+74.92%</f>
        <v>1.4984</v>
      </c>
      <c r="R7" s="38" t="s">
        <v>1</v>
      </c>
      <c r="S7" s="39">
        <f t="shared" si="0"/>
        <v>3365.6</v>
      </c>
      <c r="T7" s="40">
        <f t="shared" si="1"/>
        <v>2.20533333333333</v>
      </c>
      <c r="U7" s="40">
        <f t="shared" si="8"/>
        <v>2.292</v>
      </c>
      <c r="V7" s="24">
        <f t="shared" si="2"/>
        <v>2.3615</v>
      </c>
      <c r="W7" s="41">
        <f t="shared" si="3"/>
        <v>0.85</v>
      </c>
      <c r="X7" s="26">
        <f t="shared" si="9"/>
        <v>0.514765646166351</v>
      </c>
      <c r="Y7" s="38">
        <f t="shared" si="4"/>
        <v>0.8</v>
      </c>
      <c r="Z7" s="42">
        <v>0</v>
      </c>
      <c r="AA7" s="42">
        <v>0</v>
      </c>
      <c r="AB7" s="28">
        <f t="shared" si="5"/>
        <v>0.18</v>
      </c>
      <c r="AC7" s="19">
        <f t="shared" si="6"/>
        <v>105733.491358731</v>
      </c>
      <c r="AD7" s="14">
        <v>0</v>
      </c>
      <c r="AE7" s="14">
        <v>28.8</v>
      </c>
      <c r="AF7" s="15">
        <f t="shared" si="7"/>
        <v>0.572827476423627</v>
      </c>
      <c r="AG7" s="29">
        <v>100</v>
      </c>
    </row>
    <row r="8" s="1" customFormat="1" ht="15" spans="2:33">
      <c r="B8" s="30" t="s">
        <v>48</v>
      </c>
      <c r="C8" s="44">
        <f>25%+30%</f>
        <v>0.55</v>
      </c>
      <c r="D8" s="30" t="s">
        <v>49</v>
      </c>
      <c r="E8" s="45">
        <v>0.2</v>
      </c>
      <c r="F8" s="30" t="s">
        <v>50</v>
      </c>
      <c r="G8" s="33">
        <v>0</v>
      </c>
      <c r="H8" s="30" t="s">
        <v>51</v>
      </c>
      <c r="I8" s="33"/>
      <c r="J8" s="43"/>
      <c r="K8" s="32"/>
      <c r="L8" s="30"/>
      <c r="M8" s="31"/>
      <c r="O8" s="36">
        <v>2</v>
      </c>
      <c r="P8" s="19" t="s">
        <v>52</v>
      </c>
      <c r="Q8" s="37">
        <v>1.5547</v>
      </c>
      <c r="R8" s="38" t="s">
        <v>1</v>
      </c>
      <c r="S8" s="39">
        <f t="shared" si="0"/>
        <v>3365.6</v>
      </c>
      <c r="T8" s="40">
        <f t="shared" si="1"/>
        <v>2.20533333333333</v>
      </c>
      <c r="U8" s="40">
        <f t="shared" si="8"/>
        <v>2.292</v>
      </c>
      <c r="V8" s="24">
        <f t="shared" si="2"/>
        <v>2.3615</v>
      </c>
      <c r="W8" s="41">
        <f t="shared" si="3"/>
        <v>0.85</v>
      </c>
      <c r="X8" s="26">
        <f t="shared" si="9"/>
        <v>0.514765646166351</v>
      </c>
      <c r="Y8" s="38">
        <f t="shared" si="10"/>
        <v>0.8</v>
      </c>
      <c r="Z8" s="42">
        <v>0</v>
      </c>
      <c r="AA8" s="42">
        <v>0</v>
      </c>
      <c r="AB8" s="28">
        <f t="shared" si="5"/>
        <v>0.18</v>
      </c>
      <c r="AC8" s="19">
        <f t="shared" si="6"/>
        <v>73137.5062357263</v>
      </c>
      <c r="AD8" s="14">
        <v>0</v>
      </c>
      <c r="AE8" s="14">
        <v>36</v>
      </c>
      <c r="AF8" s="15">
        <f t="shared" si="7"/>
        <v>0.598689185782707</v>
      </c>
      <c r="AG8" s="29">
        <v>100</v>
      </c>
    </row>
    <row r="9" s="1" customFormat="1" ht="15" spans="2:33">
      <c r="B9" s="30" t="s">
        <v>53</v>
      </c>
      <c r="C9" s="31">
        <v>350</v>
      </c>
      <c r="D9" s="30" t="s">
        <v>54</v>
      </c>
      <c r="E9" s="46">
        <f>M5+12%</f>
        <v>0.292</v>
      </c>
      <c r="F9" s="30" t="s">
        <v>55</v>
      </c>
      <c r="G9" s="33"/>
      <c r="H9" s="30" t="s">
        <v>55</v>
      </c>
      <c r="I9" s="33"/>
      <c r="J9" s="43"/>
      <c r="K9" s="32"/>
      <c r="L9" s="30"/>
      <c r="M9" s="31"/>
      <c r="O9" s="36">
        <v>1</v>
      </c>
      <c r="P9" s="19" t="s">
        <v>56</v>
      </c>
      <c r="Q9" s="37">
        <f>26.56%*5+88.53%</f>
        <v>2.2133</v>
      </c>
      <c r="R9" s="38" t="s">
        <v>1</v>
      </c>
      <c r="S9" s="39">
        <f t="shared" si="0"/>
        <v>3365.6</v>
      </c>
      <c r="T9" s="40">
        <f t="shared" si="1"/>
        <v>2.20533333333333</v>
      </c>
      <c r="U9" s="40">
        <f t="shared" si="8"/>
        <v>2.292</v>
      </c>
      <c r="V9" s="24">
        <f t="shared" si="2"/>
        <v>2.3615</v>
      </c>
      <c r="W9" s="41">
        <f t="shared" si="3"/>
        <v>0.85</v>
      </c>
      <c r="X9" s="26">
        <f t="shared" si="9"/>
        <v>0.514765646166351</v>
      </c>
      <c r="Y9" s="38">
        <f>$AF$14</f>
        <v>0.8</v>
      </c>
      <c r="Z9" s="42">
        <v>1.1</v>
      </c>
      <c r="AA9" s="42">
        <v>0</v>
      </c>
      <c r="AB9" s="28">
        <f t="shared" si="5"/>
        <v>0.18</v>
      </c>
      <c r="AC9" s="19">
        <f t="shared" si="6"/>
        <v>109325.917977172</v>
      </c>
    </row>
    <row r="10" s="1" customFormat="1" ht="15" spans="2:33">
      <c r="B10" s="47" t="s">
        <v>57</v>
      </c>
      <c r="C10" s="48"/>
      <c r="D10" s="47"/>
      <c r="E10" s="49"/>
      <c r="F10" s="50" t="s">
        <v>58</v>
      </c>
      <c r="G10" s="51">
        <f>MIN(100%,SUM(G4:G9))</f>
        <v>0.778</v>
      </c>
      <c r="H10" s="50" t="s">
        <v>59</v>
      </c>
      <c r="I10" s="51">
        <f>SUM(I4:I9)</f>
        <v>2.75</v>
      </c>
      <c r="J10" s="52"/>
      <c r="K10" s="49"/>
      <c r="L10" s="47"/>
      <c r="M10" s="48"/>
      <c r="O10" s="36">
        <v>1</v>
      </c>
      <c r="P10" s="19" t="s">
        <v>60</v>
      </c>
      <c r="Q10" s="37">
        <v>2.8773</v>
      </c>
      <c r="R10" s="38" t="s">
        <v>1</v>
      </c>
      <c r="S10" s="39">
        <f t="shared" si="0"/>
        <v>3365.6</v>
      </c>
      <c r="T10" s="40">
        <f t="shared" si="1"/>
        <v>2.20533333333333</v>
      </c>
      <c r="U10" s="40">
        <f t="shared" si="8"/>
        <v>2.292</v>
      </c>
      <c r="V10" s="24">
        <f t="shared" si="2"/>
        <v>2.3615</v>
      </c>
      <c r="W10" s="41">
        <f t="shared" si="3"/>
        <v>0.85</v>
      </c>
      <c r="X10" s="26">
        <f t="shared" si="9"/>
        <v>0.514765646166351</v>
      </c>
      <c r="Y10" s="38">
        <f t="shared" si="10"/>
        <v>0.8</v>
      </c>
      <c r="Z10" s="42">
        <v>1.1</v>
      </c>
      <c r="AA10" s="42">
        <v>0</v>
      </c>
      <c r="AB10" s="28">
        <f t="shared" si="5"/>
        <v>0.18</v>
      </c>
      <c r="AC10" s="19">
        <f t="shared" si="6"/>
        <v>142124.187320163</v>
      </c>
    </row>
    <row r="11" s="1" customFormat="1" ht="15" spans="2:33">
      <c r="B11" s="53"/>
      <c r="C11" s="53"/>
      <c r="E11" s="54"/>
      <c r="F11" s="16" t="s">
        <v>61</v>
      </c>
      <c r="G11" s="55">
        <f>MAX(0,SUM(G4:G9)-1)</f>
        <v>0</v>
      </c>
      <c r="J11" s="2"/>
      <c r="K11" s="2"/>
      <c r="O11" s="36">
        <v>1</v>
      </c>
      <c r="P11" s="19" t="s">
        <v>62</v>
      </c>
      <c r="Q11" s="37">
        <v>3.5411</v>
      </c>
      <c r="R11" s="38" t="s">
        <v>1</v>
      </c>
      <c r="S11" s="39">
        <f t="shared" si="0"/>
        <v>3365.6</v>
      </c>
      <c r="T11" s="40">
        <f t="shared" si="1"/>
        <v>2.20533333333333</v>
      </c>
      <c r="U11" s="40">
        <f t="shared" si="8"/>
        <v>2.292</v>
      </c>
      <c r="V11" s="24">
        <f t="shared" si="2"/>
        <v>2.3615</v>
      </c>
      <c r="W11" s="41">
        <f t="shared" si="3"/>
        <v>0.85</v>
      </c>
      <c r="X11" s="26">
        <f t="shared" si="9"/>
        <v>0.514765646166351</v>
      </c>
      <c r="Y11" s="38">
        <f t="shared" si="10"/>
        <v>0.8</v>
      </c>
      <c r="Z11" s="42">
        <v>1.1</v>
      </c>
      <c r="AA11" s="42">
        <v>0</v>
      </c>
      <c r="AB11" s="28">
        <f t="shared" si="5"/>
        <v>0.18</v>
      </c>
      <c r="AC11" s="19">
        <f t="shared" si="6"/>
        <v>174912.577666365</v>
      </c>
      <c r="AE11" s="56"/>
      <c r="AF11" s="56"/>
    </row>
    <row r="12" s="1" customFormat="1" ht="15" spans="2:33">
      <c r="B12" s="53"/>
      <c r="C12" s="53"/>
      <c r="E12" s="54"/>
      <c r="G12" s="57"/>
      <c r="J12" s="2"/>
      <c r="K12" s="2"/>
      <c r="O12" s="36">
        <v>1</v>
      </c>
      <c r="P12" s="19" t="s">
        <v>63</v>
      </c>
      <c r="Q12" s="37">
        <v>3.069</v>
      </c>
      <c r="R12" s="38" t="s">
        <v>1</v>
      </c>
      <c r="S12" s="39">
        <f t="shared" si="0"/>
        <v>3365.6</v>
      </c>
      <c r="T12" s="40">
        <f t="shared" si="1"/>
        <v>2.20533333333333</v>
      </c>
      <c r="U12" s="40">
        <f t="shared" si="8"/>
        <v>2.292</v>
      </c>
      <c r="V12" s="24">
        <f t="shared" si="2"/>
        <v>2.3615</v>
      </c>
      <c r="W12" s="41">
        <f t="shared" si="3"/>
        <v>0.85</v>
      </c>
      <c r="X12" s="26">
        <f t="shared" si="9"/>
        <v>0.514765646166351</v>
      </c>
      <c r="Y12" s="38">
        <f t="shared" si="10"/>
        <v>0.8</v>
      </c>
      <c r="Z12" s="42">
        <v>1.1</v>
      </c>
      <c r="AA12" s="42">
        <v>0</v>
      </c>
      <c r="AB12" s="28">
        <f t="shared" si="5"/>
        <v>0.18</v>
      </c>
      <c r="AC12" s="19">
        <f t="shared" si="6"/>
        <v>151593.205743434</v>
      </c>
      <c r="AE12" s="58"/>
      <c r="AF12" s="58">
        <v>0.8</v>
      </c>
    </row>
    <row r="13" s="1" customFormat="1" ht="15" spans="2:33">
      <c r="B13" s="5" t="s">
        <v>0</v>
      </c>
      <c r="C13" s="5" t="s">
        <v>1</v>
      </c>
      <c r="D13" s="6" t="s">
        <v>2</v>
      </c>
      <c r="E13" s="6">
        <v>1</v>
      </c>
      <c r="O13" s="36">
        <v>1</v>
      </c>
      <c r="P13" s="19" t="s">
        <v>64</v>
      </c>
      <c r="Q13" s="37">
        <v>1.5345</v>
      </c>
      <c r="R13" s="38" t="s">
        <v>1</v>
      </c>
      <c r="S13" s="39">
        <f t="shared" si="0"/>
        <v>3365.6</v>
      </c>
      <c r="T13" s="40">
        <f t="shared" si="1"/>
        <v>2.20533333333333</v>
      </c>
      <c r="U13" s="40">
        <f t="shared" si="8"/>
        <v>2.292</v>
      </c>
      <c r="V13" s="24">
        <f t="shared" si="2"/>
        <v>2.3615</v>
      </c>
      <c r="W13" s="41">
        <f t="shared" si="3"/>
        <v>0.85</v>
      </c>
      <c r="X13" s="26">
        <f t="shared" si="9"/>
        <v>0.514765646166351</v>
      </c>
      <c r="Y13" s="38">
        <f t="shared" si="10"/>
        <v>0.8</v>
      </c>
      <c r="Z13" s="42">
        <v>1.1</v>
      </c>
      <c r="AA13" s="42">
        <v>0</v>
      </c>
      <c r="AB13" s="28">
        <f t="shared" si="5"/>
        <v>0.18</v>
      </c>
      <c r="AC13" s="19">
        <f t="shared" si="6"/>
        <v>75796.6028717168</v>
      </c>
      <c r="AE13" s="59" t="s">
        <v>65</v>
      </c>
      <c r="AF13" s="59">
        <v>0.8</v>
      </c>
    </row>
    <row r="14" s="1" customFormat="1" ht="15" spans="2:33">
      <c r="B14" s="60" t="s">
        <v>66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O14" s="36">
        <v>1</v>
      </c>
      <c r="P14" s="19" t="s">
        <v>67</v>
      </c>
      <c r="Q14" s="37">
        <f>745.54%+49.71%*5</f>
        <v>9.9409</v>
      </c>
      <c r="R14" s="38" t="s">
        <v>1</v>
      </c>
      <c r="S14" s="39">
        <f t="shared" si="0"/>
        <v>3365.6</v>
      </c>
      <c r="T14" s="40">
        <f t="shared" si="1"/>
        <v>2.20533333333333</v>
      </c>
      <c r="U14" s="40">
        <f>IF(R14=$C$1,SUM($E$4:$E$9),SUM($E$4:$E$8))+40%</f>
        <v>2.692</v>
      </c>
      <c r="V14" s="24">
        <f t="shared" si="2"/>
        <v>2.3615</v>
      </c>
      <c r="W14" s="41">
        <f t="shared" si="3"/>
        <v>0.85</v>
      </c>
      <c r="X14" s="26">
        <f t="shared" si="9"/>
        <v>0.514765646166351</v>
      </c>
      <c r="Y14" s="38">
        <f t="shared" si="10"/>
        <v>0.8</v>
      </c>
      <c r="Z14" s="42">
        <v>0.75</v>
      </c>
      <c r="AA14" s="42">
        <v>0</v>
      </c>
      <c r="AB14" s="28">
        <f t="shared" si="5"/>
        <v>0.18</v>
      </c>
      <c r="AC14" s="19">
        <f t="shared" si="6"/>
        <v>458911.745709961</v>
      </c>
      <c r="AE14" s="61" t="s">
        <v>68</v>
      </c>
      <c r="AF14" s="61">
        <v>0.8</v>
      </c>
    </row>
    <row r="15" s="1" customFormat="1" ht="15" spans="2:33">
      <c r="B15" s="62" t="s">
        <v>22</v>
      </c>
      <c r="C15" s="62"/>
      <c r="D15" s="62" t="s">
        <v>10</v>
      </c>
      <c r="E15" s="62"/>
      <c r="F15" s="62" t="s">
        <v>23</v>
      </c>
      <c r="G15" s="62"/>
      <c r="H15" s="62" t="s">
        <v>24</v>
      </c>
      <c r="I15" s="62"/>
      <c r="J15" s="62" t="s">
        <v>12</v>
      </c>
      <c r="K15" s="62"/>
      <c r="L15" s="62" t="s">
        <v>25</v>
      </c>
      <c r="M15" s="62"/>
      <c r="O15" s="63">
        <v>1</v>
      </c>
      <c r="P15" s="19" t="s">
        <v>69</v>
      </c>
      <c r="Q15" s="64">
        <v>5</v>
      </c>
      <c r="R15" s="65" t="s">
        <v>70</v>
      </c>
      <c r="S15" s="66">
        <f t="shared" si="0"/>
        <v>3365.6</v>
      </c>
      <c r="T15" s="67">
        <f t="shared" si="1"/>
        <v>2.20533333333333</v>
      </c>
      <c r="U15" s="67">
        <f>IF(R15=$C$1,SUM($E$4:$E$9),SUM($E$4:$E$8))+$E$10</f>
        <v>2</v>
      </c>
      <c r="V15" s="68">
        <f t="shared" si="2"/>
        <v>2.3615</v>
      </c>
      <c r="W15" s="69">
        <f>IF(R15=$C$1,$K$4+$K$5,$K$4)+$K$6</f>
        <v>0.65</v>
      </c>
      <c r="X15" s="26">
        <f>$AF$3</f>
        <v>0.488431876606684</v>
      </c>
      <c r="Y15" s="65">
        <f t="shared" si="10"/>
        <v>0.8</v>
      </c>
      <c r="Z15" s="70">
        <v>0</v>
      </c>
      <c r="AA15" s="70">
        <v>0</v>
      </c>
      <c r="AB15" s="28">
        <f t="shared" si="5"/>
        <v>0.18</v>
      </c>
      <c r="AC15" s="19">
        <f t="shared" si="6"/>
        <v>90698.8219277738</v>
      </c>
      <c r="AE15" s="71" t="s">
        <v>71</v>
      </c>
      <c r="AF15" s="71">
        <v>0.8</v>
      </c>
    </row>
    <row r="16" s="1" customFormat="1" ht="15" spans="2:33">
      <c r="B16" s="72" t="s">
        <v>27</v>
      </c>
      <c r="C16" s="31">
        <f>375+588</f>
        <v>963</v>
      </c>
      <c r="D16" s="72" t="s">
        <v>28</v>
      </c>
      <c r="E16" s="35">
        <f>E13*30%</f>
        <v>0.3</v>
      </c>
      <c r="F16" s="72" t="s">
        <v>29</v>
      </c>
      <c r="G16" s="73">
        <v>0.13</v>
      </c>
      <c r="H16" s="72" t="s">
        <v>29</v>
      </c>
      <c r="I16" s="73">
        <v>1.5</v>
      </c>
      <c r="J16" s="34" t="s">
        <v>30</v>
      </c>
      <c r="K16" s="35">
        <f>25%</f>
        <v>0.25</v>
      </c>
      <c r="L16" s="72" t="s">
        <v>31</v>
      </c>
      <c r="M16" s="73">
        <f>8.6%*2</f>
        <v>0.172</v>
      </c>
      <c r="O16" s="18">
        <v>1</v>
      </c>
      <c r="P16" s="74" t="s">
        <v>32</v>
      </c>
      <c r="Q16" s="75">
        <v>2.248</v>
      </c>
      <c r="R16" s="76" t="s">
        <v>33</v>
      </c>
      <c r="S16" s="77">
        <f t="shared" ref="S16:S24" si="11">$C$16*(1+$C$17+$C$18+$C$19+$C$20)+($C$21+$C$22)</f>
        <v>2586.086</v>
      </c>
      <c r="T16" s="78">
        <f t="shared" ref="T16:T24" si="12">($C$17+$C$18+$C$19+$C$20)+($C$21+$C$22)/$C$16</f>
        <v>1.68544755970924</v>
      </c>
      <c r="U16" s="78">
        <f>IF(R16=$C$13,SUM($E$16:$E$21),SUM($E$16:$E$20))-12%</f>
        <v>1.41</v>
      </c>
      <c r="V16" s="79">
        <f t="shared" ref="V16:V24" si="13">1+$G$22*($I$22-1)</f>
        <v>2.3615</v>
      </c>
      <c r="W16" s="80">
        <f t="shared" ref="W16:W24" si="14">IF(R16=$C$1,$K$16+$K$17,$K$16)</f>
        <v>0.25</v>
      </c>
      <c r="X16" s="79">
        <f t="shared" ref="X16:X24" si="15">$AF$3</f>
        <v>0.488431876606684</v>
      </c>
      <c r="Y16" s="76">
        <f t="shared" ref="Y16:Y24" si="16">$AF$15</f>
        <v>0.8</v>
      </c>
      <c r="Z16" s="81">
        <v>0</v>
      </c>
      <c r="AA16" s="81">
        <v>0</v>
      </c>
      <c r="AB16" s="28">
        <f t="shared" si="5"/>
        <v>0.18</v>
      </c>
      <c r="AC16" s="82">
        <f t="shared" ref="AC16:AC24" si="17">Q16*$C$16*(1+T16)*(1+U16)*V16*(1+W16)*X16*Y16*(1+Z16)*(1+AA16)*(1+AB16)*O16</f>
        <v>19069.1032178336</v>
      </c>
    </row>
    <row r="17" s="1" customFormat="1" ht="15" spans="1:32">
      <c r="B17" s="30" t="s">
        <v>34</v>
      </c>
      <c r="C17" s="32">
        <v>0.24</v>
      </c>
      <c r="D17" s="30" t="s">
        <v>35</v>
      </c>
      <c r="E17" s="32">
        <v>0.1</v>
      </c>
      <c r="F17" s="30" t="s">
        <v>36</v>
      </c>
      <c r="G17" s="33">
        <v>0.243</v>
      </c>
      <c r="H17" s="30" t="s">
        <v>36</v>
      </c>
      <c r="I17" s="33">
        <v>0</v>
      </c>
      <c r="J17" s="43" t="s">
        <v>72</v>
      </c>
      <c r="K17" s="32"/>
      <c r="L17" s="30" t="s">
        <v>73</v>
      </c>
      <c r="M17" s="33">
        <f>1*8.6%</f>
        <v>0.086</v>
      </c>
      <c r="O17" s="36">
        <v>1</v>
      </c>
      <c r="P17" s="74" t="s">
        <v>74</v>
      </c>
      <c r="Q17" s="43">
        <v>8.748</v>
      </c>
      <c r="R17" s="53" t="s">
        <v>75</v>
      </c>
      <c r="S17" s="83">
        <f t="shared" si="11"/>
        <v>2586.086</v>
      </c>
      <c r="T17" s="84">
        <f t="shared" si="12"/>
        <v>1.68544755970924</v>
      </c>
      <c r="U17" s="84">
        <f>IF(R17=$C$13,SUM($E$16:$E$21),SUM($E$16:$E$20))-12%</f>
        <v>1.41</v>
      </c>
      <c r="V17" s="85">
        <f t="shared" si="13"/>
        <v>2.3615</v>
      </c>
      <c r="W17" s="86">
        <f t="shared" si="14"/>
        <v>0.25</v>
      </c>
      <c r="X17" s="85">
        <f t="shared" si="15"/>
        <v>0.488431876606684</v>
      </c>
      <c r="Y17" s="76">
        <f t="shared" si="16"/>
        <v>0.8</v>
      </c>
      <c r="Z17" s="87">
        <v>0</v>
      </c>
      <c r="AA17" s="87">
        <v>0</v>
      </c>
      <c r="AB17" s="28">
        <f t="shared" si="5"/>
        <v>0.18</v>
      </c>
      <c r="AC17" s="82">
        <f t="shared" si="17"/>
        <v>74206.6347640605</v>
      </c>
      <c r="AE17" s="1" t="s">
        <v>76</v>
      </c>
      <c r="AF17" s="54">
        <v>0.18</v>
      </c>
    </row>
    <row r="18" s="1" customFormat="1" ht="15" spans="1:32">
      <c r="B18" s="30" t="s">
        <v>40</v>
      </c>
      <c r="C18" s="32">
        <f>18%+18%+M16+(2-E13)*30%</f>
        <v>0.832</v>
      </c>
      <c r="D18" s="30" t="s">
        <v>41</v>
      </c>
      <c r="E18" s="32">
        <v>0.25</v>
      </c>
      <c r="F18" s="30" t="s">
        <v>42</v>
      </c>
      <c r="G18" s="33"/>
      <c r="H18" s="30" t="s">
        <v>42</v>
      </c>
      <c r="I18" s="33">
        <v>0.44</v>
      </c>
      <c r="J18" s="43"/>
      <c r="K18" s="33"/>
      <c r="L18" s="30" t="s">
        <v>23</v>
      </c>
      <c r="M18" s="33">
        <f>8.1*5%</f>
        <v>0.405</v>
      </c>
      <c r="O18" s="36">
        <v>1</v>
      </c>
      <c r="P18" s="74" t="s">
        <v>77</v>
      </c>
      <c r="Q18" s="43">
        <v>2.7863</v>
      </c>
      <c r="R18" s="53" t="s">
        <v>78</v>
      </c>
      <c r="S18" s="83">
        <f t="shared" si="11"/>
        <v>2586.086</v>
      </c>
      <c r="T18" s="84">
        <f t="shared" si="12"/>
        <v>1.68544755970924</v>
      </c>
      <c r="U18" s="84">
        <f>IF(R18=$C$13,SUM($E$16:$E$21),SUM($E$16:$E$20))-6%</f>
        <v>1.47</v>
      </c>
      <c r="V18" s="85">
        <f t="shared" si="13"/>
        <v>2.3615</v>
      </c>
      <c r="W18" s="86">
        <f t="shared" si="14"/>
        <v>0.25</v>
      </c>
      <c r="X18" s="85">
        <f t="shared" si="15"/>
        <v>0.488431876606684</v>
      </c>
      <c r="Y18" s="76">
        <f t="shared" si="16"/>
        <v>0.8</v>
      </c>
      <c r="Z18" s="87">
        <v>0</v>
      </c>
      <c r="AA18" s="87">
        <v>0</v>
      </c>
      <c r="AB18" s="28">
        <f t="shared" si="5"/>
        <v>0.18</v>
      </c>
      <c r="AC18" s="82">
        <f t="shared" si="17"/>
        <v>24223.7707784049</v>
      </c>
    </row>
    <row r="19" s="1" customFormat="1" ht="15" spans="1:32">
      <c r="B19" s="30" t="s">
        <v>44</v>
      </c>
      <c r="C19" s="44"/>
      <c r="D19" s="30" t="s">
        <v>45</v>
      </c>
      <c r="E19" s="32">
        <v>0.4</v>
      </c>
      <c r="F19" s="30" t="s">
        <v>40</v>
      </c>
      <c r="G19" s="33">
        <f>M18</f>
        <v>0.405</v>
      </c>
      <c r="H19" s="30" t="s">
        <v>40</v>
      </c>
      <c r="I19" s="33">
        <f>M19</f>
        <v>0.81</v>
      </c>
      <c r="J19" s="43"/>
      <c r="K19" s="33"/>
      <c r="L19" s="30" t="s">
        <v>46</v>
      </c>
      <c r="M19" s="32">
        <f>16.2%*5</f>
        <v>0.81</v>
      </c>
      <c r="O19" s="36">
        <v>1</v>
      </c>
      <c r="P19" s="74" t="s">
        <v>79</v>
      </c>
      <c r="Q19" s="43">
        <v>5.5556</v>
      </c>
      <c r="R19" s="53" t="s">
        <v>1</v>
      </c>
      <c r="S19" s="83">
        <f t="shared" si="11"/>
        <v>2586.086</v>
      </c>
      <c r="T19" s="84">
        <f t="shared" si="12"/>
        <v>1.68544755970924</v>
      </c>
      <c r="U19" s="84">
        <f t="shared" ref="U19:U24" si="18">IF(R19=$C$13,SUM($E$16:$E$21),SUM($E$16:$E$20))</f>
        <v>1.976</v>
      </c>
      <c r="V19" s="85">
        <f t="shared" si="13"/>
        <v>2.3615</v>
      </c>
      <c r="W19" s="86">
        <f t="shared" si="14"/>
        <v>0.25</v>
      </c>
      <c r="X19" s="85">
        <f t="shared" si="15"/>
        <v>0.488431876606684</v>
      </c>
      <c r="Y19" s="76">
        <f t="shared" si="16"/>
        <v>0.8</v>
      </c>
      <c r="Z19" s="87">
        <v>0</v>
      </c>
      <c r="AA19" s="87">
        <v>0</v>
      </c>
      <c r="AB19" s="28">
        <f t="shared" si="5"/>
        <v>0.18</v>
      </c>
      <c r="AC19" s="82">
        <f t="shared" si="17"/>
        <v>58194.349255567</v>
      </c>
    </row>
    <row r="20" s="1" customFormat="1" ht="15" spans="1:32">
      <c r="B20" s="30" t="s">
        <v>48</v>
      </c>
      <c r="C20" s="44">
        <v>0.25</v>
      </c>
      <c r="D20" s="30" t="s">
        <v>49</v>
      </c>
      <c r="E20" s="45">
        <f>24%+24%</f>
        <v>0.48</v>
      </c>
      <c r="F20" s="30" t="s">
        <v>50</v>
      </c>
      <c r="G20" s="33">
        <v>0</v>
      </c>
      <c r="H20" s="30" t="s">
        <v>50</v>
      </c>
      <c r="I20" s="33">
        <v>0</v>
      </c>
      <c r="J20" s="43"/>
      <c r="K20" s="33"/>
      <c r="L20" s="30"/>
      <c r="M20" s="31"/>
      <c r="O20" s="36">
        <v>1</v>
      </c>
      <c r="P20" s="74" t="s">
        <v>80</v>
      </c>
      <c r="Q20" s="43">
        <v>3.076</v>
      </c>
      <c r="R20" s="53" t="s">
        <v>1</v>
      </c>
      <c r="S20" s="83">
        <f t="shared" si="11"/>
        <v>2586.086</v>
      </c>
      <c r="T20" s="84">
        <f t="shared" si="12"/>
        <v>1.68544755970924</v>
      </c>
      <c r="U20" s="84">
        <f t="shared" si="18"/>
        <v>1.976</v>
      </c>
      <c r="V20" s="85">
        <f t="shared" si="13"/>
        <v>2.3615</v>
      </c>
      <c r="W20" s="86">
        <f t="shared" si="14"/>
        <v>0.25</v>
      </c>
      <c r="X20" s="85">
        <f t="shared" si="15"/>
        <v>0.488431876606684</v>
      </c>
      <c r="Y20" s="76">
        <f t="shared" si="16"/>
        <v>0.8</v>
      </c>
      <c r="Z20" s="87">
        <v>0</v>
      </c>
      <c r="AA20" s="87">
        <v>0</v>
      </c>
      <c r="AB20" s="28">
        <f t="shared" si="5"/>
        <v>0.18</v>
      </c>
      <c r="AC20" s="82">
        <f t="shared" si="17"/>
        <v>32220.7895295061</v>
      </c>
    </row>
    <row r="21" s="1" customFormat="1" ht="15" spans="1:32">
      <c r="B21" s="30" t="s">
        <v>53</v>
      </c>
      <c r="C21" s="31">
        <v>350</v>
      </c>
      <c r="D21" s="30" t="s">
        <v>54</v>
      </c>
      <c r="E21" s="32">
        <f>36%+M17</f>
        <v>0.446</v>
      </c>
      <c r="F21" s="30" t="s">
        <v>55</v>
      </c>
      <c r="G21" s="33"/>
      <c r="H21" s="30" t="s">
        <v>55</v>
      </c>
      <c r="I21" s="33"/>
      <c r="J21" s="43"/>
      <c r="K21" s="33"/>
      <c r="L21" s="30"/>
      <c r="M21" s="31"/>
      <c r="O21" s="36">
        <v>1</v>
      </c>
      <c r="P21" s="74" t="s">
        <v>81</v>
      </c>
      <c r="Q21" s="43">
        <v>12.1672</v>
      </c>
      <c r="R21" s="53" t="s">
        <v>1</v>
      </c>
      <c r="S21" s="83">
        <f t="shared" si="11"/>
        <v>2586.086</v>
      </c>
      <c r="T21" s="84">
        <f t="shared" si="12"/>
        <v>1.68544755970924</v>
      </c>
      <c r="U21" s="84">
        <f t="shared" si="18"/>
        <v>1.976</v>
      </c>
      <c r="V21" s="85">
        <f t="shared" si="13"/>
        <v>2.3615</v>
      </c>
      <c r="W21" s="86">
        <f t="shared" si="14"/>
        <v>0.25</v>
      </c>
      <c r="X21" s="85">
        <f t="shared" si="15"/>
        <v>0.488431876606684</v>
      </c>
      <c r="Y21" s="76">
        <f t="shared" si="16"/>
        <v>0.8</v>
      </c>
      <c r="Z21" s="87">
        <v>0</v>
      </c>
      <c r="AA21" s="87">
        <v>0</v>
      </c>
      <c r="AB21" s="28">
        <f t="shared" si="5"/>
        <v>0.18</v>
      </c>
      <c r="AC21" s="82">
        <f t="shared" si="17"/>
        <v>127450.191925685</v>
      </c>
    </row>
    <row r="22" s="1" customFormat="1" ht="15" spans="1:32">
      <c r="B22" s="47" t="s">
        <v>57</v>
      </c>
      <c r="C22" s="48"/>
      <c r="D22" s="47"/>
      <c r="E22" s="49"/>
      <c r="F22" s="50" t="s">
        <v>58</v>
      </c>
      <c r="G22" s="51">
        <f>MIN(100%,SUM(G16:G21))</f>
        <v>0.778</v>
      </c>
      <c r="H22" s="50" t="s">
        <v>59</v>
      </c>
      <c r="I22" s="51">
        <f>SUM(I16:I21)</f>
        <v>2.75</v>
      </c>
      <c r="J22" s="52"/>
      <c r="K22" s="88"/>
      <c r="L22" s="47"/>
      <c r="M22" s="48"/>
      <c r="O22" s="36">
        <v>1</v>
      </c>
      <c r="P22" s="74" t="s">
        <v>82</v>
      </c>
      <c r="Q22" s="43">
        <v>2.3262</v>
      </c>
      <c r="R22" s="53" t="s">
        <v>78</v>
      </c>
      <c r="S22" s="83">
        <f t="shared" si="11"/>
        <v>2586.086</v>
      </c>
      <c r="T22" s="84">
        <f t="shared" si="12"/>
        <v>1.68544755970924</v>
      </c>
      <c r="U22" s="84">
        <f t="shared" si="18"/>
        <v>1.53</v>
      </c>
      <c r="V22" s="85">
        <f t="shared" si="13"/>
        <v>2.3615</v>
      </c>
      <c r="W22" s="86">
        <f t="shared" si="14"/>
        <v>0.25</v>
      </c>
      <c r="X22" s="85">
        <f t="shared" si="15"/>
        <v>0.488431876606684</v>
      </c>
      <c r="Y22" s="76">
        <f t="shared" si="16"/>
        <v>0.8</v>
      </c>
      <c r="Z22" s="87">
        <v>0</v>
      </c>
      <c r="AA22" s="87">
        <v>0</v>
      </c>
      <c r="AB22" s="28">
        <f t="shared" si="5"/>
        <v>0.18</v>
      </c>
      <c r="AC22" s="82">
        <f t="shared" si="17"/>
        <v>20714.9787732887</v>
      </c>
    </row>
    <row r="23" s="1" customFormat="1" ht="15" spans="1:32">
      <c r="B23" s="53"/>
      <c r="C23" s="53"/>
      <c r="E23" s="54"/>
      <c r="F23" s="16" t="s">
        <v>61</v>
      </c>
      <c r="G23" s="55">
        <f>MAX(0,SUM(G16:G21)-1)</f>
        <v>0</v>
      </c>
      <c r="J23" s="2"/>
      <c r="K23" s="2"/>
      <c r="O23" s="36">
        <v>1</v>
      </c>
      <c r="P23" s="74" t="s">
        <v>83</v>
      </c>
      <c r="Q23" s="43">
        <v>1</v>
      </c>
      <c r="R23" s="53" t="s">
        <v>70</v>
      </c>
      <c r="S23" s="83">
        <f t="shared" si="11"/>
        <v>2586.086</v>
      </c>
      <c r="T23" s="84">
        <f t="shared" si="12"/>
        <v>1.68544755970924</v>
      </c>
      <c r="U23" s="84">
        <f t="shared" si="18"/>
        <v>1.53</v>
      </c>
      <c r="V23" s="85">
        <f t="shared" si="13"/>
        <v>2.3615</v>
      </c>
      <c r="W23" s="86">
        <f t="shared" si="14"/>
        <v>0.25</v>
      </c>
      <c r="X23" s="85">
        <f t="shared" si="15"/>
        <v>0.488431876606684</v>
      </c>
      <c r="Y23" s="76">
        <f t="shared" si="16"/>
        <v>0.8</v>
      </c>
      <c r="Z23" s="87">
        <v>0</v>
      </c>
      <c r="AA23" s="87">
        <v>0</v>
      </c>
      <c r="AB23" s="28">
        <f t="shared" si="5"/>
        <v>0.18</v>
      </c>
      <c r="AC23" s="82">
        <f t="shared" si="17"/>
        <v>8905.07212332934</v>
      </c>
    </row>
    <row r="24" s="1" customFormat="1" ht="15" spans="1:32">
      <c r="B24" s="53"/>
      <c r="C24" s="53"/>
      <c r="E24" s="54"/>
      <c r="J24" s="2"/>
      <c r="K24" s="2"/>
      <c r="O24" s="63">
        <v>1</v>
      </c>
      <c r="P24" s="74" t="s">
        <v>84</v>
      </c>
      <c r="Q24" s="52">
        <v>2.736</v>
      </c>
      <c r="R24" s="89" t="s">
        <v>26</v>
      </c>
      <c r="S24" s="90">
        <f t="shared" si="11"/>
        <v>2586.086</v>
      </c>
      <c r="T24" s="91">
        <f t="shared" si="12"/>
        <v>1.68544755970924</v>
      </c>
      <c r="U24" s="91">
        <f t="shared" si="18"/>
        <v>1.53</v>
      </c>
      <c r="V24" s="92">
        <f t="shared" si="13"/>
        <v>2.3615</v>
      </c>
      <c r="W24" s="93">
        <f t="shared" si="14"/>
        <v>0.25</v>
      </c>
      <c r="X24" s="92">
        <f t="shared" si="15"/>
        <v>0.488431876606684</v>
      </c>
      <c r="Y24" s="76">
        <f t="shared" si="16"/>
        <v>0.8</v>
      </c>
      <c r="Z24" s="94">
        <v>0</v>
      </c>
      <c r="AA24" s="94">
        <v>0</v>
      </c>
      <c r="AB24" s="28">
        <f t="shared" si="5"/>
        <v>0.18</v>
      </c>
      <c r="AC24" s="82">
        <f t="shared" si="17"/>
        <v>24364.2773294291</v>
      </c>
      <c r="AD24" s="56"/>
    </row>
    <row r="25" s="1" customFormat="1" ht="15" spans="1:32">
      <c r="A25" s="95"/>
      <c r="B25" s="96" t="s">
        <v>85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</row>
    <row r="26" s="1" customFormat="1" ht="15" spans="1:32">
      <c r="A26" s="95" t="s">
        <v>86</v>
      </c>
      <c r="B26" s="97" t="s">
        <v>22</v>
      </c>
      <c r="C26" s="98"/>
      <c r="D26" s="97" t="s">
        <v>10</v>
      </c>
      <c r="E26" s="98"/>
      <c r="F26" s="97" t="s">
        <v>23</v>
      </c>
      <c r="G26" s="98"/>
      <c r="H26" s="97" t="s">
        <v>24</v>
      </c>
      <c r="I26" s="98"/>
      <c r="J26" s="97" t="s">
        <v>12</v>
      </c>
      <c r="K26" s="98"/>
      <c r="L26" s="97" t="s">
        <v>87</v>
      </c>
      <c r="M26" s="98"/>
      <c r="O26" s="72">
        <v>0</v>
      </c>
      <c r="P26" s="78" t="s">
        <v>88</v>
      </c>
      <c r="Q26" s="78">
        <v>1.0935</v>
      </c>
      <c r="R26" s="76" t="s">
        <v>89</v>
      </c>
      <c r="S26" s="76">
        <v>10027</v>
      </c>
      <c r="T26" s="78">
        <v>0</v>
      </c>
      <c r="U26" s="78">
        <v>0</v>
      </c>
      <c r="V26" s="79">
        <v>1</v>
      </c>
      <c r="W26" s="80">
        <v>0</v>
      </c>
      <c r="X26" s="79">
        <f t="shared" ref="X26:X30" si="19">$AF$3</f>
        <v>0.488431876606684</v>
      </c>
      <c r="Y26" s="76">
        <f t="shared" ref="Y26:Y30" si="20">$AF$13</f>
        <v>0.8</v>
      </c>
      <c r="Z26" s="81">
        <v>1.2</v>
      </c>
      <c r="AA26" s="81">
        <v>0</v>
      </c>
      <c r="AB26" s="81">
        <v>0.5</v>
      </c>
      <c r="AC26" s="99">
        <f t="shared" ref="AC26:AC30" si="21">Q26*$S$30*(1+T26)*(1+U26)*V26*(1+W26)*X26*Y26*(1+Z26)*(1+AA26)*(1+AB26)*O26</f>
        <v>0</v>
      </c>
    </row>
    <row r="27" s="1" customFormat="1" ht="15" spans="1:32">
      <c r="A27" s="95">
        <v>1357</v>
      </c>
      <c r="B27" s="100" t="s">
        <v>27</v>
      </c>
      <c r="C27" s="101">
        <f>288+337</f>
        <v>625</v>
      </c>
      <c r="D27" s="100" t="s">
        <v>28</v>
      </c>
      <c r="E27" s="46"/>
      <c r="F27" s="100" t="s">
        <v>90</v>
      </c>
      <c r="G27" s="102">
        <v>0.05</v>
      </c>
      <c r="H27" s="100" t="s">
        <v>90</v>
      </c>
      <c r="I27" s="46">
        <v>1.5</v>
      </c>
      <c r="J27" s="103" t="s">
        <v>30</v>
      </c>
      <c r="K27" s="46">
        <v>0.25</v>
      </c>
      <c r="L27" s="100" t="s">
        <v>86</v>
      </c>
      <c r="M27" s="102">
        <f>10.9%*3</f>
        <v>0.327</v>
      </c>
      <c r="O27" s="30">
        <v>0</v>
      </c>
      <c r="P27" s="53" t="s">
        <v>91</v>
      </c>
      <c r="Q27" s="84">
        <v>5.9643</v>
      </c>
      <c r="R27" s="53" t="s">
        <v>89</v>
      </c>
      <c r="S27" s="53">
        <v>10027</v>
      </c>
      <c r="T27" s="84">
        <v>0</v>
      </c>
      <c r="U27" s="84">
        <v>0</v>
      </c>
      <c r="V27" s="85">
        <v>1</v>
      </c>
      <c r="W27" s="86">
        <v>0</v>
      </c>
      <c r="X27" s="85">
        <f t="shared" si="19"/>
        <v>0.488431876606684</v>
      </c>
      <c r="Y27" s="53">
        <f t="shared" si="20"/>
        <v>0.8</v>
      </c>
      <c r="Z27" s="87">
        <v>0</v>
      </c>
      <c r="AA27" s="87">
        <v>0</v>
      </c>
      <c r="AB27" s="87">
        <v>0.5</v>
      </c>
      <c r="AC27" s="104">
        <f t="shared" si="21"/>
        <v>0</v>
      </c>
    </row>
    <row r="28" s="1" customFormat="1" ht="15" spans="1:32">
      <c r="A28" s="105">
        <f>16%+7.6*2%</f>
        <v>0.312</v>
      </c>
      <c r="B28" s="100" t="s">
        <v>92</v>
      </c>
      <c r="C28" s="46"/>
      <c r="D28" s="100" t="s">
        <v>93</v>
      </c>
      <c r="E28" s="46"/>
      <c r="F28" s="100" t="s">
        <v>36</v>
      </c>
      <c r="G28" s="102"/>
      <c r="H28" s="100" t="s">
        <v>94</v>
      </c>
      <c r="I28" s="102">
        <f>M29</f>
        <v>0.486</v>
      </c>
      <c r="J28" s="106" t="s">
        <v>95</v>
      </c>
      <c r="K28" s="102"/>
      <c r="L28" s="100" t="s">
        <v>23</v>
      </c>
      <c r="M28" s="102">
        <f>2*8.1%</f>
        <v>0.162</v>
      </c>
      <c r="O28" s="30">
        <v>0</v>
      </c>
      <c r="P28" s="53" t="s">
        <v>96</v>
      </c>
      <c r="Q28" s="84">
        <v>18.8075</v>
      </c>
      <c r="R28" s="53" t="s">
        <v>89</v>
      </c>
      <c r="S28" s="53">
        <v>10027</v>
      </c>
      <c r="T28" s="84">
        <v>0</v>
      </c>
      <c r="U28" s="84">
        <v>0</v>
      </c>
      <c r="V28" s="85">
        <v>1</v>
      </c>
      <c r="W28" s="86">
        <v>0</v>
      </c>
      <c r="X28" s="85">
        <f t="shared" si="19"/>
        <v>0.488431876606684</v>
      </c>
      <c r="Y28" s="53">
        <f t="shared" si="20"/>
        <v>0.8</v>
      </c>
      <c r="Z28" s="87">
        <v>0</v>
      </c>
      <c r="AA28" s="87">
        <v>0</v>
      </c>
      <c r="AB28" s="87">
        <v>0.5</v>
      </c>
      <c r="AC28" s="104">
        <f t="shared" si="21"/>
        <v>0</v>
      </c>
    </row>
    <row r="29" s="1" customFormat="1" ht="15" spans="1:32">
      <c r="A29" s="105">
        <f>36%+M27</f>
        <v>0.687</v>
      </c>
      <c r="B29" s="100" t="s">
        <v>97</v>
      </c>
      <c r="C29" s="46"/>
      <c r="D29" s="100" t="s">
        <v>98</v>
      </c>
      <c r="E29" s="46"/>
      <c r="F29" s="100" t="s">
        <v>42</v>
      </c>
      <c r="G29" s="102"/>
      <c r="H29" s="100" t="s">
        <v>99</v>
      </c>
      <c r="I29" s="102"/>
      <c r="J29" s="106" t="s">
        <v>100</v>
      </c>
      <c r="K29" s="102"/>
      <c r="L29" s="100" t="s">
        <v>46</v>
      </c>
      <c r="M29" s="102">
        <f>3*16.2%</f>
        <v>0.486</v>
      </c>
      <c r="O29" s="30">
        <v>0</v>
      </c>
      <c r="P29" s="53" t="s">
        <v>101</v>
      </c>
      <c r="Q29" s="84">
        <v>2.9822</v>
      </c>
      <c r="R29" s="53" t="s">
        <v>89</v>
      </c>
      <c r="S29" s="53">
        <v>10027</v>
      </c>
      <c r="T29" s="84">
        <v>0</v>
      </c>
      <c r="U29" s="84">
        <v>0</v>
      </c>
      <c r="V29" s="85">
        <v>1</v>
      </c>
      <c r="W29" s="86">
        <v>0</v>
      </c>
      <c r="X29" s="85">
        <f t="shared" si="19"/>
        <v>0.488431876606684</v>
      </c>
      <c r="Y29" s="53">
        <f t="shared" si="20"/>
        <v>0.8</v>
      </c>
      <c r="Z29" s="87">
        <v>0</v>
      </c>
      <c r="AA29" s="87">
        <v>0</v>
      </c>
      <c r="AB29" s="87">
        <v>0.5</v>
      </c>
      <c r="AC29" s="104">
        <f t="shared" si="21"/>
        <v>0</v>
      </c>
    </row>
    <row r="30" s="1" customFormat="1" ht="15" spans="1:32">
      <c r="A30" s="105">
        <v>0.418</v>
      </c>
      <c r="B30" s="100" t="s">
        <v>94</v>
      </c>
      <c r="C30" s="107">
        <f>25%+15%</f>
        <v>0.4</v>
      </c>
      <c r="D30" s="100" t="s">
        <v>102</v>
      </c>
      <c r="E30" s="46">
        <f>48%+40%</f>
        <v>0.88</v>
      </c>
      <c r="F30" s="100" t="s">
        <v>94</v>
      </c>
      <c r="G30" s="102">
        <f>M28</f>
        <v>0.162</v>
      </c>
      <c r="H30" s="100"/>
      <c r="I30" s="102"/>
      <c r="J30" s="106"/>
      <c r="K30" s="102"/>
      <c r="L30" s="100" t="s">
        <v>103</v>
      </c>
      <c r="M30" s="102">
        <f>8.6%*2</f>
        <v>0.172</v>
      </c>
      <c r="O30" s="47">
        <v>1.5</v>
      </c>
      <c r="P30" s="89" t="s">
        <v>104</v>
      </c>
      <c r="Q30" s="91">
        <v>16</v>
      </c>
      <c r="R30" s="89" t="s">
        <v>105</v>
      </c>
      <c r="S30" s="89">
        <v>10027</v>
      </c>
      <c r="T30" s="91">
        <v>0</v>
      </c>
      <c r="U30" s="91">
        <v>0</v>
      </c>
      <c r="V30" s="92">
        <v>1</v>
      </c>
      <c r="W30" s="93">
        <v>0</v>
      </c>
      <c r="X30" s="92">
        <f t="shared" si="19"/>
        <v>0.488431876606684</v>
      </c>
      <c r="Y30" s="89">
        <f t="shared" si="20"/>
        <v>0.8</v>
      </c>
      <c r="Z30" s="94">
        <v>0</v>
      </c>
      <c r="AA30" s="94">
        <v>0</v>
      </c>
      <c r="AB30" s="94">
        <v>0.5</v>
      </c>
      <c r="AC30" s="108">
        <f t="shared" si="21"/>
        <v>141048.185089974</v>
      </c>
      <c r="AD30" s="56"/>
    </row>
    <row r="31" s="1" customFormat="1" spans="1:32">
      <c r="A31" s="109">
        <v>0.2</v>
      </c>
      <c r="B31" s="100" t="s">
        <v>106</v>
      </c>
      <c r="C31" s="107"/>
      <c r="D31" s="100" t="s">
        <v>107</v>
      </c>
      <c r="E31" s="110"/>
      <c r="F31" s="100" t="s">
        <v>108</v>
      </c>
      <c r="G31" s="102"/>
      <c r="H31" s="100"/>
      <c r="I31" s="102"/>
      <c r="J31" s="106"/>
      <c r="K31" s="102"/>
      <c r="L31" s="100"/>
      <c r="M31" s="102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s="1" customFormat="1" ht="15" spans="1:32">
      <c r="A32" s="95"/>
      <c r="B32" s="100" t="s">
        <v>53</v>
      </c>
      <c r="C32" s="101">
        <v>350</v>
      </c>
      <c r="D32" s="100"/>
      <c r="E32" s="46"/>
      <c r="F32" s="111" t="s">
        <v>58</v>
      </c>
      <c r="G32" s="112">
        <f>MIN(100%,SUM(G27:G31))</f>
        <v>0.212</v>
      </c>
      <c r="H32" s="111" t="s">
        <v>59</v>
      </c>
      <c r="I32" s="113">
        <f>SUM(I27:I31)</f>
        <v>1.986</v>
      </c>
      <c r="J32" s="106"/>
      <c r="K32" s="102"/>
      <c r="L32" s="100"/>
      <c r="M32" s="101"/>
      <c r="O32" s="62">
        <v>1</v>
      </c>
      <c r="P32" s="114" t="s">
        <v>109</v>
      </c>
      <c r="Q32" s="75">
        <v>2.0279</v>
      </c>
      <c r="R32" s="76" t="s">
        <v>33</v>
      </c>
      <c r="S32" s="77">
        <f t="shared" ref="S32:S35" si="22">C$34</f>
        <v>1225</v>
      </c>
      <c r="T32" s="78">
        <f t="shared" ref="T32:T35" si="23">S32/$C$27-1</f>
        <v>0.96</v>
      </c>
      <c r="U32" s="78">
        <f t="shared" ref="U32:U35" si="24">E$30</f>
        <v>0.88</v>
      </c>
      <c r="V32" s="79">
        <f t="shared" ref="V32:V35" si="25">1+$G$32*($I$32-1)</f>
        <v>1.209032</v>
      </c>
      <c r="W32" s="80">
        <f t="shared" ref="W32:W37" si="26">K$27</f>
        <v>0.25</v>
      </c>
      <c r="X32" s="79">
        <f t="shared" ref="X32:X37" si="27">$AF$3</f>
        <v>0.488431876606684</v>
      </c>
      <c r="Y32" s="76">
        <f t="shared" ref="Y32:Y37" si="28">$AF$14</f>
        <v>0.8</v>
      </c>
      <c r="Z32" s="81">
        <v>0</v>
      </c>
      <c r="AA32" s="81">
        <v>0</v>
      </c>
      <c r="AB32" s="28">
        <f t="shared" ref="AB32:AB37" si="29">$AF$17</f>
        <v>0.18</v>
      </c>
      <c r="AC32" s="19">
        <f t="shared" ref="AC32:AC35" si="30">Q32*$C$27*(1+T32)*(1+U32)*V32*(1+W32)*X32*Y32*(1+Z32)*(1+AA32)*(1+AB32)*O32</f>
        <v>3254.3501275887</v>
      </c>
    </row>
    <row r="33" s="1" customFormat="1" ht="15" spans="1:29">
      <c r="A33" s="95"/>
      <c r="B33" s="115" t="s">
        <v>57</v>
      </c>
      <c r="C33" s="116"/>
      <c r="D33" s="115" t="s">
        <v>110</v>
      </c>
      <c r="E33" s="117">
        <f>M30</f>
        <v>0.172</v>
      </c>
      <c r="F33" s="115"/>
      <c r="G33" s="118"/>
      <c r="H33" s="115"/>
      <c r="I33" s="116"/>
      <c r="J33" s="119"/>
      <c r="K33" s="118"/>
      <c r="L33" s="115"/>
      <c r="M33" s="116"/>
      <c r="N33" s="120"/>
      <c r="O33" s="121">
        <v>1</v>
      </c>
      <c r="P33" s="114" t="s">
        <v>111</v>
      </c>
      <c r="Q33" s="43">
        <f>22.27%+16.71%*2+23.86%+23.86%+17.9%*4+41.36%+10.34%*6</f>
        <v>2.7841</v>
      </c>
      <c r="R33" s="53" t="s">
        <v>1</v>
      </c>
      <c r="S33" s="83">
        <f t="shared" si="22"/>
        <v>1225</v>
      </c>
      <c r="T33" s="84">
        <f t="shared" si="23"/>
        <v>0.96</v>
      </c>
      <c r="U33" s="84">
        <f t="shared" si="24"/>
        <v>0.88</v>
      </c>
      <c r="V33" s="85">
        <f t="shared" si="25"/>
        <v>1.209032</v>
      </c>
      <c r="W33" s="86">
        <f t="shared" si="26"/>
        <v>0.25</v>
      </c>
      <c r="X33" s="85">
        <f t="shared" si="27"/>
        <v>0.488431876606684</v>
      </c>
      <c r="Y33" s="53">
        <f t="shared" si="28"/>
        <v>0.8</v>
      </c>
      <c r="Z33" s="87">
        <v>0</v>
      </c>
      <c r="AA33" s="87">
        <v>0</v>
      </c>
      <c r="AB33" s="28">
        <f t="shared" si="29"/>
        <v>0.18</v>
      </c>
      <c r="AC33" s="19">
        <f t="shared" si="30"/>
        <v>4467.8910154444</v>
      </c>
    </row>
    <row r="34" s="1" customFormat="1" ht="15" spans="1:29">
      <c r="A34" s="95">
        <f>A27*(1+A28+A29+A30+A31)</f>
        <v>3551.269</v>
      </c>
      <c r="B34" s="122"/>
      <c r="C34" s="122">
        <f>C27*(1+C30)+C32</f>
        <v>1225</v>
      </c>
      <c r="D34" s="122"/>
      <c r="E34" s="122"/>
      <c r="F34" s="122" t="s">
        <v>112</v>
      </c>
      <c r="G34" s="123"/>
      <c r="H34" s="122"/>
      <c r="I34" s="122"/>
      <c r="J34" s="122"/>
      <c r="K34" s="122"/>
      <c r="L34" s="122"/>
      <c r="M34" s="122"/>
      <c r="N34" s="53"/>
      <c r="O34" s="121">
        <v>1</v>
      </c>
      <c r="P34" s="114" t="s">
        <v>113</v>
      </c>
      <c r="Q34" s="43">
        <f>39.77%*4</f>
        <v>1.5908</v>
      </c>
      <c r="R34" s="53" t="s">
        <v>78</v>
      </c>
      <c r="S34" s="83">
        <f t="shared" si="22"/>
        <v>1225</v>
      </c>
      <c r="T34" s="84">
        <f t="shared" si="23"/>
        <v>0.96</v>
      </c>
      <c r="U34" s="84">
        <f t="shared" si="24"/>
        <v>0.88</v>
      </c>
      <c r="V34" s="85">
        <f t="shared" si="25"/>
        <v>1.209032</v>
      </c>
      <c r="W34" s="86">
        <f t="shared" si="26"/>
        <v>0.25</v>
      </c>
      <c r="X34" s="85">
        <f t="shared" si="27"/>
        <v>0.488431876606684</v>
      </c>
      <c r="Y34" s="53">
        <f t="shared" si="28"/>
        <v>0.8</v>
      </c>
      <c r="Z34" s="87">
        <v>0</v>
      </c>
      <c r="AA34" s="87">
        <v>0</v>
      </c>
      <c r="AB34" s="28">
        <f t="shared" si="29"/>
        <v>0.18</v>
      </c>
      <c r="AC34" s="19">
        <f t="shared" si="30"/>
        <v>2552.89717588052</v>
      </c>
    </row>
    <row r="35" s="1" customFormat="1" ht="15" spans="1:29">
      <c r="A35" s="56"/>
      <c r="B35" s="124"/>
      <c r="C35" s="124"/>
      <c r="D35" s="124"/>
      <c r="E35" s="124"/>
      <c r="F35" s="124"/>
      <c r="G35" s="125"/>
      <c r="N35" s="53"/>
      <c r="O35" s="121">
        <v>1</v>
      </c>
      <c r="P35" s="114" t="s">
        <v>114</v>
      </c>
      <c r="Q35" s="43">
        <v>3.51</v>
      </c>
      <c r="R35" s="53" t="s">
        <v>26</v>
      </c>
      <c r="S35" s="83">
        <f t="shared" si="22"/>
        <v>1225</v>
      </c>
      <c r="T35" s="84">
        <f t="shared" si="23"/>
        <v>0.96</v>
      </c>
      <c r="U35" s="84">
        <f t="shared" si="24"/>
        <v>0.88</v>
      </c>
      <c r="V35" s="85">
        <f t="shared" si="25"/>
        <v>1.209032</v>
      </c>
      <c r="W35" s="86">
        <f t="shared" si="26"/>
        <v>0.25</v>
      </c>
      <c r="X35" s="85">
        <f t="shared" si="27"/>
        <v>0.488431876606684</v>
      </c>
      <c r="Y35" s="53">
        <f t="shared" si="28"/>
        <v>0.8</v>
      </c>
      <c r="Z35" s="87">
        <v>0</v>
      </c>
      <c r="AA35" s="87">
        <v>0</v>
      </c>
      <c r="AB35" s="28">
        <f t="shared" si="29"/>
        <v>0.18</v>
      </c>
      <c r="AC35" s="19">
        <f t="shared" si="30"/>
        <v>5632.80681879597</v>
      </c>
    </row>
    <row r="36" s="1" customFormat="1" ht="15" spans="1:29">
      <c r="B36" s="126" t="s">
        <v>115</v>
      </c>
      <c r="G36" s="2"/>
      <c r="N36" s="53"/>
      <c r="O36" s="121">
        <v>1</v>
      </c>
      <c r="P36" s="114" t="s">
        <v>116</v>
      </c>
      <c r="Q36" s="43">
        <v>5.2233</v>
      </c>
      <c r="R36" s="53" t="s">
        <v>75</v>
      </c>
      <c r="S36" s="83">
        <f>A34</f>
        <v>3551.269</v>
      </c>
      <c r="T36" s="84">
        <v>0</v>
      </c>
      <c r="U36" s="84">
        <f>E$30+M30</f>
        <v>1.052</v>
      </c>
      <c r="V36" s="85">
        <f>I32+1.6</f>
        <v>3.586</v>
      </c>
      <c r="W36" s="86">
        <f t="shared" si="26"/>
        <v>0.25</v>
      </c>
      <c r="X36" s="85">
        <f t="shared" si="27"/>
        <v>0.488431876606684</v>
      </c>
      <c r="Y36" s="53">
        <f t="shared" si="28"/>
        <v>0.8</v>
      </c>
      <c r="Z36" s="87">
        <v>0</v>
      </c>
      <c r="AA36" s="87">
        <v>0</v>
      </c>
      <c r="AB36" s="28">
        <f t="shared" si="29"/>
        <v>0.18</v>
      </c>
      <c r="AC36" s="19">
        <f>Q36*$S$36*(1+T36)*(1+U36)*V36*(1+W36)*X36*Y36*(1+Z36)*(1+AA36)*(1+AB36)*O36</f>
        <v>78668.7390581741</v>
      </c>
    </row>
    <row r="37" s="1" customFormat="1" ht="17.5" spans="1:29">
      <c r="B37" s="127" t="s">
        <v>117</v>
      </c>
      <c r="C37" s="128" t="s">
        <v>118</v>
      </c>
      <c r="D37" s="128" t="s">
        <v>119</v>
      </c>
      <c r="E37" s="128" t="s">
        <v>120</v>
      </c>
      <c r="F37" s="128" t="s">
        <v>121</v>
      </c>
      <c r="G37" s="2"/>
      <c r="I37" s="129" t="s">
        <v>122</v>
      </c>
      <c r="J37" s="129" t="s">
        <v>119</v>
      </c>
      <c r="N37" s="53"/>
      <c r="O37" s="130">
        <v>1</v>
      </c>
      <c r="P37" s="114" t="s">
        <v>123</v>
      </c>
      <c r="Q37" s="52">
        <f>258.46%</f>
        <v>2.5846</v>
      </c>
      <c r="R37" s="89" t="s">
        <v>78</v>
      </c>
      <c r="S37" s="90">
        <f>C$34</f>
        <v>1225</v>
      </c>
      <c r="T37" s="91">
        <f>S37/$C$27-1</f>
        <v>0.96</v>
      </c>
      <c r="U37" s="91">
        <f>E$30</f>
        <v>0.88</v>
      </c>
      <c r="V37" s="92">
        <f>1+$G$32*($I$32-1)</f>
        <v>1.209032</v>
      </c>
      <c r="W37" s="93">
        <f t="shared" si="26"/>
        <v>0.25</v>
      </c>
      <c r="X37" s="92">
        <f t="shared" si="27"/>
        <v>0.488431876606684</v>
      </c>
      <c r="Y37" s="89">
        <f t="shared" si="28"/>
        <v>0.8</v>
      </c>
      <c r="Z37" s="94">
        <v>0</v>
      </c>
      <c r="AA37" s="94">
        <v>0</v>
      </c>
      <c r="AB37" s="28">
        <f t="shared" si="29"/>
        <v>0.18</v>
      </c>
      <c r="AC37" s="19">
        <f>Q37*$C$27*(1+T37)*(1+U37)*V37*(1+W37)*X37*Y37*(1+Z37)*(1+AA37)*(1+AB37)*O37</f>
        <v>4147.73575608549</v>
      </c>
    </row>
    <row r="38" s="1" customFormat="1" ht="17.5" spans="1:29">
      <c r="B38" s="4" t="s">
        <v>3</v>
      </c>
      <c r="C38" s="131">
        <f>SUM(AC3:AC15)</f>
        <v>1555018.75500914</v>
      </c>
      <c r="D38" s="131">
        <f t="shared" ref="D38:D41" si="31">C38/$E$38</f>
        <v>62200.7502003654</v>
      </c>
      <c r="E38" s="132">
        <v>25</v>
      </c>
      <c r="F38" s="133">
        <f t="shared" ref="F38:F41" si="32">C38/$C$43</f>
        <v>0.711959114010094</v>
      </c>
      <c r="G38" s="2"/>
      <c r="I38" s="134" t="s">
        <v>124</v>
      </c>
      <c r="J38" s="134">
        <v>79055</v>
      </c>
      <c r="Q38" s="2"/>
      <c r="U38" s="2"/>
      <c r="V38" s="3"/>
      <c r="AB38" s="4"/>
      <c r="AC38" s="4"/>
    </row>
    <row r="39" s="1" customFormat="1" ht="17.5" spans="1:29">
      <c r="B39" s="4" t="s">
        <v>66</v>
      </c>
      <c r="C39" s="131">
        <f>SUM(AC16:AC24)</f>
        <v>389349.167697104</v>
      </c>
      <c r="D39" s="131">
        <f t="shared" si="31"/>
        <v>15573.9667078842</v>
      </c>
      <c r="E39" s="135"/>
      <c r="F39" s="133">
        <f t="shared" si="32"/>
        <v>0.178261958308387</v>
      </c>
      <c r="G39" s="2"/>
      <c r="I39" s="134" t="s">
        <v>125</v>
      </c>
      <c r="J39" s="134">
        <v>83210</v>
      </c>
      <c r="Q39" s="2"/>
      <c r="U39" s="2"/>
      <c r="V39" s="3"/>
      <c r="AB39" s="4"/>
      <c r="AC39" s="4"/>
    </row>
    <row r="40" s="1" customFormat="1" ht="17.5" spans="1:29">
      <c r="B40" s="4" t="s">
        <v>85</v>
      </c>
      <c r="C40" s="131">
        <f>SUM(AC32:AC37)+AC29</f>
        <v>98724.4199519691</v>
      </c>
      <c r="D40" s="131">
        <f t="shared" si="31"/>
        <v>3948.97679807877</v>
      </c>
      <c r="E40" s="136"/>
      <c r="F40" s="133">
        <f t="shared" si="32"/>
        <v>0.0452005805934807</v>
      </c>
      <c r="G40" s="2"/>
      <c r="I40" s="134" t="s">
        <v>126</v>
      </c>
      <c r="J40" s="134">
        <v>87366</v>
      </c>
      <c r="Q40" s="2"/>
      <c r="U40" s="2"/>
      <c r="V40" s="3"/>
      <c r="AB40" s="4"/>
      <c r="AC40" s="4"/>
    </row>
    <row r="41" s="1" customFormat="1" ht="17.5" spans="1:29">
      <c r="B41" s="4" t="s">
        <v>104</v>
      </c>
      <c r="C41" s="131">
        <f>AC30</f>
        <v>141048.185089974</v>
      </c>
      <c r="D41" s="131">
        <f t="shared" si="31"/>
        <v>5641.92740359897</v>
      </c>
      <c r="E41" s="136"/>
      <c r="F41" s="133">
        <f t="shared" si="32"/>
        <v>0.0645783470880388</v>
      </c>
      <c r="G41" s="2"/>
      <c r="I41" s="134" t="s">
        <v>127</v>
      </c>
      <c r="J41" s="134">
        <v>91521</v>
      </c>
      <c r="Q41" s="2"/>
      <c r="U41" s="2"/>
      <c r="V41" s="3"/>
      <c r="AB41" s="4"/>
      <c r="AC41" s="4"/>
    </row>
    <row r="42" s="1" customFormat="1" ht="15" spans="1:29">
      <c r="B42" s="4"/>
      <c r="C42" s="131"/>
      <c r="D42" s="131"/>
      <c r="E42" s="136"/>
      <c r="F42" s="133"/>
      <c r="G42" s="2"/>
      <c r="Q42" s="2"/>
      <c r="U42" s="2"/>
      <c r="V42" s="3"/>
      <c r="AB42" s="4"/>
      <c r="AC42" s="4"/>
    </row>
    <row r="43" s="1" customFormat="1" ht="15" spans="1:29">
      <c r="B43" s="4" t="s">
        <v>128</v>
      </c>
      <c r="C43" s="137">
        <f>SUM(C38:C41)</f>
        <v>2184140.52774818</v>
      </c>
      <c r="D43" s="137">
        <f>C43/E38</f>
        <v>87365.6211099273</v>
      </c>
      <c r="E43" s="138"/>
      <c r="F43" s="139"/>
      <c r="G43" s="2"/>
      <c r="Q43" s="2"/>
      <c r="U43" s="2"/>
      <c r="V43" s="3"/>
      <c r="AB43" s="4"/>
      <c r="AC43" s="4"/>
    </row>
    <row r="44" s="1" customFormat="1" ht="15" spans="1:29">
      <c r="B44" s="4"/>
      <c r="C44" s="4"/>
      <c r="D44" s="4"/>
      <c r="G44" s="140"/>
      <c r="Q44" s="2"/>
      <c r="U44" s="2"/>
      <c r="V44" s="3"/>
      <c r="AB44" s="4"/>
      <c r="AC44" s="4"/>
    </row>
    <row r="45" s="1" customFormat="1" ht="15" spans="1:29">
      <c r="B45" s="141" t="s">
        <v>129</v>
      </c>
      <c r="C45" s="142"/>
      <c r="D45" s="142"/>
      <c r="E45" s="142"/>
      <c r="F45" s="143"/>
      <c r="G45" s="2"/>
      <c r="Q45" s="2"/>
      <c r="U45" s="2"/>
      <c r="V45" s="3"/>
      <c r="AB45" s="4"/>
      <c r="AC45" s="4"/>
    </row>
    <row r="46" s="1" customFormat="1" ht="15" spans="1:29">
      <c r="B46" s="144"/>
      <c r="C46" s="145"/>
      <c r="D46" s="145"/>
      <c r="E46" s="145"/>
      <c r="F46" s="146"/>
      <c r="G46" s="2"/>
      <c r="Q46" s="2"/>
      <c r="U46" s="2"/>
      <c r="V46" s="3"/>
      <c r="AB46" s="4"/>
      <c r="AC46" s="4"/>
    </row>
    <row r="47" s="1" customFormat="1" spans="1:29">
      <c r="B47" s="147"/>
      <c r="C47" s="147"/>
      <c r="D47" s="147"/>
      <c r="E47" s="147"/>
      <c r="F47" s="147"/>
      <c r="Q47" s="2"/>
      <c r="U47" s="2"/>
      <c r="V47" s="3"/>
      <c r="AB47" s="4"/>
      <c r="AC47" s="4"/>
    </row>
    <row r="48" s="1" customFormat="1" ht="15" spans="1:29">
      <c r="B48" s="148" t="s">
        <v>130</v>
      </c>
      <c r="C48" s="149" t="s">
        <v>3</v>
      </c>
      <c r="D48" s="149" t="s">
        <v>131</v>
      </c>
      <c r="E48" s="76"/>
      <c r="F48" s="150"/>
      <c r="G48" s="2"/>
      <c r="Q48" s="2"/>
      <c r="U48" s="2"/>
      <c r="V48" s="3"/>
      <c r="AB48" s="4"/>
      <c r="AC48" s="4"/>
    </row>
    <row r="49" s="1" customFormat="1" ht="15" spans="2:29">
      <c r="B49" s="151"/>
      <c r="C49" s="136" t="s">
        <v>66</v>
      </c>
      <c r="D49" s="136" t="s">
        <v>132</v>
      </c>
      <c r="F49" s="152"/>
      <c r="G49" s="2"/>
      <c r="Q49" s="2"/>
      <c r="U49" s="2"/>
      <c r="V49" s="3"/>
      <c r="AB49" s="4"/>
      <c r="AC49" s="4"/>
    </row>
    <row r="50" s="1" customFormat="1" ht="15" spans="2:29">
      <c r="B50" s="154"/>
      <c r="C50" s="155" t="s">
        <v>133</v>
      </c>
      <c r="D50" s="155" t="s">
        <v>134</v>
      </c>
      <c r="E50" s="89"/>
      <c r="F50" s="48"/>
      <c r="G50" s="2"/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F57" s="4"/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G58" s="2"/>
      <c r="Q58" s="2"/>
      <c r="U58" s="2"/>
      <c r="V58" s="3"/>
      <c r="AB58" s="4"/>
      <c r="AC58" s="4"/>
    </row>
    <row r="59" s="1" customFormat="1" spans="2:29">
      <c r="G59" s="2"/>
      <c r="Q59" s="2"/>
      <c r="U59" s="2"/>
      <c r="V59" s="3"/>
      <c r="AB59" s="4"/>
      <c r="AC59" s="4"/>
    </row>
    <row r="60" s="1" customFormat="1" spans="2:29">
      <c r="B60" s="4"/>
      <c r="C60" s="4"/>
      <c r="D60" s="4"/>
      <c r="G60" s="2"/>
      <c r="Q60" s="2"/>
      <c r="U60" s="2"/>
      <c r="V60" s="3"/>
      <c r="AB60" s="4"/>
      <c r="AC60" s="4"/>
    </row>
    <row r="61" s="1" customFormat="1" spans="2:29"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A19" workbookViewId="0">
      <selection activeCell="I43" sqref="I43:J46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9.36363636363636" style="1" customWidth="1"/>
    <col min="10" max="10" width="8.09090909090909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0</v>
      </c>
      <c r="C1" s="5" t="s">
        <v>1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0" t="s">
        <v>5</v>
      </c>
      <c r="Q2" s="11" t="s">
        <v>6</v>
      </c>
      <c r="R2" s="10" t="s">
        <v>7</v>
      </c>
      <c r="S2" s="10" t="s">
        <v>8</v>
      </c>
      <c r="T2" s="10" t="s">
        <v>9</v>
      </c>
      <c r="U2" s="11" t="s">
        <v>10</v>
      </c>
      <c r="V2" s="12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3" t="s">
        <v>17</v>
      </c>
      <c r="AC2" s="13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18">
        <v>1</v>
      </c>
      <c r="P3" s="19" t="s">
        <v>26</v>
      </c>
      <c r="Q3" s="20">
        <v>1.6102</v>
      </c>
      <c r="R3" s="21" t="s">
        <v>26</v>
      </c>
      <c r="S3" s="22">
        <f t="shared" ref="S3:S15" si="0">$C$4*(1+C$5+C$6+C$7+C$8)+C$9</f>
        <v>3197.6</v>
      </c>
      <c r="T3" s="23">
        <f t="shared" ref="T3:T15" si="1">S3/$C$4-1</f>
        <v>2.04533333333333</v>
      </c>
      <c r="U3" s="23">
        <f>IF(R3=$C$1,SUM($E$4:$E$9),SUM($E$4:$E$8))+60%</f>
        <v>2.5</v>
      </c>
      <c r="V3" s="24">
        <f t="shared" ref="V3:V15" si="2">1+$G$10*($I$10-1)</f>
        <v>2.806</v>
      </c>
      <c r="W3" s="25">
        <f t="shared" ref="W3:W14" si="3">IF(R3=$C$1,$K$4+$K$5,$K$4)</f>
        <v>0.55</v>
      </c>
      <c r="X3" s="26">
        <f>$AF$3</f>
        <v>0.488431876606684</v>
      </c>
      <c r="Y3" s="21">
        <f t="shared" ref="Y3:Y7" si="4">$AF$14</f>
        <v>0.8</v>
      </c>
      <c r="Z3" s="27">
        <v>0</v>
      </c>
      <c r="AA3" s="27">
        <v>0</v>
      </c>
      <c r="AB3" s="28">
        <f t="shared" ref="AB3:AB24" si="5">$AF$17</f>
        <v>0.18</v>
      </c>
      <c r="AC3" s="19">
        <f t="shared" ref="AC3:AC15" si="6">Q3*$C$4*(1+T3)*(1+U3)*V3*(1+W3)*X3*Y3*(1+Z3)*(1+AA3)*(1+AB3)*O3</f>
        <v>36138.2701983774</v>
      </c>
      <c r="AD3" s="14">
        <v>0</v>
      </c>
      <c r="AE3" s="14">
        <v>0</v>
      </c>
      <c r="AF3" s="15">
        <f t="shared" ref="AF3:AF8" si="7">1520/(1520+(792+8*AG3)*(1-AE3/100))</f>
        <v>0.488431876606684</v>
      </c>
      <c r="AG3" s="29">
        <v>100</v>
      </c>
    </row>
    <row r="4" s="1" customFormat="1" ht="15" spans="2:33">
      <c r="B4" s="30" t="s">
        <v>27</v>
      </c>
      <c r="C4" s="31">
        <f>463+587</f>
        <v>1050</v>
      </c>
      <c r="D4" s="30" t="s">
        <v>28</v>
      </c>
      <c r="E4" s="32">
        <f>E1*30%</f>
        <v>0.6</v>
      </c>
      <c r="F4" s="30" t="s">
        <v>29</v>
      </c>
      <c r="G4" s="33">
        <v>0.13</v>
      </c>
      <c r="H4" s="30" t="s">
        <v>29</v>
      </c>
      <c r="I4" s="33">
        <v>1.5</v>
      </c>
      <c r="J4" s="34" t="s">
        <v>30</v>
      </c>
      <c r="K4" s="35">
        <f>15%+25%+15%</f>
        <v>0.55</v>
      </c>
      <c r="L4" s="30" t="s">
        <v>31</v>
      </c>
      <c r="M4" s="33">
        <f>8.6%*2</f>
        <v>0.172</v>
      </c>
      <c r="O4" s="36">
        <v>1</v>
      </c>
      <c r="P4" s="19" t="s">
        <v>32</v>
      </c>
      <c r="Q4" s="37">
        <f>72.67%*3</f>
        <v>2.1801</v>
      </c>
      <c r="R4" s="38" t="s">
        <v>33</v>
      </c>
      <c r="S4" s="39">
        <f t="shared" si="0"/>
        <v>3197.6</v>
      </c>
      <c r="T4" s="40">
        <f t="shared" si="1"/>
        <v>2.04533333333333</v>
      </c>
      <c r="U4" s="40">
        <f t="shared" ref="U4:U13" si="8">IF(R4=$C$1,SUM($E$4:$E$9),SUM($E$4:$E$8))</f>
        <v>1.9</v>
      </c>
      <c r="V4" s="24">
        <f t="shared" si="2"/>
        <v>2.806</v>
      </c>
      <c r="W4" s="41">
        <f t="shared" si="3"/>
        <v>0.55</v>
      </c>
      <c r="X4" s="26">
        <f>$AF$3</f>
        <v>0.488431876606684</v>
      </c>
      <c r="Y4" s="38">
        <f t="shared" si="4"/>
        <v>0.8</v>
      </c>
      <c r="Z4" s="42">
        <v>0</v>
      </c>
      <c r="AA4" s="42">
        <v>0</v>
      </c>
      <c r="AB4" s="28">
        <f t="shared" si="5"/>
        <v>0.18</v>
      </c>
      <c r="AC4" s="19">
        <f t="shared" si="6"/>
        <v>40540.9486474616</v>
      </c>
      <c r="AD4" s="14">
        <v>10</v>
      </c>
      <c r="AE4" s="14">
        <v>0</v>
      </c>
      <c r="AF4" s="15">
        <f>1520/(1520+(792+8*AG4)*(1-AE4/100)*(1-AD4/100))</f>
        <v>0.514765646166351</v>
      </c>
      <c r="AG4" s="29">
        <v>100</v>
      </c>
    </row>
    <row r="5" s="1" customFormat="1" ht="15" spans="2:33">
      <c r="B5" s="30" t="s">
        <v>34</v>
      </c>
      <c r="C5" s="32">
        <f>12%+12%</f>
        <v>0.24</v>
      </c>
      <c r="D5" s="30" t="s">
        <v>35</v>
      </c>
      <c r="E5" s="32">
        <v>0.4</v>
      </c>
      <c r="F5" s="30" t="s">
        <v>36</v>
      </c>
      <c r="G5" s="33">
        <v>0.243</v>
      </c>
      <c r="H5" s="30" t="s">
        <v>36</v>
      </c>
      <c r="I5" s="33">
        <v>0</v>
      </c>
      <c r="J5" s="43" t="s">
        <v>37</v>
      </c>
      <c r="K5" s="35">
        <v>0.2</v>
      </c>
      <c r="L5" s="30" t="s">
        <v>38</v>
      </c>
      <c r="M5" s="33">
        <f>8.6%*2</f>
        <v>0.172</v>
      </c>
      <c r="O5" s="36">
        <v>2</v>
      </c>
      <c r="P5" s="19" t="s">
        <v>39</v>
      </c>
      <c r="Q5" s="37">
        <v>0.5746</v>
      </c>
      <c r="R5" s="38" t="s">
        <v>1</v>
      </c>
      <c r="S5" s="39">
        <f t="shared" si="0"/>
        <v>3197.6</v>
      </c>
      <c r="T5" s="40">
        <f t="shared" si="1"/>
        <v>2.04533333333333</v>
      </c>
      <c r="U5" s="40">
        <f t="shared" si="8"/>
        <v>2.192</v>
      </c>
      <c r="V5" s="24">
        <f t="shared" si="2"/>
        <v>2.806</v>
      </c>
      <c r="W5" s="41">
        <f t="shared" si="3"/>
        <v>0.75</v>
      </c>
      <c r="X5" s="26">
        <f t="shared" ref="X3:X15" si="9">$AF$4</f>
        <v>0.514765646166351</v>
      </c>
      <c r="Y5" s="38">
        <f t="shared" si="4"/>
        <v>0.8</v>
      </c>
      <c r="Z5" s="42">
        <v>0</v>
      </c>
      <c r="AA5" s="42">
        <v>0</v>
      </c>
      <c r="AB5" s="28">
        <f t="shared" si="5"/>
        <v>0.18</v>
      </c>
      <c r="AC5" s="19">
        <f t="shared" si="6"/>
        <v>27989.1623138697</v>
      </c>
      <c r="AD5" s="14">
        <v>0</v>
      </c>
      <c r="AE5" s="14">
        <v>30</v>
      </c>
      <c r="AF5" s="15">
        <f t="shared" si="7"/>
        <v>0.57698147585788</v>
      </c>
      <c r="AG5" s="29">
        <v>100</v>
      </c>
    </row>
    <row r="6" s="1" customFormat="1" ht="15" spans="2:33">
      <c r="B6" s="30" t="s">
        <v>40</v>
      </c>
      <c r="C6" s="33">
        <f>18%+18%+M4+(2-E1)*30%</f>
        <v>0.532</v>
      </c>
      <c r="D6" s="30" t="s">
        <v>41</v>
      </c>
      <c r="E6" s="32">
        <v>0.12</v>
      </c>
      <c r="F6" s="30" t="s">
        <v>42</v>
      </c>
      <c r="G6" s="33"/>
      <c r="H6" s="30" t="s">
        <v>42</v>
      </c>
      <c r="I6" s="33">
        <v>0</v>
      </c>
      <c r="J6" s="43"/>
      <c r="K6" s="32"/>
      <c r="L6" s="30" t="s">
        <v>23</v>
      </c>
      <c r="M6" s="33">
        <f>8.1*5%</f>
        <v>0.405</v>
      </c>
      <c r="O6" s="36">
        <v>3</v>
      </c>
      <c r="P6" s="19" t="s">
        <v>43</v>
      </c>
      <c r="Q6" s="37">
        <f>50.42%+50.42%</f>
        <v>1.0084</v>
      </c>
      <c r="R6" s="38" t="s">
        <v>1</v>
      </c>
      <c r="S6" s="39">
        <f t="shared" si="0"/>
        <v>3197.6</v>
      </c>
      <c r="T6" s="40">
        <f t="shared" si="1"/>
        <v>2.04533333333333</v>
      </c>
      <c r="U6" s="40">
        <f t="shared" si="8"/>
        <v>2.192</v>
      </c>
      <c r="V6" s="24">
        <f t="shared" si="2"/>
        <v>2.806</v>
      </c>
      <c r="W6" s="41">
        <f t="shared" si="3"/>
        <v>0.75</v>
      </c>
      <c r="X6" s="26">
        <f t="shared" si="9"/>
        <v>0.514765646166351</v>
      </c>
      <c r="Y6" s="38">
        <f t="shared" ref="Y6:Y15" si="10">$AF$12</f>
        <v>0.8</v>
      </c>
      <c r="Z6" s="42">
        <v>0</v>
      </c>
      <c r="AA6" s="42">
        <v>0</v>
      </c>
      <c r="AB6" s="28">
        <f t="shared" si="5"/>
        <v>0.18</v>
      </c>
      <c r="AC6" s="19">
        <f t="shared" si="6"/>
        <v>73679.7892724667</v>
      </c>
      <c r="AD6" s="14">
        <v>0</v>
      </c>
      <c r="AE6" s="14">
        <v>21.6</v>
      </c>
      <c r="AF6" s="15">
        <f t="shared" si="7"/>
        <v>0.549107555719967</v>
      </c>
      <c r="AG6" s="29">
        <v>100</v>
      </c>
    </row>
    <row r="7" s="1" customFormat="1" ht="15" spans="2:33">
      <c r="B7" s="30" t="s">
        <v>44</v>
      </c>
      <c r="C7" s="33">
        <v>0.25</v>
      </c>
      <c r="D7" s="30" t="s">
        <v>45</v>
      </c>
      <c r="E7" s="32">
        <f>58%</f>
        <v>0.58</v>
      </c>
      <c r="F7" s="30" t="s">
        <v>40</v>
      </c>
      <c r="G7" s="33">
        <f>M6</f>
        <v>0.405</v>
      </c>
      <c r="H7" s="30" t="s">
        <v>40</v>
      </c>
      <c r="I7" s="33">
        <f>M7+44%</f>
        <v>1.25</v>
      </c>
      <c r="J7" s="43"/>
      <c r="K7" s="32"/>
      <c r="L7" s="30" t="s">
        <v>46</v>
      </c>
      <c r="M7" s="32">
        <f>16.2%*5</f>
        <v>0.81</v>
      </c>
      <c r="O7" s="36">
        <v>3</v>
      </c>
      <c r="P7" s="19" t="s">
        <v>47</v>
      </c>
      <c r="Q7" s="37">
        <f>74.92%+74.92%</f>
        <v>1.4984</v>
      </c>
      <c r="R7" s="38" t="s">
        <v>1</v>
      </c>
      <c r="S7" s="39">
        <f t="shared" si="0"/>
        <v>3197.6</v>
      </c>
      <c r="T7" s="40">
        <f t="shared" si="1"/>
        <v>2.04533333333333</v>
      </c>
      <c r="U7" s="40">
        <f t="shared" si="8"/>
        <v>2.192</v>
      </c>
      <c r="V7" s="24">
        <f t="shared" si="2"/>
        <v>2.806</v>
      </c>
      <c r="W7" s="41">
        <f t="shared" si="3"/>
        <v>0.75</v>
      </c>
      <c r="X7" s="26">
        <f t="shared" si="9"/>
        <v>0.514765646166351</v>
      </c>
      <c r="Y7" s="38">
        <f t="shared" si="4"/>
        <v>0.8</v>
      </c>
      <c r="Z7" s="42">
        <v>0</v>
      </c>
      <c r="AA7" s="42">
        <v>0</v>
      </c>
      <c r="AB7" s="28">
        <f t="shared" si="5"/>
        <v>0.18</v>
      </c>
      <c r="AC7" s="19">
        <f t="shared" si="6"/>
        <v>109482.146217636</v>
      </c>
      <c r="AD7" s="14">
        <v>0</v>
      </c>
      <c r="AE7" s="14">
        <v>28.8</v>
      </c>
      <c r="AF7" s="15">
        <f t="shared" si="7"/>
        <v>0.572827476423627</v>
      </c>
      <c r="AG7" s="29">
        <v>100</v>
      </c>
    </row>
    <row r="8" s="1" customFormat="1" ht="15" spans="2:33">
      <c r="B8" s="30" t="s">
        <v>48</v>
      </c>
      <c r="C8" s="44">
        <f>25%+30%+14%</f>
        <v>0.69</v>
      </c>
      <c r="D8" s="30" t="s">
        <v>49</v>
      </c>
      <c r="E8" s="45">
        <v>0.2</v>
      </c>
      <c r="F8" s="30" t="s">
        <v>50</v>
      </c>
      <c r="G8" s="33">
        <v>0</v>
      </c>
      <c r="H8" s="30" t="s">
        <v>51</v>
      </c>
      <c r="I8" s="33"/>
      <c r="J8" s="43"/>
      <c r="K8" s="32"/>
      <c r="L8" s="30"/>
      <c r="M8" s="31"/>
      <c r="O8" s="36">
        <v>2</v>
      </c>
      <c r="P8" s="19" t="s">
        <v>52</v>
      </c>
      <c r="Q8" s="37">
        <v>1.5547</v>
      </c>
      <c r="R8" s="38" t="s">
        <v>1</v>
      </c>
      <c r="S8" s="39">
        <f t="shared" si="0"/>
        <v>3197.6</v>
      </c>
      <c r="T8" s="40">
        <f t="shared" si="1"/>
        <v>2.04533333333333</v>
      </c>
      <c r="U8" s="40">
        <f t="shared" si="8"/>
        <v>2.192</v>
      </c>
      <c r="V8" s="24">
        <f t="shared" si="2"/>
        <v>2.806</v>
      </c>
      <c r="W8" s="41">
        <f t="shared" si="3"/>
        <v>0.75</v>
      </c>
      <c r="X8" s="26">
        <f t="shared" si="9"/>
        <v>0.514765646166351</v>
      </c>
      <c r="Y8" s="38">
        <f t="shared" si="10"/>
        <v>0.8</v>
      </c>
      <c r="Z8" s="42">
        <v>0</v>
      </c>
      <c r="AA8" s="42">
        <v>0</v>
      </c>
      <c r="AB8" s="28">
        <f t="shared" si="5"/>
        <v>0.18</v>
      </c>
      <c r="AC8" s="19">
        <f t="shared" si="6"/>
        <v>75730.5093097343</v>
      </c>
      <c r="AD8" s="14">
        <v>0</v>
      </c>
      <c r="AE8" s="14">
        <v>36</v>
      </c>
      <c r="AF8" s="15">
        <f t="shared" si="7"/>
        <v>0.598689185782707</v>
      </c>
      <c r="AG8" s="29">
        <v>100</v>
      </c>
    </row>
    <row r="9" s="1" customFormat="1" ht="15" spans="2:33">
      <c r="B9" s="30" t="s">
        <v>53</v>
      </c>
      <c r="C9" s="31">
        <v>350</v>
      </c>
      <c r="D9" s="30" t="s">
        <v>54</v>
      </c>
      <c r="E9" s="46">
        <f>M5+12%</f>
        <v>0.292</v>
      </c>
      <c r="F9" s="30" t="s">
        <v>55</v>
      </c>
      <c r="G9" s="33">
        <v>0.125</v>
      </c>
      <c r="H9" s="30" t="s">
        <v>55</v>
      </c>
      <c r="I9" s="33">
        <v>0.25</v>
      </c>
      <c r="J9" s="43"/>
      <c r="K9" s="32"/>
      <c r="L9" s="30"/>
      <c r="M9" s="31"/>
      <c r="O9" s="36">
        <v>1</v>
      </c>
      <c r="P9" s="19" t="s">
        <v>56</v>
      </c>
      <c r="Q9" s="37">
        <f>26.56%*5+88.53%</f>
        <v>2.2133</v>
      </c>
      <c r="R9" s="38" t="s">
        <v>1</v>
      </c>
      <c r="S9" s="39">
        <f t="shared" si="0"/>
        <v>3197.6</v>
      </c>
      <c r="T9" s="40">
        <f t="shared" si="1"/>
        <v>2.04533333333333</v>
      </c>
      <c r="U9" s="40">
        <f t="shared" si="8"/>
        <v>2.192</v>
      </c>
      <c r="V9" s="24">
        <f t="shared" si="2"/>
        <v>2.806</v>
      </c>
      <c r="W9" s="41">
        <f t="shared" si="3"/>
        <v>0.75</v>
      </c>
      <c r="X9" s="26">
        <f t="shared" si="9"/>
        <v>0.514765646166351</v>
      </c>
      <c r="Y9" s="38">
        <f>$AF$14</f>
        <v>0.8</v>
      </c>
      <c r="Z9" s="42">
        <v>1.1</v>
      </c>
      <c r="AA9" s="42">
        <v>0</v>
      </c>
      <c r="AB9" s="28">
        <f t="shared" si="5"/>
        <v>0.18</v>
      </c>
      <c r="AC9" s="19">
        <f t="shared" si="6"/>
        <v>113201.938038205</v>
      </c>
    </row>
    <row r="10" s="1" customFormat="1" ht="15" spans="2:33">
      <c r="B10" s="47" t="s">
        <v>57</v>
      </c>
      <c r="C10" s="48"/>
      <c r="D10" s="47"/>
      <c r="E10" s="49"/>
      <c r="F10" s="50" t="s">
        <v>58</v>
      </c>
      <c r="G10" s="51">
        <f>MIN(100%,SUM(G4:G9))</f>
        <v>0.903</v>
      </c>
      <c r="H10" s="50" t="s">
        <v>59</v>
      </c>
      <c r="I10" s="51">
        <f>SUM(I4:I9)</f>
        <v>3</v>
      </c>
      <c r="J10" s="52"/>
      <c r="K10" s="49"/>
      <c r="L10" s="47"/>
      <c r="M10" s="48"/>
      <c r="O10" s="36">
        <v>1</v>
      </c>
      <c r="P10" s="19" t="s">
        <v>60</v>
      </c>
      <c r="Q10" s="37">
        <v>2.8773</v>
      </c>
      <c r="R10" s="38" t="s">
        <v>1</v>
      </c>
      <c r="S10" s="39">
        <f t="shared" si="0"/>
        <v>3197.6</v>
      </c>
      <c r="T10" s="40">
        <f t="shared" si="1"/>
        <v>2.04533333333333</v>
      </c>
      <c r="U10" s="40">
        <f t="shared" si="8"/>
        <v>2.192</v>
      </c>
      <c r="V10" s="24">
        <f t="shared" si="2"/>
        <v>2.806</v>
      </c>
      <c r="W10" s="41">
        <f t="shared" si="3"/>
        <v>0.75</v>
      </c>
      <c r="X10" s="26">
        <f t="shared" si="9"/>
        <v>0.514765646166351</v>
      </c>
      <c r="Y10" s="38">
        <f t="shared" si="10"/>
        <v>0.8</v>
      </c>
      <c r="Z10" s="42">
        <v>1.1</v>
      </c>
      <c r="AA10" s="42">
        <v>0</v>
      </c>
      <c r="AB10" s="28">
        <f t="shared" si="5"/>
        <v>0.18</v>
      </c>
      <c r="AC10" s="19">
        <f t="shared" si="6"/>
        <v>147163.030911908</v>
      </c>
    </row>
    <row r="11" s="1" customFormat="1" ht="15" spans="2:33">
      <c r="B11" s="53"/>
      <c r="C11" s="53"/>
      <c r="E11" s="54"/>
      <c r="F11" s="16" t="s">
        <v>61</v>
      </c>
      <c r="G11" s="55">
        <f>MAX(0,SUM(G4:G9)-1)</f>
        <v>0</v>
      </c>
      <c r="J11" s="2"/>
      <c r="K11" s="2"/>
      <c r="O11" s="36">
        <v>1</v>
      </c>
      <c r="P11" s="19" t="s">
        <v>62</v>
      </c>
      <c r="Q11" s="37">
        <v>3.5411</v>
      </c>
      <c r="R11" s="38" t="s">
        <v>1</v>
      </c>
      <c r="S11" s="39">
        <f t="shared" si="0"/>
        <v>3197.6</v>
      </c>
      <c r="T11" s="40">
        <f t="shared" si="1"/>
        <v>2.04533333333333</v>
      </c>
      <c r="U11" s="40">
        <f t="shared" si="8"/>
        <v>2.192</v>
      </c>
      <c r="V11" s="24">
        <f t="shared" si="2"/>
        <v>2.806</v>
      </c>
      <c r="W11" s="41">
        <f t="shared" si="3"/>
        <v>0.75</v>
      </c>
      <c r="X11" s="26">
        <f t="shared" si="9"/>
        <v>0.514765646166351</v>
      </c>
      <c r="Y11" s="38">
        <f t="shared" si="10"/>
        <v>0.8</v>
      </c>
      <c r="Z11" s="42">
        <v>1.1</v>
      </c>
      <c r="AA11" s="42">
        <v>0</v>
      </c>
      <c r="AB11" s="28">
        <f t="shared" si="5"/>
        <v>0.18</v>
      </c>
      <c r="AC11" s="19">
        <f t="shared" si="6"/>
        <v>181113.89454077</v>
      </c>
      <c r="AE11" s="56"/>
      <c r="AF11" s="56"/>
    </row>
    <row r="12" s="1" customFormat="1" ht="15" spans="2:33">
      <c r="B12" s="53"/>
      <c r="C12" s="53"/>
      <c r="E12" s="54"/>
      <c r="G12" s="57"/>
      <c r="J12" s="2"/>
      <c r="K12" s="2"/>
      <c r="O12" s="36">
        <v>1</v>
      </c>
      <c r="P12" s="19" t="s">
        <v>63</v>
      </c>
      <c r="Q12" s="37">
        <v>3.069</v>
      </c>
      <c r="R12" s="38" t="s">
        <v>1</v>
      </c>
      <c r="S12" s="39">
        <f t="shared" si="0"/>
        <v>3197.6</v>
      </c>
      <c r="T12" s="40">
        <f t="shared" si="1"/>
        <v>2.04533333333333</v>
      </c>
      <c r="U12" s="40">
        <f t="shared" si="8"/>
        <v>2.192</v>
      </c>
      <c r="V12" s="24">
        <f t="shared" si="2"/>
        <v>2.806</v>
      </c>
      <c r="W12" s="41">
        <f t="shared" si="3"/>
        <v>0.75</v>
      </c>
      <c r="X12" s="26">
        <f t="shared" si="9"/>
        <v>0.514765646166351</v>
      </c>
      <c r="Y12" s="38">
        <f t="shared" si="10"/>
        <v>0.8</v>
      </c>
      <c r="Z12" s="42">
        <v>1.1</v>
      </c>
      <c r="AA12" s="42">
        <v>0</v>
      </c>
      <c r="AB12" s="28">
        <f t="shared" si="5"/>
        <v>0.18</v>
      </c>
      <c r="AC12" s="19">
        <f t="shared" si="6"/>
        <v>156967.762092464</v>
      </c>
      <c r="AE12" s="58"/>
      <c r="AF12" s="58">
        <v>0.8</v>
      </c>
    </row>
    <row r="13" s="1" customFormat="1" ht="15" spans="2:33">
      <c r="B13" s="5" t="s">
        <v>0</v>
      </c>
      <c r="C13" s="5" t="s">
        <v>1</v>
      </c>
      <c r="D13" s="6" t="s">
        <v>2</v>
      </c>
      <c r="E13" s="6">
        <v>1</v>
      </c>
      <c r="O13" s="36">
        <v>1</v>
      </c>
      <c r="P13" s="19" t="s">
        <v>64</v>
      </c>
      <c r="Q13" s="37">
        <v>1.5345</v>
      </c>
      <c r="R13" s="38" t="s">
        <v>1</v>
      </c>
      <c r="S13" s="39">
        <f t="shared" si="0"/>
        <v>3197.6</v>
      </c>
      <c r="T13" s="40">
        <f t="shared" si="1"/>
        <v>2.04533333333333</v>
      </c>
      <c r="U13" s="40">
        <f t="shared" si="8"/>
        <v>2.192</v>
      </c>
      <c r="V13" s="24">
        <f t="shared" si="2"/>
        <v>2.806</v>
      </c>
      <c r="W13" s="41">
        <f t="shared" si="3"/>
        <v>0.75</v>
      </c>
      <c r="X13" s="26">
        <f t="shared" si="9"/>
        <v>0.514765646166351</v>
      </c>
      <c r="Y13" s="38">
        <f t="shared" si="10"/>
        <v>0.8</v>
      </c>
      <c r="Z13" s="42">
        <v>1.1</v>
      </c>
      <c r="AA13" s="42">
        <v>0</v>
      </c>
      <c r="AB13" s="28">
        <f t="shared" si="5"/>
        <v>0.18</v>
      </c>
      <c r="AC13" s="19">
        <f t="shared" si="6"/>
        <v>78483.8810462318</v>
      </c>
      <c r="AE13" s="59" t="s">
        <v>65</v>
      </c>
      <c r="AF13" s="59">
        <v>0.8</v>
      </c>
    </row>
    <row r="14" s="1" customFormat="1" ht="15" spans="2:33">
      <c r="B14" s="60" t="s">
        <v>66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O14" s="36">
        <v>1</v>
      </c>
      <c r="P14" s="19" t="s">
        <v>67</v>
      </c>
      <c r="Q14" s="37">
        <f>745.54%+49.71%*5</f>
        <v>9.9409</v>
      </c>
      <c r="R14" s="38" t="s">
        <v>1</v>
      </c>
      <c r="S14" s="39">
        <f t="shared" si="0"/>
        <v>3197.6</v>
      </c>
      <c r="T14" s="40">
        <f t="shared" si="1"/>
        <v>2.04533333333333</v>
      </c>
      <c r="U14" s="40">
        <f>IF(R14=$C$1,SUM($E$4:$E$9),SUM($E$4:$E$8))+40%</f>
        <v>2.592</v>
      </c>
      <c r="V14" s="24">
        <f t="shared" si="2"/>
        <v>2.806</v>
      </c>
      <c r="W14" s="41">
        <f t="shared" si="3"/>
        <v>0.75</v>
      </c>
      <c r="X14" s="26">
        <f t="shared" si="9"/>
        <v>0.514765646166351</v>
      </c>
      <c r="Y14" s="38">
        <f t="shared" si="10"/>
        <v>0.8</v>
      </c>
      <c r="Z14" s="42">
        <v>0.75</v>
      </c>
      <c r="AA14" s="42">
        <v>0</v>
      </c>
      <c r="AB14" s="28">
        <f t="shared" si="5"/>
        <v>0.18</v>
      </c>
      <c r="AC14" s="19">
        <f t="shared" si="6"/>
        <v>476794.769424003</v>
      </c>
      <c r="AE14" s="61" t="s">
        <v>68</v>
      </c>
      <c r="AF14" s="61">
        <v>0.8</v>
      </c>
    </row>
    <row r="15" s="1" customFormat="1" ht="15" spans="2:33">
      <c r="B15" s="62" t="s">
        <v>22</v>
      </c>
      <c r="C15" s="62"/>
      <c r="D15" s="62" t="s">
        <v>10</v>
      </c>
      <c r="E15" s="62"/>
      <c r="F15" s="62" t="s">
        <v>23</v>
      </c>
      <c r="G15" s="62"/>
      <c r="H15" s="62" t="s">
        <v>24</v>
      </c>
      <c r="I15" s="62"/>
      <c r="J15" s="62" t="s">
        <v>12</v>
      </c>
      <c r="K15" s="62"/>
      <c r="L15" s="62" t="s">
        <v>25</v>
      </c>
      <c r="M15" s="62"/>
      <c r="O15" s="63">
        <v>1</v>
      </c>
      <c r="P15" s="19" t="s">
        <v>69</v>
      </c>
      <c r="Q15" s="64">
        <v>5</v>
      </c>
      <c r="R15" s="65" t="s">
        <v>70</v>
      </c>
      <c r="S15" s="66">
        <f t="shared" si="0"/>
        <v>3197.6</v>
      </c>
      <c r="T15" s="67">
        <f t="shared" si="1"/>
        <v>2.04533333333333</v>
      </c>
      <c r="U15" s="67">
        <f>IF(R15=$C$1,SUM($E$4:$E$9),SUM($E$4:$E$8))+$E$10</f>
        <v>1.9</v>
      </c>
      <c r="V15" s="68">
        <f t="shared" si="2"/>
        <v>2.806</v>
      </c>
      <c r="W15" s="69">
        <f>IF(R15=$C$1,$K$4+$K$5,$K$4)+$K$6</f>
        <v>0.55</v>
      </c>
      <c r="X15" s="162">
        <f>$AF$3</f>
        <v>0.488431876606684</v>
      </c>
      <c r="Y15" s="65">
        <f t="shared" si="10"/>
        <v>0.8</v>
      </c>
      <c r="Z15" s="70">
        <v>0</v>
      </c>
      <c r="AA15" s="70">
        <v>0</v>
      </c>
      <c r="AB15" s="28">
        <f t="shared" si="5"/>
        <v>0.18</v>
      </c>
      <c r="AC15" s="19">
        <f t="shared" si="6"/>
        <v>92979.5620555516</v>
      </c>
      <c r="AE15" s="71" t="s">
        <v>71</v>
      </c>
      <c r="AF15" s="71">
        <v>0.8</v>
      </c>
    </row>
    <row r="16" s="1" customFormat="1" ht="15" spans="2:33">
      <c r="B16" s="72" t="s">
        <v>27</v>
      </c>
      <c r="C16" s="31">
        <f>375+588</f>
        <v>963</v>
      </c>
      <c r="D16" s="72" t="s">
        <v>28</v>
      </c>
      <c r="E16" s="35">
        <f>E13*30%</f>
        <v>0.3</v>
      </c>
      <c r="F16" s="72" t="s">
        <v>29</v>
      </c>
      <c r="G16" s="73">
        <v>0.13</v>
      </c>
      <c r="H16" s="72" t="s">
        <v>29</v>
      </c>
      <c r="I16" s="73">
        <v>1.5</v>
      </c>
      <c r="J16" s="34" t="s">
        <v>30</v>
      </c>
      <c r="K16" s="35">
        <v>0.15</v>
      </c>
      <c r="L16" s="72" t="s">
        <v>31</v>
      </c>
      <c r="M16" s="73">
        <f>8.6%*2</f>
        <v>0.172</v>
      </c>
      <c r="O16" s="18">
        <v>1</v>
      </c>
      <c r="P16" s="74" t="s">
        <v>32</v>
      </c>
      <c r="Q16" s="75">
        <v>2.248</v>
      </c>
      <c r="R16" s="76" t="s">
        <v>33</v>
      </c>
      <c r="S16" s="77">
        <f t="shared" ref="S16:S24" si="11">$C$16*(1+$C$17+$C$18+$C$19+$C$20)+($C$21+$C$22)</f>
        <v>2720.906</v>
      </c>
      <c r="T16" s="78">
        <f t="shared" ref="T16:T24" si="12">($C$17+$C$18+$C$19+$C$20)+($C$21+$C$22)/$C$16</f>
        <v>1.82544755970924</v>
      </c>
      <c r="U16" s="78">
        <f>IF(R16=$C$13,SUM($E$16:$E$21),SUM($E$16:$E$20))-12%</f>
        <v>1.01</v>
      </c>
      <c r="V16" s="79">
        <f t="shared" ref="V16:V24" si="13">1+$G$22*($I$22-1)</f>
        <v>2.58025</v>
      </c>
      <c r="W16" s="80">
        <f t="shared" ref="W16:W24" si="14">IF(R16=$C$1,$K$16+$K$17,$K$16)</f>
        <v>0.15</v>
      </c>
      <c r="X16" s="79">
        <f t="shared" ref="X16:X24" si="15">$AF$3</f>
        <v>0.488431876606684</v>
      </c>
      <c r="Y16" s="76">
        <f t="shared" ref="Y16:Y24" si="16">$AF$15</f>
        <v>0.8</v>
      </c>
      <c r="Z16" s="81">
        <v>0</v>
      </c>
      <c r="AA16" s="81">
        <v>0</v>
      </c>
      <c r="AB16" s="28">
        <f t="shared" si="5"/>
        <v>0.18</v>
      </c>
      <c r="AC16" s="82">
        <f t="shared" ref="AC16:AC24" si="17">Q16*$C$16*(1+T16)*(1+U16)*V16*(1+W16)*X16*Y16*(1+Z16)*(1+AA16)*(1+AB16)*O16</f>
        <v>16820.6015643274</v>
      </c>
    </row>
    <row r="17" s="1" customFormat="1" ht="15" spans="1:32">
      <c r="B17" s="30" t="s">
        <v>34</v>
      </c>
      <c r="C17" s="32">
        <v>0.24</v>
      </c>
      <c r="D17" s="30" t="s">
        <v>35</v>
      </c>
      <c r="E17" s="32">
        <v>0.1</v>
      </c>
      <c r="F17" s="30" t="s">
        <v>36</v>
      </c>
      <c r="G17" s="33">
        <v>0.243</v>
      </c>
      <c r="H17" s="30" t="s">
        <v>36</v>
      </c>
      <c r="I17" s="33">
        <v>0</v>
      </c>
      <c r="J17" s="43" t="s">
        <v>72</v>
      </c>
      <c r="K17" s="32"/>
      <c r="L17" s="30" t="s">
        <v>73</v>
      </c>
      <c r="M17" s="33">
        <f>1*8.6%</f>
        <v>0.086</v>
      </c>
      <c r="O17" s="36">
        <v>1</v>
      </c>
      <c r="P17" s="74" t="s">
        <v>74</v>
      </c>
      <c r="Q17" s="43">
        <v>8.748</v>
      </c>
      <c r="R17" s="53" t="s">
        <v>75</v>
      </c>
      <c r="S17" s="83">
        <f t="shared" si="11"/>
        <v>2720.906</v>
      </c>
      <c r="T17" s="84">
        <f t="shared" si="12"/>
        <v>1.82544755970924</v>
      </c>
      <c r="U17" s="84">
        <f>IF(R17=$C$13,SUM($E$16:$E$21),SUM($E$16:$E$20))-12%</f>
        <v>1.01</v>
      </c>
      <c r="V17" s="85">
        <f t="shared" si="13"/>
        <v>2.58025</v>
      </c>
      <c r="W17" s="86">
        <f t="shared" si="14"/>
        <v>0.15</v>
      </c>
      <c r="X17" s="85">
        <f t="shared" si="15"/>
        <v>0.488431876606684</v>
      </c>
      <c r="Y17" s="76">
        <f t="shared" si="16"/>
        <v>0.8</v>
      </c>
      <c r="Z17" s="87">
        <v>0</v>
      </c>
      <c r="AA17" s="87">
        <v>0</v>
      </c>
      <c r="AB17" s="28">
        <f t="shared" si="5"/>
        <v>0.18</v>
      </c>
      <c r="AC17" s="82">
        <f t="shared" si="17"/>
        <v>65456.6825999716</v>
      </c>
      <c r="AE17" s="1" t="s">
        <v>76</v>
      </c>
      <c r="AF17" s="54">
        <v>0.18</v>
      </c>
    </row>
    <row r="18" s="1" customFormat="1" ht="15" spans="1:32">
      <c r="B18" s="30" t="s">
        <v>40</v>
      </c>
      <c r="C18" s="32">
        <f>18%+18%+M16+(2-E13)*30%</f>
        <v>0.832</v>
      </c>
      <c r="D18" s="30" t="s">
        <v>41</v>
      </c>
      <c r="E18" s="32">
        <v>0.25</v>
      </c>
      <c r="F18" s="30" t="s">
        <v>42</v>
      </c>
      <c r="G18" s="33"/>
      <c r="H18" s="30" t="s">
        <v>42</v>
      </c>
      <c r="I18" s="33">
        <v>0.44</v>
      </c>
      <c r="J18" s="43"/>
      <c r="K18" s="33"/>
      <c r="L18" s="30" t="s">
        <v>23</v>
      </c>
      <c r="M18" s="33">
        <f>8.1*5%</f>
        <v>0.405</v>
      </c>
      <c r="O18" s="36">
        <v>1</v>
      </c>
      <c r="P18" s="74" t="s">
        <v>77</v>
      </c>
      <c r="Q18" s="43">
        <v>2.7863</v>
      </c>
      <c r="R18" s="53" t="s">
        <v>78</v>
      </c>
      <c r="S18" s="83">
        <f t="shared" si="11"/>
        <v>2720.906</v>
      </c>
      <c r="T18" s="84">
        <f t="shared" si="12"/>
        <v>1.82544755970924</v>
      </c>
      <c r="U18" s="84">
        <f>IF(R18=$C$13,SUM($E$16:$E$21),SUM($E$16:$E$20))-6%</f>
        <v>1.07</v>
      </c>
      <c r="V18" s="85">
        <f t="shared" si="13"/>
        <v>2.58025</v>
      </c>
      <c r="W18" s="86">
        <f t="shared" si="14"/>
        <v>0.15</v>
      </c>
      <c r="X18" s="85">
        <f t="shared" si="15"/>
        <v>0.488431876606684</v>
      </c>
      <c r="Y18" s="76">
        <f t="shared" si="16"/>
        <v>0.8</v>
      </c>
      <c r="Z18" s="87">
        <v>0</v>
      </c>
      <c r="AA18" s="87">
        <v>0</v>
      </c>
      <c r="AB18" s="28">
        <f t="shared" si="5"/>
        <v>0.18</v>
      </c>
      <c r="AC18" s="82">
        <f t="shared" si="17"/>
        <v>21470.7581370458</v>
      </c>
    </row>
    <row r="19" s="1" customFormat="1" ht="15" spans="1:32">
      <c r="B19" s="30" t="s">
        <v>44</v>
      </c>
      <c r="C19" s="44"/>
      <c r="D19" s="30" t="s">
        <v>45</v>
      </c>
      <c r="E19" s="32"/>
      <c r="F19" s="30" t="s">
        <v>40</v>
      </c>
      <c r="G19" s="33">
        <f>M18</f>
        <v>0.405</v>
      </c>
      <c r="H19" s="30" t="s">
        <v>40</v>
      </c>
      <c r="I19" s="33">
        <f>M19</f>
        <v>0.81</v>
      </c>
      <c r="J19" s="43"/>
      <c r="K19" s="33"/>
      <c r="L19" s="30" t="s">
        <v>46</v>
      </c>
      <c r="M19" s="32">
        <f>16.2%*5</f>
        <v>0.81</v>
      </c>
      <c r="O19" s="36">
        <v>1</v>
      </c>
      <c r="P19" s="74" t="s">
        <v>79</v>
      </c>
      <c r="Q19" s="43">
        <v>5.5556</v>
      </c>
      <c r="R19" s="53" t="s">
        <v>1</v>
      </c>
      <c r="S19" s="83">
        <f t="shared" si="11"/>
        <v>2720.906</v>
      </c>
      <c r="T19" s="84">
        <f t="shared" si="12"/>
        <v>1.82544755970924</v>
      </c>
      <c r="U19" s="84">
        <f t="shared" ref="U19:U24" si="18">IF(R19=$C$13,SUM($E$16:$E$21),SUM($E$16:$E$20))</f>
        <v>1.576</v>
      </c>
      <c r="V19" s="85">
        <f t="shared" si="13"/>
        <v>2.58025</v>
      </c>
      <c r="W19" s="86">
        <f t="shared" si="14"/>
        <v>0.15</v>
      </c>
      <c r="X19" s="85">
        <f t="shared" si="15"/>
        <v>0.488431876606684</v>
      </c>
      <c r="Y19" s="76">
        <f t="shared" si="16"/>
        <v>0.8</v>
      </c>
      <c r="Z19" s="87">
        <v>0</v>
      </c>
      <c r="AA19" s="87">
        <v>0</v>
      </c>
      <c r="AB19" s="28">
        <f t="shared" si="5"/>
        <v>0.18</v>
      </c>
      <c r="AC19" s="82">
        <f t="shared" si="17"/>
        <v>53275.3102182155</v>
      </c>
    </row>
    <row r="20" s="1" customFormat="1" ht="15" spans="1:32">
      <c r="B20" s="30" t="s">
        <v>48</v>
      </c>
      <c r="C20" s="44">
        <f>25%+14%</f>
        <v>0.39</v>
      </c>
      <c r="D20" s="30" t="s">
        <v>49</v>
      </c>
      <c r="E20" s="45">
        <f>24%+24%</f>
        <v>0.48</v>
      </c>
      <c r="F20" s="30" t="s">
        <v>50</v>
      </c>
      <c r="G20" s="33">
        <v>0</v>
      </c>
      <c r="H20" s="30" t="s">
        <v>50</v>
      </c>
      <c r="I20" s="33">
        <v>0</v>
      </c>
      <c r="J20" s="43"/>
      <c r="K20" s="33"/>
      <c r="L20" s="30"/>
      <c r="M20" s="31"/>
      <c r="O20" s="36">
        <v>1</v>
      </c>
      <c r="P20" s="74" t="s">
        <v>80</v>
      </c>
      <c r="Q20" s="43">
        <v>3.076</v>
      </c>
      <c r="R20" s="53" t="s">
        <v>1</v>
      </c>
      <c r="S20" s="83">
        <f t="shared" si="11"/>
        <v>2720.906</v>
      </c>
      <c r="T20" s="84">
        <f t="shared" si="12"/>
        <v>1.82544755970924</v>
      </c>
      <c r="U20" s="84">
        <f t="shared" si="18"/>
        <v>1.576</v>
      </c>
      <c r="V20" s="85">
        <f t="shared" si="13"/>
        <v>2.58025</v>
      </c>
      <c r="W20" s="86">
        <f t="shared" si="14"/>
        <v>0.15</v>
      </c>
      <c r="X20" s="85">
        <f t="shared" si="15"/>
        <v>0.488431876606684</v>
      </c>
      <c r="Y20" s="76">
        <f t="shared" si="16"/>
        <v>0.8</v>
      </c>
      <c r="Z20" s="87">
        <v>0</v>
      </c>
      <c r="AA20" s="87">
        <v>0</v>
      </c>
      <c r="AB20" s="28">
        <f t="shared" si="5"/>
        <v>0.18</v>
      </c>
      <c r="AC20" s="82">
        <f t="shared" si="17"/>
        <v>29497.2377837193</v>
      </c>
    </row>
    <row r="21" s="1" customFormat="1" ht="15" spans="1:32">
      <c r="B21" s="30" t="s">
        <v>53</v>
      </c>
      <c r="C21" s="31">
        <v>350</v>
      </c>
      <c r="D21" s="30" t="s">
        <v>54</v>
      </c>
      <c r="E21" s="32">
        <f>36%+M17</f>
        <v>0.446</v>
      </c>
      <c r="F21" s="30" t="s">
        <v>55</v>
      </c>
      <c r="G21" s="33">
        <v>0.125</v>
      </c>
      <c r="H21" s="30" t="s">
        <v>55</v>
      </c>
      <c r="I21" s="33"/>
      <c r="J21" s="43"/>
      <c r="K21" s="33"/>
      <c r="L21" s="30"/>
      <c r="M21" s="31"/>
      <c r="O21" s="36">
        <v>1</v>
      </c>
      <c r="P21" s="74" t="s">
        <v>81</v>
      </c>
      <c r="Q21" s="43">
        <v>12.1672</v>
      </c>
      <c r="R21" s="53" t="s">
        <v>1</v>
      </c>
      <c r="S21" s="83">
        <f t="shared" si="11"/>
        <v>2720.906</v>
      </c>
      <c r="T21" s="84">
        <f t="shared" si="12"/>
        <v>1.82544755970924</v>
      </c>
      <c r="U21" s="84">
        <f t="shared" si="18"/>
        <v>1.576</v>
      </c>
      <c r="V21" s="85">
        <f t="shared" si="13"/>
        <v>2.58025</v>
      </c>
      <c r="W21" s="86">
        <f t="shared" si="14"/>
        <v>0.15</v>
      </c>
      <c r="X21" s="85">
        <f t="shared" si="15"/>
        <v>0.488431876606684</v>
      </c>
      <c r="Y21" s="76">
        <f t="shared" si="16"/>
        <v>0.8</v>
      </c>
      <c r="Z21" s="87">
        <v>0</v>
      </c>
      <c r="AA21" s="87">
        <v>0</v>
      </c>
      <c r="AB21" s="28">
        <f t="shared" si="5"/>
        <v>0.18</v>
      </c>
      <c r="AC21" s="82">
        <f t="shared" si="17"/>
        <v>116677.11039079</v>
      </c>
    </row>
    <row r="22" s="1" customFormat="1" ht="15" spans="1:32">
      <c r="B22" s="47" t="s">
        <v>57</v>
      </c>
      <c r="C22" s="48"/>
      <c r="D22" s="47"/>
      <c r="E22" s="49"/>
      <c r="F22" s="50" t="s">
        <v>58</v>
      </c>
      <c r="G22" s="51">
        <f>MIN(100%,SUM(G16:G21))</f>
        <v>0.903</v>
      </c>
      <c r="H22" s="50" t="s">
        <v>59</v>
      </c>
      <c r="I22" s="51">
        <f>SUM(I16:I21)</f>
        <v>2.75</v>
      </c>
      <c r="J22" s="52"/>
      <c r="K22" s="88"/>
      <c r="L22" s="47"/>
      <c r="M22" s="48"/>
      <c r="O22" s="36">
        <v>1</v>
      </c>
      <c r="P22" s="74" t="s">
        <v>82</v>
      </c>
      <c r="Q22" s="43">
        <v>2.3262</v>
      </c>
      <c r="R22" s="53" t="s">
        <v>78</v>
      </c>
      <c r="S22" s="83">
        <f t="shared" si="11"/>
        <v>2720.906</v>
      </c>
      <c r="T22" s="84">
        <f t="shared" si="12"/>
        <v>1.82544755970924</v>
      </c>
      <c r="U22" s="84">
        <f t="shared" si="18"/>
        <v>1.13</v>
      </c>
      <c r="V22" s="85">
        <f t="shared" si="13"/>
        <v>2.58025</v>
      </c>
      <c r="W22" s="86">
        <f t="shared" si="14"/>
        <v>0.15</v>
      </c>
      <c r="X22" s="85">
        <f t="shared" si="15"/>
        <v>0.488431876606684</v>
      </c>
      <c r="Y22" s="76">
        <f t="shared" si="16"/>
        <v>0.8</v>
      </c>
      <c r="Z22" s="87">
        <v>0</v>
      </c>
      <c r="AA22" s="87">
        <v>0</v>
      </c>
      <c r="AB22" s="28">
        <f t="shared" si="5"/>
        <v>0.18</v>
      </c>
      <c r="AC22" s="82">
        <f t="shared" si="17"/>
        <v>18444.8791528432</v>
      </c>
    </row>
    <row r="23" s="1" customFormat="1" ht="15" spans="1:32">
      <c r="B23" s="53"/>
      <c r="C23" s="53"/>
      <c r="E23" s="54"/>
      <c r="F23" s="16" t="s">
        <v>61</v>
      </c>
      <c r="G23" s="55">
        <f>MAX(0,SUM(G16:G21)-1)</f>
        <v>0</v>
      </c>
      <c r="J23" s="2"/>
      <c r="K23" s="2"/>
      <c r="O23" s="36">
        <v>1</v>
      </c>
      <c r="P23" s="74" t="s">
        <v>83</v>
      </c>
      <c r="Q23" s="43">
        <v>1</v>
      </c>
      <c r="R23" s="53" t="s">
        <v>70</v>
      </c>
      <c r="S23" s="83">
        <f t="shared" si="11"/>
        <v>2720.906</v>
      </c>
      <c r="T23" s="84">
        <f t="shared" si="12"/>
        <v>1.82544755970924</v>
      </c>
      <c r="U23" s="84">
        <f t="shared" si="18"/>
        <v>1.13</v>
      </c>
      <c r="V23" s="85">
        <f t="shared" si="13"/>
        <v>2.58025</v>
      </c>
      <c r="W23" s="86">
        <f t="shared" si="14"/>
        <v>0.15</v>
      </c>
      <c r="X23" s="85">
        <f t="shared" si="15"/>
        <v>0.488431876606684</v>
      </c>
      <c r="Y23" s="76">
        <f t="shared" si="16"/>
        <v>0.8</v>
      </c>
      <c r="Z23" s="87">
        <v>0</v>
      </c>
      <c r="AA23" s="87">
        <v>0</v>
      </c>
      <c r="AB23" s="28">
        <f t="shared" si="5"/>
        <v>0.18</v>
      </c>
      <c r="AC23" s="82">
        <f t="shared" si="17"/>
        <v>7929.18887148275</v>
      </c>
    </row>
    <row r="24" s="1" customFormat="1" ht="15" spans="1:32">
      <c r="B24" s="53"/>
      <c r="C24" s="53"/>
      <c r="E24" s="54"/>
      <c r="J24" s="2"/>
      <c r="K24" s="2"/>
      <c r="O24" s="63">
        <v>1</v>
      </c>
      <c r="P24" s="74" t="s">
        <v>84</v>
      </c>
      <c r="Q24" s="52">
        <v>2.736</v>
      </c>
      <c r="R24" s="89" t="s">
        <v>26</v>
      </c>
      <c r="S24" s="90">
        <f t="shared" si="11"/>
        <v>2720.906</v>
      </c>
      <c r="T24" s="91">
        <f t="shared" si="12"/>
        <v>1.82544755970924</v>
      </c>
      <c r="U24" s="91">
        <f t="shared" si="18"/>
        <v>1.13</v>
      </c>
      <c r="V24" s="92">
        <f t="shared" si="13"/>
        <v>2.58025</v>
      </c>
      <c r="W24" s="93">
        <f t="shared" si="14"/>
        <v>0.15</v>
      </c>
      <c r="X24" s="92">
        <f t="shared" si="15"/>
        <v>0.488431876606684</v>
      </c>
      <c r="Y24" s="76">
        <f t="shared" si="16"/>
        <v>0.8</v>
      </c>
      <c r="Z24" s="94">
        <v>0</v>
      </c>
      <c r="AA24" s="94">
        <v>0</v>
      </c>
      <c r="AB24" s="28">
        <f t="shared" si="5"/>
        <v>0.18</v>
      </c>
      <c r="AC24" s="82">
        <f t="shared" si="17"/>
        <v>21694.2607523768</v>
      </c>
      <c r="AD24" s="56"/>
    </row>
    <row r="25" s="1" customFormat="1" ht="15" spans="1:32">
      <c r="A25" s="95"/>
      <c r="B25" s="96" t="s">
        <v>85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</row>
    <row r="26" s="1" customFormat="1" ht="15" spans="1:32">
      <c r="A26" s="95" t="s">
        <v>86</v>
      </c>
      <c r="B26" s="97" t="s">
        <v>22</v>
      </c>
      <c r="C26" s="98"/>
      <c r="D26" s="97" t="s">
        <v>10</v>
      </c>
      <c r="E26" s="98"/>
      <c r="F26" s="97" t="s">
        <v>23</v>
      </c>
      <c r="G26" s="98"/>
      <c r="H26" s="97" t="s">
        <v>24</v>
      </c>
      <c r="I26" s="98"/>
      <c r="J26" s="97" t="s">
        <v>12</v>
      </c>
      <c r="K26" s="98"/>
      <c r="L26" s="97" t="s">
        <v>87</v>
      </c>
      <c r="M26" s="98"/>
      <c r="O26" s="72">
        <v>0</v>
      </c>
      <c r="P26" s="78" t="s">
        <v>88</v>
      </c>
      <c r="Q26" s="78">
        <v>1.0935</v>
      </c>
      <c r="R26" s="76" t="s">
        <v>89</v>
      </c>
      <c r="S26" s="76">
        <v>10027</v>
      </c>
      <c r="T26" s="78">
        <v>0</v>
      </c>
      <c r="U26" s="78">
        <v>0</v>
      </c>
      <c r="V26" s="79">
        <v>1</v>
      </c>
      <c r="W26" s="80">
        <v>0</v>
      </c>
      <c r="X26" s="79">
        <f t="shared" ref="X26:X30" si="19">$AF$3</f>
        <v>0.488431876606684</v>
      </c>
      <c r="Y26" s="76">
        <f t="shared" ref="Y26:Y30" si="20">$AF$13</f>
        <v>0.8</v>
      </c>
      <c r="Z26" s="81">
        <v>1.2</v>
      </c>
      <c r="AA26" s="81">
        <v>0</v>
      </c>
      <c r="AB26" s="81">
        <v>0.5</v>
      </c>
      <c r="AC26" s="99">
        <f t="shared" ref="AC26:AC30" si="21">Q26*$S$30*(1+T26)*(1+U26)*V26*(1+W26)*X26*Y26*(1+Z26)*(1+AA26)*(1+AB26)*O26</f>
        <v>0</v>
      </c>
    </row>
    <row r="27" s="1" customFormat="1" ht="15" spans="1:32">
      <c r="A27" s="95">
        <v>1357</v>
      </c>
      <c r="B27" s="100" t="s">
        <v>27</v>
      </c>
      <c r="C27" s="101">
        <f>288+337</f>
        <v>625</v>
      </c>
      <c r="D27" s="100" t="s">
        <v>28</v>
      </c>
      <c r="E27" s="46"/>
      <c r="F27" s="100" t="s">
        <v>90</v>
      </c>
      <c r="G27" s="102">
        <v>0.05</v>
      </c>
      <c r="H27" s="100" t="s">
        <v>90</v>
      </c>
      <c r="I27" s="46">
        <v>1.5</v>
      </c>
      <c r="J27" s="103" t="s">
        <v>30</v>
      </c>
      <c r="K27" s="46">
        <v>0.25</v>
      </c>
      <c r="L27" s="100" t="s">
        <v>86</v>
      </c>
      <c r="M27" s="102">
        <f>10.9%*3</f>
        <v>0.327</v>
      </c>
      <c r="O27" s="30">
        <v>0</v>
      </c>
      <c r="P27" s="53" t="s">
        <v>91</v>
      </c>
      <c r="Q27" s="84">
        <v>5.9643</v>
      </c>
      <c r="R27" s="53" t="s">
        <v>89</v>
      </c>
      <c r="S27" s="53">
        <v>10027</v>
      </c>
      <c r="T27" s="84">
        <v>0</v>
      </c>
      <c r="U27" s="84">
        <v>0</v>
      </c>
      <c r="V27" s="85">
        <v>1</v>
      </c>
      <c r="W27" s="86">
        <v>0</v>
      </c>
      <c r="X27" s="85">
        <f t="shared" si="19"/>
        <v>0.488431876606684</v>
      </c>
      <c r="Y27" s="53">
        <f t="shared" si="20"/>
        <v>0.8</v>
      </c>
      <c r="Z27" s="87">
        <v>0</v>
      </c>
      <c r="AA27" s="87">
        <v>0</v>
      </c>
      <c r="AB27" s="87">
        <v>0.5</v>
      </c>
      <c r="AC27" s="104">
        <f t="shared" si="21"/>
        <v>0</v>
      </c>
    </row>
    <row r="28" s="1" customFormat="1" ht="15" spans="1:32">
      <c r="A28" s="105">
        <f>16%+7.6*2%</f>
        <v>0.312</v>
      </c>
      <c r="B28" s="100" t="s">
        <v>92</v>
      </c>
      <c r="C28" s="46"/>
      <c r="D28" s="100" t="s">
        <v>93</v>
      </c>
      <c r="E28" s="46"/>
      <c r="F28" s="100" t="s">
        <v>36</v>
      </c>
      <c r="G28" s="102"/>
      <c r="H28" s="100" t="s">
        <v>94</v>
      </c>
      <c r="I28" s="102">
        <f>M29</f>
        <v>0.486</v>
      </c>
      <c r="J28" s="106" t="s">
        <v>95</v>
      </c>
      <c r="K28" s="102"/>
      <c r="L28" s="100" t="s">
        <v>23</v>
      </c>
      <c r="M28" s="102">
        <f>2*8.1%</f>
        <v>0.162</v>
      </c>
      <c r="O28" s="30">
        <v>0</v>
      </c>
      <c r="P28" s="53" t="s">
        <v>96</v>
      </c>
      <c r="Q28" s="84">
        <v>18.8075</v>
      </c>
      <c r="R28" s="53" t="s">
        <v>89</v>
      </c>
      <c r="S28" s="53">
        <v>10027</v>
      </c>
      <c r="T28" s="84">
        <v>0</v>
      </c>
      <c r="U28" s="84">
        <v>0</v>
      </c>
      <c r="V28" s="85">
        <v>1</v>
      </c>
      <c r="W28" s="86">
        <v>0</v>
      </c>
      <c r="X28" s="85">
        <f t="shared" si="19"/>
        <v>0.488431876606684</v>
      </c>
      <c r="Y28" s="53">
        <f t="shared" si="20"/>
        <v>0.8</v>
      </c>
      <c r="Z28" s="87">
        <v>0</v>
      </c>
      <c r="AA28" s="87">
        <v>0</v>
      </c>
      <c r="AB28" s="87">
        <v>0.5</v>
      </c>
      <c r="AC28" s="104">
        <f t="shared" si="21"/>
        <v>0</v>
      </c>
    </row>
    <row r="29" s="1" customFormat="1" ht="15" spans="1:32">
      <c r="A29" s="105">
        <f>36%+M27</f>
        <v>0.687</v>
      </c>
      <c r="B29" s="100" t="s">
        <v>97</v>
      </c>
      <c r="C29" s="46"/>
      <c r="D29" s="100" t="s">
        <v>98</v>
      </c>
      <c r="E29" s="46"/>
      <c r="F29" s="100" t="s">
        <v>42</v>
      </c>
      <c r="G29" s="102"/>
      <c r="H29" s="100" t="s">
        <v>99</v>
      </c>
      <c r="I29" s="102"/>
      <c r="J29" s="106" t="s">
        <v>100</v>
      </c>
      <c r="K29" s="102"/>
      <c r="L29" s="100" t="s">
        <v>46</v>
      </c>
      <c r="M29" s="102">
        <f>3*16.2%</f>
        <v>0.486</v>
      </c>
      <c r="O29" s="30">
        <v>0</v>
      </c>
      <c r="P29" s="53" t="s">
        <v>101</v>
      </c>
      <c r="Q29" s="84">
        <v>2.9822</v>
      </c>
      <c r="R29" s="53" t="s">
        <v>89</v>
      </c>
      <c r="S29" s="53">
        <v>10027</v>
      </c>
      <c r="T29" s="84">
        <v>0</v>
      </c>
      <c r="U29" s="84">
        <v>0</v>
      </c>
      <c r="V29" s="85">
        <v>1</v>
      </c>
      <c r="W29" s="86">
        <v>0</v>
      </c>
      <c r="X29" s="85">
        <f t="shared" si="19"/>
        <v>0.488431876606684</v>
      </c>
      <c r="Y29" s="53">
        <f t="shared" si="20"/>
        <v>0.8</v>
      </c>
      <c r="Z29" s="87">
        <v>0</v>
      </c>
      <c r="AA29" s="87">
        <v>0</v>
      </c>
      <c r="AB29" s="87">
        <v>0.5</v>
      </c>
      <c r="AC29" s="104">
        <f t="shared" si="21"/>
        <v>0</v>
      </c>
    </row>
    <row r="30" s="1" customFormat="1" ht="15" spans="1:32">
      <c r="A30" s="105">
        <v>0.418</v>
      </c>
      <c r="B30" s="100" t="s">
        <v>94</v>
      </c>
      <c r="C30" s="107">
        <f>25%+15%</f>
        <v>0.4</v>
      </c>
      <c r="D30" s="100" t="s">
        <v>102</v>
      </c>
      <c r="E30" s="46">
        <f>48%+40%</f>
        <v>0.88</v>
      </c>
      <c r="F30" s="100" t="s">
        <v>94</v>
      </c>
      <c r="G30" s="102">
        <f>M28</f>
        <v>0.162</v>
      </c>
      <c r="H30" s="100"/>
      <c r="I30" s="102"/>
      <c r="J30" s="106"/>
      <c r="K30" s="102"/>
      <c r="L30" s="100" t="s">
        <v>103</v>
      </c>
      <c r="M30" s="102">
        <f>8.6%*2</f>
        <v>0.172</v>
      </c>
      <c r="O30" s="47">
        <v>1</v>
      </c>
      <c r="P30" s="89" t="s">
        <v>104</v>
      </c>
      <c r="Q30" s="91">
        <v>16</v>
      </c>
      <c r="R30" s="89" t="s">
        <v>105</v>
      </c>
      <c r="S30" s="89">
        <v>10027</v>
      </c>
      <c r="T30" s="91">
        <v>0</v>
      </c>
      <c r="U30" s="91">
        <v>0</v>
      </c>
      <c r="V30" s="92">
        <v>1</v>
      </c>
      <c r="W30" s="93">
        <v>0</v>
      </c>
      <c r="X30" s="92">
        <f t="shared" si="19"/>
        <v>0.488431876606684</v>
      </c>
      <c r="Y30" s="89">
        <f t="shared" si="20"/>
        <v>0.8</v>
      </c>
      <c r="Z30" s="94">
        <v>0</v>
      </c>
      <c r="AA30" s="94">
        <v>0</v>
      </c>
      <c r="AB30" s="94">
        <v>0.5</v>
      </c>
      <c r="AC30" s="108">
        <f t="shared" si="21"/>
        <v>94032.1233933162</v>
      </c>
      <c r="AD30" s="56"/>
    </row>
    <row r="31" s="1" customFormat="1" spans="1:32">
      <c r="A31" s="109">
        <v>0.2</v>
      </c>
      <c r="B31" s="100" t="s">
        <v>106</v>
      </c>
      <c r="C31" s="107"/>
      <c r="D31" s="100" t="s">
        <v>107</v>
      </c>
      <c r="E31" s="110"/>
      <c r="F31" s="100" t="s">
        <v>108</v>
      </c>
      <c r="G31" s="102"/>
      <c r="H31" s="100"/>
      <c r="I31" s="102"/>
      <c r="J31" s="106"/>
      <c r="K31" s="102"/>
      <c r="L31" s="100"/>
      <c r="M31" s="102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s="1" customFormat="1" ht="15" spans="1:32">
      <c r="A32" s="95"/>
      <c r="B32" s="100" t="s">
        <v>53</v>
      </c>
      <c r="C32" s="101">
        <v>350</v>
      </c>
      <c r="D32" s="100"/>
      <c r="E32" s="46"/>
      <c r="F32" s="111" t="s">
        <v>58</v>
      </c>
      <c r="G32" s="112">
        <f>MIN(100%,SUM(G27:G31))</f>
        <v>0.212</v>
      </c>
      <c r="H32" s="111" t="s">
        <v>59</v>
      </c>
      <c r="I32" s="113">
        <f>SUM(I27:I31)</f>
        <v>1.986</v>
      </c>
      <c r="J32" s="106"/>
      <c r="K32" s="102"/>
      <c r="L32" s="100"/>
      <c r="M32" s="101"/>
      <c r="O32" s="62">
        <v>1</v>
      </c>
      <c r="P32" s="114" t="s">
        <v>109</v>
      </c>
      <c r="Q32" s="75">
        <v>2.0279</v>
      </c>
      <c r="R32" s="76" t="s">
        <v>33</v>
      </c>
      <c r="S32" s="77">
        <f t="shared" ref="S32:S35" si="22">C$34</f>
        <v>1225</v>
      </c>
      <c r="T32" s="78">
        <f t="shared" ref="T32:T35" si="23">S32/$C$27-1</f>
        <v>0.96</v>
      </c>
      <c r="U32" s="78">
        <f t="shared" ref="U32:U35" si="24">E$30</f>
        <v>0.88</v>
      </c>
      <c r="V32" s="79">
        <f t="shared" ref="V32:V35" si="25">1+$G$32*($I$32-1)</f>
        <v>1.209032</v>
      </c>
      <c r="W32" s="80">
        <f t="shared" ref="W32:W37" si="26">K$27</f>
        <v>0.25</v>
      </c>
      <c r="X32" s="79">
        <f t="shared" ref="X32:X37" si="27">$AF$3</f>
        <v>0.488431876606684</v>
      </c>
      <c r="Y32" s="76">
        <f t="shared" ref="Y32:Y37" si="28">$AF$14</f>
        <v>0.8</v>
      </c>
      <c r="Z32" s="81">
        <v>0</v>
      </c>
      <c r="AA32" s="81">
        <v>0</v>
      </c>
      <c r="AB32" s="28">
        <f t="shared" ref="AB32:AB37" si="29">$AF$17</f>
        <v>0.18</v>
      </c>
      <c r="AC32" s="19">
        <f t="shared" ref="AC32:AC35" si="30">Q32*$C$27*(1+T32)*(1+U32)*V32*(1+W32)*X32*Y32*(1+Z32)*(1+AA32)*(1+AB32)*O32</f>
        <v>3254.3501275887</v>
      </c>
    </row>
    <row r="33" s="1" customFormat="1" ht="15" spans="1:29">
      <c r="A33" s="95"/>
      <c r="B33" s="115" t="s">
        <v>57</v>
      </c>
      <c r="C33" s="116"/>
      <c r="D33" s="115" t="s">
        <v>110</v>
      </c>
      <c r="E33" s="117">
        <f>M30</f>
        <v>0.172</v>
      </c>
      <c r="F33" s="115"/>
      <c r="G33" s="118"/>
      <c r="H33" s="115"/>
      <c r="I33" s="116"/>
      <c r="J33" s="119"/>
      <c r="K33" s="118"/>
      <c r="L33" s="115"/>
      <c r="M33" s="116"/>
      <c r="N33" s="120"/>
      <c r="O33" s="121">
        <v>1</v>
      </c>
      <c r="P33" s="114" t="s">
        <v>111</v>
      </c>
      <c r="Q33" s="43">
        <f>22.27%+16.71%*2+23.86%+23.86%+17.9%*4+41.36%+10.34%*6</f>
        <v>2.7841</v>
      </c>
      <c r="R33" s="53" t="s">
        <v>1</v>
      </c>
      <c r="S33" s="83">
        <f t="shared" si="22"/>
        <v>1225</v>
      </c>
      <c r="T33" s="84">
        <f t="shared" si="23"/>
        <v>0.96</v>
      </c>
      <c r="U33" s="84">
        <f t="shared" si="24"/>
        <v>0.88</v>
      </c>
      <c r="V33" s="85">
        <f t="shared" si="25"/>
        <v>1.209032</v>
      </c>
      <c r="W33" s="86">
        <f t="shared" si="26"/>
        <v>0.25</v>
      </c>
      <c r="X33" s="85">
        <f t="shared" si="27"/>
        <v>0.488431876606684</v>
      </c>
      <c r="Y33" s="53">
        <f t="shared" si="28"/>
        <v>0.8</v>
      </c>
      <c r="Z33" s="87">
        <v>0</v>
      </c>
      <c r="AA33" s="87">
        <v>0</v>
      </c>
      <c r="AB33" s="28">
        <f t="shared" si="29"/>
        <v>0.18</v>
      </c>
      <c r="AC33" s="19">
        <f t="shared" si="30"/>
        <v>4467.89101544441</v>
      </c>
    </row>
    <row r="34" s="1" customFormat="1" ht="15" spans="1:29">
      <c r="A34" s="95">
        <f>A27*(1+A28+A29+A30+A31)</f>
        <v>3551.269</v>
      </c>
      <c r="B34" s="122"/>
      <c r="C34" s="122">
        <f>C27*(1+C30)+C32</f>
        <v>1225</v>
      </c>
      <c r="D34" s="122"/>
      <c r="E34" s="122"/>
      <c r="F34" s="122" t="s">
        <v>112</v>
      </c>
      <c r="G34" s="123"/>
      <c r="H34" s="122"/>
      <c r="I34" s="122"/>
      <c r="J34" s="122"/>
      <c r="K34" s="122"/>
      <c r="L34" s="122"/>
      <c r="M34" s="122"/>
      <c r="N34" s="53"/>
      <c r="O34" s="121">
        <v>1</v>
      </c>
      <c r="P34" s="114" t="s">
        <v>113</v>
      </c>
      <c r="Q34" s="43">
        <f>39.77%*4</f>
        <v>1.5908</v>
      </c>
      <c r="R34" s="53" t="s">
        <v>78</v>
      </c>
      <c r="S34" s="83">
        <f t="shared" si="22"/>
        <v>1225</v>
      </c>
      <c r="T34" s="84">
        <f t="shared" si="23"/>
        <v>0.96</v>
      </c>
      <c r="U34" s="84">
        <f t="shared" si="24"/>
        <v>0.88</v>
      </c>
      <c r="V34" s="85">
        <f t="shared" si="25"/>
        <v>1.209032</v>
      </c>
      <c r="W34" s="86">
        <f t="shared" si="26"/>
        <v>0.25</v>
      </c>
      <c r="X34" s="85">
        <f t="shared" si="27"/>
        <v>0.488431876606684</v>
      </c>
      <c r="Y34" s="53">
        <f t="shared" si="28"/>
        <v>0.8</v>
      </c>
      <c r="Z34" s="87">
        <v>0</v>
      </c>
      <c r="AA34" s="87">
        <v>0</v>
      </c>
      <c r="AB34" s="28">
        <f t="shared" si="29"/>
        <v>0.18</v>
      </c>
      <c r="AC34" s="19">
        <f t="shared" si="30"/>
        <v>2552.89717588052</v>
      </c>
    </row>
    <row r="35" s="1" customFormat="1" ht="15" spans="1:29">
      <c r="A35" s="56"/>
      <c r="B35" s="124"/>
      <c r="C35" s="124"/>
      <c r="D35" s="124"/>
      <c r="E35" s="124"/>
      <c r="F35" s="124"/>
      <c r="G35" s="125"/>
      <c r="N35" s="53"/>
      <c r="O35" s="121">
        <v>1</v>
      </c>
      <c r="P35" s="114" t="s">
        <v>114</v>
      </c>
      <c r="Q35" s="43">
        <v>3.51</v>
      </c>
      <c r="R35" s="53" t="s">
        <v>26</v>
      </c>
      <c r="S35" s="83">
        <f t="shared" si="22"/>
        <v>1225</v>
      </c>
      <c r="T35" s="84">
        <f t="shared" si="23"/>
        <v>0.96</v>
      </c>
      <c r="U35" s="84">
        <f t="shared" si="24"/>
        <v>0.88</v>
      </c>
      <c r="V35" s="85">
        <f t="shared" si="25"/>
        <v>1.209032</v>
      </c>
      <c r="W35" s="86">
        <f t="shared" si="26"/>
        <v>0.25</v>
      </c>
      <c r="X35" s="85">
        <f t="shared" si="27"/>
        <v>0.488431876606684</v>
      </c>
      <c r="Y35" s="53">
        <f t="shared" si="28"/>
        <v>0.8</v>
      </c>
      <c r="Z35" s="87">
        <v>0</v>
      </c>
      <c r="AA35" s="87">
        <v>0</v>
      </c>
      <c r="AB35" s="28">
        <f t="shared" si="29"/>
        <v>0.18</v>
      </c>
      <c r="AC35" s="19">
        <f t="shared" si="30"/>
        <v>5632.80681879597</v>
      </c>
    </row>
    <row r="36" s="1" customFormat="1" ht="15" spans="1:29">
      <c r="B36" s="126" t="s">
        <v>115</v>
      </c>
      <c r="G36" s="2"/>
      <c r="N36" s="53"/>
      <c r="O36" s="121">
        <v>1</v>
      </c>
      <c r="P36" s="114" t="s">
        <v>116</v>
      </c>
      <c r="Q36" s="43">
        <v>5.2233</v>
      </c>
      <c r="R36" s="53" t="s">
        <v>75</v>
      </c>
      <c r="S36" s="83">
        <f>A34</f>
        <v>3551.269</v>
      </c>
      <c r="T36" s="84">
        <v>0</v>
      </c>
      <c r="U36" s="84">
        <f>E$30+M30</f>
        <v>1.052</v>
      </c>
      <c r="V36" s="85">
        <f>I32+1.6</f>
        <v>3.586</v>
      </c>
      <c r="W36" s="86">
        <f t="shared" si="26"/>
        <v>0.25</v>
      </c>
      <c r="X36" s="85">
        <f t="shared" si="27"/>
        <v>0.488431876606684</v>
      </c>
      <c r="Y36" s="53">
        <f t="shared" si="28"/>
        <v>0.8</v>
      </c>
      <c r="Z36" s="87">
        <v>0</v>
      </c>
      <c r="AA36" s="87">
        <v>0</v>
      </c>
      <c r="AB36" s="28">
        <f t="shared" si="29"/>
        <v>0.18</v>
      </c>
      <c r="AC36" s="19">
        <f>Q36*$S$36*(1+T36)*(1+U36)*V36*(1+W36)*X36*Y36*(1+Z36)*(1+AA36)*(1+AB36)*O36</f>
        <v>78668.7390581741</v>
      </c>
    </row>
    <row r="37" s="1" customFormat="1" ht="17.5" spans="1:29">
      <c r="B37" s="127" t="s">
        <v>117</v>
      </c>
      <c r="C37" s="128" t="s">
        <v>118</v>
      </c>
      <c r="D37" s="128" t="s">
        <v>119</v>
      </c>
      <c r="E37" s="128" t="s">
        <v>120</v>
      </c>
      <c r="F37" s="128" t="s">
        <v>121</v>
      </c>
      <c r="G37" s="2"/>
      <c r="I37" s="129" t="s">
        <v>122</v>
      </c>
      <c r="J37" s="129" t="s">
        <v>119</v>
      </c>
      <c r="N37" s="53"/>
      <c r="O37" s="130">
        <v>1</v>
      </c>
      <c r="P37" s="114" t="s">
        <v>123</v>
      </c>
      <c r="Q37" s="52">
        <f>258.46%</f>
        <v>2.5846</v>
      </c>
      <c r="R37" s="89" t="s">
        <v>78</v>
      </c>
      <c r="S37" s="90">
        <f>C$34</f>
        <v>1225</v>
      </c>
      <c r="T37" s="91">
        <f>S37/$C$27-1</f>
        <v>0.96</v>
      </c>
      <c r="U37" s="91">
        <f>E$30</f>
        <v>0.88</v>
      </c>
      <c r="V37" s="92">
        <f>1+$G$32*($I$32-1)</f>
        <v>1.209032</v>
      </c>
      <c r="W37" s="93">
        <f t="shared" si="26"/>
        <v>0.25</v>
      </c>
      <c r="X37" s="92">
        <f t="shared" si="27"/>
        <v>0.488431876606684</v>
      </c>
      <c r="Y37" s="89">
        <f t="shared" si="28"/>
        <v>0.8</v>
      </c>
      <c r="Z37" s="94">
        <v>0</v>
      </c>
      <c r="AA37" s="94">
        <v>0</v>
      </c>
      <c r="AB37" s="28">
        <f t="shared" si="29"/>
        <v>0.18</v>
      </c>
      <c r="AC37" s="19">
        <f>Q37*$C$27*(1+T37)*(1+U37)*V37*(1+W37)*X37*Y37*(1+Z37)*(1+AA37)*(1+AB37)*O37</f>
        <v>4147.73575608549</v>
      </c>
    </row>
    <row r="38" s="1" customFormat="1" ht="17.5" spans="1:29">
      <c r="B38" s="4" t="s">
        <v>3</v>
      </c>
      <c r="C38" s="131">
        <f>SUM(AC3:AC15)</f>
        <v>1610265.66406868</v>
      </c>
      <c r="D38" s="131">
        <f t="shared" ref="D38:D41" si="31">C38/$E$38</f>
        <v>64410.6265627471</v>
      </c>
      <c r="E38" s="132">
        <v>25</v>
      </c>
      <c r="F38" s="133">
        <f t="shared" ref="F38:F41" si="32">C38/$C$43</f>
        <v>0.764766971734154</v>
      </c>
      <c r="G38" s="2"/>
      <c r="I38" s="134" t="s">
        <v>124</v>
      </c>
      <c r="J38" s="134">
        <v>79375</v>
      </c>
      <c r="Q38" s="2"/>
      <c r="U38" s="2"/>
      <c r="V38" s="3"/>
      <c r="AB38" s="4"/>
      <c r="AC38" s="4"/>
    </row>
    <row r="39" s="1" customFormat="1" ht="17.5" spans="1:29">
      <c r="B39" s="4" t="s">
        <v>66</v>
      </c>
      <c r="C39" s="131">
        <f>SUM(AC16:AC24)</f>
        <v>351266.029470772</v>
      </c>
      <c r="D39" s="131">
        <f t="shared" si="31"/>
        <v>14050.6411788309</v>
      </c>
      <c r="E39" s="135"/>
      <c r="F39" s="133">
        <f t="shared" si="32"/>
        <v>0.166827538850127</v>
      </c>
      <c r="G39" s="2"/>
      <c r="I39" s="134" t="s">
        <v>125</v>
      </c>
      <c r="J39" s="134">
        <v>83549</v>
      </c>
      <c r="Q39" s="2"/>
      <c r="U39" s="2"/>
      <c r="V39" s="3"/>
      <c r="AB39" s="4"/>
      <c r="AC39" s="4"/>
    </row>
    <row r="40" s="1" customFormat="1" ht="17.5" spans="1:29">
      <c r="B40" s="4" t="s">
        <v>108</v>
      </c>
      <c r="C40" s="131">
        <v>50000</v>
      </c>
      <c r="D40" s="131">
        <f t="shared" si="31"/>
        <v>2000</v>
      </c>
      <c r="E40" s="136"/>
      <c r="F40" s="133">
        <f t="shared" si="32"/>
        <v>0.0237466086745527</v>
      </c>
      <c r="G40" s="2"/>
      <c r="I40" s="134" t="s">
        <v>126</v>
      </c>
      <c r="J40" s="134">
        <v>87722</v>
      </c>
      <c r="Q40" s="2"/>
      <c r="U40" s="2"/>
      <c r="V40" s="3"/>
      <c r="AB40" s="4"/>
      <c r="AC40" s="4"/>
    </row>
    <row r="41" s="1" customFormat="1" ht="17.5" spans="1:29">
      <c r="B41" s="4" t="s">
        <v>104</v>
      </c>
      <c r="C41" s="131">
        <f>AC30</f>
        <v>94032.1233933162</v>
      </c>
      <c r="D41" s="131">
        <f t="shared" si="31"/>
        <v>3761.28493573265</v>
      </c>
      <c r="E41" s="136"/>
      <c r="F41" s="133">
        <f t="shared" si="32"/>
        <v>0.0446588807411667</v>
      </c>
      <c r="G41" s="2"/>
      <c r="I41" s="134" t="s">
        <v>127</v>
      </c>
      <c r="J41" s="134">
        <v>91896</v>
      </c>
      <c r="Q41" s="2"/>
      <c r="U41" s="2"/>
      <c r="V41" s="3"/>
      <c r="AB41" s="4"/>
      <c r="AC41" s="4"/>
    </row>
    <row r="42" s="1" customFormat="1" ht="15" spans="1:29">
      <c r="B42" s="4"/>
      <c r="C42" s="131"/>
      <c r="D42" s="131"/>
      <c r="E42" s="136"/>
      <c r="F42" s="133"/>
      <c r="G42" s="2"/>
      <c r="Q42" s="2"/>
      <c r="U42" s="2"/>
      <c r="V42" s="3"/>
      <c r="AB42" s="4"/>
      <c r="AC42" s="4"/>
    </row>
    <row r="43" s="1" customFormat="1" ht="17.5" spans="1:29">
      <c r="B43" s="4" t="s">
        <v>128</v>
      </c>
      <c r="C43" s="137">
        <f>SUM(C38:C41)</f>
        <v>2105563.81693277</v>
      </c>
      <c r="D43" s="137">
        <f>C43/E38</f>
        <v>84222.5526773107</v>
      </c>
      <c r="E43" s="138"/>
      <c r="F43" s="139"/>
      <c r="G43" s="2"/>
      <c r="I43" s="129" t="s">
        <v>135</v>
      </c>
      <c r="J43" s="129" t="s">
        <v>119</v>
      </c>
      <c r="Q43" s="2"/>
      <c r="U43" s="2"/>
      <c r="V43" s="3"/>
      <c r="AB43" s="4"/>
      <c r="AC43" s="4"/>
    </row>
    <row r="44" s="1" customFormat="1" ht="17.5" spans="1:29">
      <c r="B44" s="4"/>
      <c r="C44" s="4"/>
      <c r="D44" s="4"/>
      <c r="G44" s="140"/>
      <c r="I44" s="134" t="s">
        <v>124</v>
      </c>
      <c r="J44" s="134">
        <v>76243</v>
      </c>
      <c r="Q44" s="2"/>
      <c r="U44" s="2"/>
      <c r="V44" s="3"/>
      <c r="AB44" s="4"/>
      <c r="AC44" s="4"/>
    </row>
    <row r="45" s="1" customFormat="1" ht="17.5" spans="1:29">
      <c r="B45" s="141" t="s">
        <v>129</v>
      </c>
      <c r="C45" s="142"/>
      <c r="D45" s="142"/>
      <c r="E45" s="142"/>
      <c r="F45" s="143"/>
      <c r="G45" s="2"/>
      <c r="I45" s="134" t="s">
        <v>125</v>
      </c>
      <c r="J45" s="134">
        <v>80233</v>
      </c>
      <c r="Q45" s="2"/>
      <c r="U45" s="2"/>
      <c r="V45" s="3"/>
      <c r="AB45" s="4"/>
      <c r="AC45" s="4"/>
    </row>
    <row r="46" s="1" customFormat="1" ht="17.5" spans="1:29">
      <c r="B46" s="144"/>
      <c r="C46" s="145"/>
      <c r="D46" s="145"/>
      <c r="E46" s="145"/>
      <c r="F46" s="146"/>
      <c r="G46" s="2"/>
      <c r="I46" s="134" t="s">
        <v>126</v>
      </c>
      <c r="J46" s="134">
        <v>84223</v>
      </c>
      <c r="Q46" s="2"/>
      <c r="U46" s="2"/>
      <c r="V46" s="3"/>
      <c r="AB46" s="4"/>
      <c r="AC46" s="4"/>
    </row>
    <row r="47" s="1" customFormat="1" spans="1:29">
      <c r="B47" s="147"/>
      <c r="C47" s="147"/>
      <c r="D47" s="147"/>
      <c r="E47" s="147"/>
      <c r="F47" s="147"/>
      <c r="Q47" s="2"/>
      <c r="U47" s="2"/>
      <c r="V47" s="3"/>
      <c r="AB47" s="4"/>
      <c r="AC47" s="4"/>
    </row>
    <row r="48" s="1" customFormat="1" ht="15" spans="1:29">
      <c r="B48" s="148" t="s">
        <v>130</v>
      </c>
      <c r="C48" s="149" t="s">
        <v>3</v>
      </c>
      <c r="D48" s="149" t="s">
        <v>131</v>
      </c>
      <c r="E48" s="76"/>
      <c r="F48" s="150"/>
      <c r="G48" s="2"/>
      <c r="Q48" s="2"/>
      <c r="U48" s="2"/>
      <c r="V48" s="3"/>
      <c r="AB48" s="4"/>
      <c r="AC48" s="4"/>
    </row>
    <row r="49" s="1" customFormat="1" ht="15" spans="2:29">
      <c r="B49" s="151"/>
      <c r="C49" s="136" t="s">
        <v>66</v>
      </c>
      <c r="D49" s="136" t="s">
        <v>132</v>
      </c>
      <c r="F49" s="152"/>
      <c r="G49" s="2"/>
      <c r="Q49" s="2"/>
      <c r="U49" s="2"/>
      <c r="V49" s="3"/>
      <c r="AB49" s="4"/>
      <c r="AC49" s="4"/>
    </row>
    <row r="50" s="1" customFormat="1" ht="15" spans="2:29">
      <c r="B50" s="154"/>
      <c r="C50" s="155" t="s">
        <v>133</v>
      </c>
      <c r="D50" s="155" t="s">
        <v>134</v>
      </c>
      <c r="E50" s="89"/>
      <c r="F50" s="48"/>
      <c r="G50" s="2"/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F57" s="4"/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G58" s="2"/>
      <c r="Q58" s="2"/>
      <c r="U58" s="2"/>
      <c r="V58" s="3"/>
      <c r="AB58" s="4"/>
      <c r="AC58" s="4"/>
    </row>
    <row r="59" s="1" customFormat="1" spans="2:29">
      <c r="G59" s="2"/>
      <c r="Q59" s="2"/>
      <c r="U59" s="2"/>
      <c r="V59" s="3"/>
      <c r="AB59" s="4"/>
      <c r="AC59" s="4"/>
    </row>
    <row r="60" s="1" customFormat="1" spans="2:29">
      <c r="B60" s="4"/>
      <c r="C60" s="4"/>
      <c r="D60" s="4"/>
      <c r="G60" s="2"/>
      <c r="Q60" s="2"/>
      <c r="U60" s="2"/>
      <c r="V60" s="3"/>
      <c r="AB60" s="4"/>
      <c r="AC60" s="4"/>
    </row>
    <row r="61" s="1" customFormat="1" spans="2:29"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A25" workbookViewId="0">
      <selection activeCell="I43" sqref="I43:J46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9.36363636363636" style="1" customWidth="1"/>
    <col min="10" max="10" width="8.09090909090909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0</v>
      </c>
      <c r="C1" s="5" t="s">
        <v>1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0" t="s">
        <v>5</v>
      </c>
      <c r="Q2" s="11" t="s">
        <v>6</v>
      </c>
      <c r="R2" s="10" t="s">
        <v>7</v>
      </c>
      <c r="S2" s="10" t="s">
        <v>8</v>
      </c>
      <c r="T2" s="10" t="s">
        <v>9</v>
      </c>
      <c r="U2" s="11" t="s">
        <v>10</v>
      </c>
      <c r="V2" s="12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3" t="s">
        <v>17</v>
      </c>
      <c r="AC2" s="13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18">
        <v>1</v>
      </c>
      <c r="P3" s="19" t="s">
        <v>26</v>
      </c>
      <c r="Q3" s="20">
        <v>1.6102</v>
      </c>
      <c r="R3" s="21" t="s">
        <v>26</v>
      </c>
      <c r="S3" s="22">
        <f t="shared" ref="S3:S15" si="0">$C$4*(1+C$5+C$6+C$7+C$8)+C$9</f>
        <v>3181.85</v>
      </c>
      <c r="T3" s="23">
        <f t="shared" ref="T3:T15" si="1">S3/$C$4-1</f>
        <v>2.03033333333333</v>
      </c>
      <c r="U3" s="23">
        <f>IF(R3=$C$1,SUM($E$4:$E$9),SUM($E$4:$E$8))+60%</f>
        <v>2.44</v>
      </c>
      <c r="V3" s="24">
        <f t="shared" ref="V3:V15" si="2">1+$G$10*($I$10-1)</f>
        <v>2.3615</v>
      </c>
      <c r="W3" s="25">
        <f t="shared" ref="W3:W14" si="3">IF(R3=$C$1,$K$4+$K$5,$K$4)</f>
        <v>0.3</v>
      </c>
      <c r="X3" s="26">
        <f>$AF$3</f>
        <v>0.488431876606684</v>
      </c>
      <c r="Y3" s="21">
        <f t="shared" ref="Y3:Y7" si="4">$AF$14</f>
        <v>0.8</v>
      </c>
      <c r="Z3" s="27">
        <v>0</v>
      </c>
      <c r="AA3" s="27">
        <v>0</v>
      </c>
      <c r="AB3" s="28">
        <f t="shared" ref="AB3:AB24" si="5">$AF$17</f>
        <v>0.06</v>
      </c>
      <c r="AC3" s="19">
        <f t="shared" ref="AC3:AC15" si="6">Q3*$C$4*(1+T3)*(1+U3)*V3*(1+W3)*X3*Y3*(1+Z3)*(1+AA3)*(1+AB3)*O3</f>
        <v>22410.3748612691</v>
      </c>
      <c r="AD3" s="14">
        <v>0</v>
      </c>
      <c r="AE3" s="14">
        <v>0</v>
      </c>
      <c r="AF3" s="15">
        <f t="shared" ref="AF3:AF8" si="7">1520/(1520+(792+8*AG3)*(1-AE3/100))</f>
        <v>0.488431876606684</v>
      </c>
      <c r="AG3" s="29">
        <v>100</v>
      </c>
    </row>
    <row r="4" s="1" customFormat="1" ht="15" spans="2:33">
      <c r="B4" s="30" t="s">
        <v>27</v>
      </c>
      <c r="C4" s="31">
        <f>463+587</f>
        <v>1050</v>
      </c>
      <c r="D4" s="30" t="s">
        <v>28</v>
      </c>
      <c r="E4" s="32">
        <f>E1*30%</f>
        <v>0.6</v>
      </c>
      <c r="F4" s="30" t="s">
        <v>29</v>
      </c>
      <c r="G4" s="33">
        <v>0.13</v>
      </c>
      <c r="H4" s="30" t="s">
        <v>29</v>
      </c>
      <c r="I4" s="33">
        <v>1.5</v>
      </c>
      <c r="J4" s="34" t="s">
        <v>30</v>
      </c>
      <c r="K4" s="35">
        <f>25%+5%</f>
        <v>0.3</v>
      </c>
      <c r="L4" s="30" t="s">
        <v>31</v>
      </c>
      <c r="M4" s="33">
        <f>8.6%*2</f>
        <v>0.172</v>
      </c>
      <c r="O4" s="36">
        <v>1</v>
      </c>
      <c r="P4" s="19" t="s">
        <v>32</v>
      </c>
      <c r="Q4" s="37">
        <f>72.67%*3</f>
        <v>2.1801</v>
      </c>
      <c r="R4" s="38" t="s">
        <v>33</v>
      </c>
      <c r="S4" s="39">
        <f t="shared" si="0"/>
        <v>3181.85</v>
      </c>
      <c r="T4" s="40">
        <f t="shared" si="1"/>
        <v>2.03033333333333</v>
      </c>
      <c r="U4" s="40">
        <f t="shared" ref="U4:U13" si="8">IF(R4=$C$1,SUM($E$4:$E$9),SUM($E$4:$E$8))</f>
        <v>1.84</v>
      </c>
      <c r="V4" s="24">
        <f t="shared" si="2"/>
        <v>2.3615</v>
      </c>
      <c r="W4" s="41">
        <f t="shared" si="3"/>
        <v>0.3</v>
      </c>
      <c r="X4" s="26">
        <f>$AF$3</f>
        <v>0.488431876606684</v>
      </c>
      <c r="Y4" s="38">
        <f t="shared" si="4"/>
        <v>0.8</v>
      </c>
      <c r="Z4" s="42">
        <v>0</v>
      </c>
      <c r="AA4" s="42">
        <v>0</v>
      </c>
      <c r="AB4" s="28">
        <f t="shared" si="5"/>
        <v>0.06</v>
      </c>
      <c r="AC4" s="19">
        <f t="shared" si="6"/>
        <v>25049.8777754659</v>
      </c>
      <c r="AD4" s="14">
        <v>10</v>
      </c>
      <c r="AE4" s="14">
        <v>0</v>
      </c>
      <c r="AF4" s="15">
        <f>1520/(1520+(792+8*AG4)*(1-AE4/100)*(1-AD4/100))</f>
        <v>0.514765646166351</v>
      </c>
      <c r="AG4" s="29">
        <v>100</v>
      </c>
    </row>
    <row r="5" s="1" customFormat="1" ht="15" spans="2:33">
      <c r="B5" s="30" t="s">
        <v>34</v>
      </c>
      <c r="C5" s="32">
        <f>12%+12%</f>
        <v>0.24</v>
      </c>
      <c r="D5" s="30" t="s">
        <v>35</v>
      </c>
      <c r="E5" s="32">
        <v>0.4</v>
      </c>
      <c r="F5" s="30" t="s">
        <v>36</v>
      </c>
      <c r="G5" s="33">
        <v>0.243</v>
      </c>
      <c r="H5" s="30" t="s">
        <v>36</v>
      </c>
      <c r="I5" s="33">
        <v>0</v>
      </c>
      <c r="J5" s="43" t="s">
        <v>37</v>
      </c>
      <c r="K5" s="35">
        <f>20%+38%</f>
        <v>0.58</v>
      </c>
      <c r="L5" s="30" t="s">
        <v>38</v>
      </c>
      <c r="M5" s="33">
        <f>8.6%*2</f>
        <v>0.172</v>
      </c>
      <c r="O5" s="36">
        <v>2</v>
      </c>
      <c r="P5" s="19" t="s">
        <v>39</v>
      </c>
      <c r="Q5" s="37">
        <v>0.5746</v>
      </c>
      <c r="R5" s="38" t="s">
        <v>1</v>
      </c>
      <c r="S5" s="39">
        <f t="shared" si="0"/>
        <v>3181.85</v>
      </c>
      <c r="T5" s="40">
        <f t="shared" si="1"/>
        <v>2.03033333333333</v>
      </c>
      <c r="U5" s="40">
        <f t="shared" si="8"/>
        <v>2.132</v>
      </c>
      <c r="V5" s="24">
        <f t="shared" si="2"/>
        <v>2.3615</v>
      </c>
      <c r="W5" s="41">
        <f t="shared" si="3"/>
        <v>0.88</v>
      </c>
      <c r="X5" s="26">
        <f t="shared" ref="X5:X14" si="9">$AF$4</f>
        <v>0.514765646166351</v>
      </c>
      <c r="Y5" s="38">
        <f t="shared" si="4"/>
        <v>0.8</v>
      </c>
      <c r="Z5" s="42">
        <v>0</v>
      </c>
      <c r="AA5" s="42">
        <v>0</v>
      </c>
      <c r="AB5" s="28">
        <f t="shared" si="5"/>
        <v>0.06</v>
      </c>
      <c r="AC5" s="19">
        <f t="shared" si="6"/>
        <v>22194.6489386195</v>
      </c>
      <c r="AD5" s="14">
        <v>0</v>
      </c>
      <c r="AE5" s="14">
        <v>30</v>
      </c>
      <c r="AF5" s="15">
        <f t="shared" si="7"/>
        <v>0.57698147585788</v>
      </c>
      <c r="AG5" s="29">
        <v>100</v>
      </c>
    </row>
    <row r="6" s="1" customFormat="1" ht="15" spans="2:33">
      <c r="B6" s="30" t="s">
        <v>40</v>
      </c>
      <c r="C6" s="33">
        <f>18%+18%+M4+(2-E1)*30%</f>
        <v>0.532</v>
      </c>
      <c r="D6" s="30" t="s">
        <v>41</v>
      </c>
      <c r="E6" s="32">
        <v>0.12</v>
      </c>
      <c r="F6" s="30" t="s">
        <v>42</v>
      </c>
      <c r="G6" s="33"/>
      <c r="H6" s="30" t="s">
        <v>42</v>
      </c>
      <c r="I6" s="33">
        <v>0</v>
      </c>
      <c r="J6" s="43"/>
      <c r="K6" s="32"/>
      <c r="L6" s="30" t="s">
        <v>23</v>
      </c>
      <c r="M6" s="33">
        <f>8.1*5%</f>
        <v>0.405</v>
      </c>
      <c r="O6" s="36">
        <v>3</v>
      </c>
      <c r="P6" s="19" t="s">
        <v>43</v>
      </c>
      <c r="Q6" s="37">
        <f>50.42%+50.42%</f>
        <v>1.0084</v>
      </c>
      <c r="R6" s="38" t="s">
        <v>1</v>
      </c>
      <c r="S6" s="39">
        <f t="shared" si="0"/>
        <v>3181.85</v>
      </c>
      <c r="T6" s="40">
        <f t="shared" si="1"/>
        <v>2.03033333333333</v>
      </c>
      <c r="U6" s="40">
        <f t="shared" si="8"/>
        <v>2.132</v>
      </c>
      <c r="V6" s="24">
        <f t="shared" si="2"/>
        <v>2.3615</v>
      </c>
      <c r="W6" s="41">
        <f t="shared" si="3"/>
        <v>0.88</v>
      </c>
      <c r="X6" s="26">
        <f t="shared" si="9"/>
        <v>0.514765646166351</v>
      </c>
      <c r="Y6" s="38">
        <f t="shared" ref="Y6:Y15" si="10">$AF$12</f>
        <v>0.8</v>
      </c>
      <c r="Z6" s="42">
        <v>0</v>
      </c>
      <c r="AA6" s="42">
        <v>0</v>
      </c>
      <c r="AB6" s="28">
        <f t="shared" si="5"/>
        <v>0.06</v>
      </c>
      <c r="AC6" s="19">
        <f t="shared" si="6"/>
        <v>58426.0807249492</v>
      </c>
      <c r="AD6" s="14">
        <v>0</v>
      </c>
      <c r="AE6" s="14">
        <v>21.6</v>
      </c>
      <c r="AF6" s="15">
        <f t="shared" si="7"/>
        <v>0.549107555719967</v>
      </c>
      <c r="AG6" s="29">
        <v>100</v>
      </c>
    </row>
    <row r="7" s="1" customFormat="1" ht="15" spans="2:33">
      <c r="B7" s="30" t="s">
        <v>44</v>
      </c>
      <c r="C7" s="33">
        <v>0.25</v>
      </c>
      <c r="D7" s="30" t="s">
        <v>45</v>
      </c>
      <c r="E7" s="32">
        <f>12%+40%</f>
        <v>0.52</v>
      </c>
      <c r="F7" s="30" t="s">
        <v>40</v>
      </c>
      <c r="G7" s="33">
        <f>M6</f>
        <v>0.405</v>
      </c>
      <c r="H7" s="30" t="s">
        <v>40</v>
      </c>
      <c r="I7" s="33">
        <f>M7+44%</f>
        <v>1.25</v>
      </c>
      <c r="J7" s="43"/>
      <c r="K7" s="32"/>
      <c r="L7" s="30" t="s">
        <v>46</v>
      </c>
      <c r="M7" s="32">
        <f>16.2%*5</f>
        <v>0.81</v>
      </c>
      <c r="O7" s="36">
        <v>3</v>
      </c>
      <c r="P7" s="19" t="s">
        <v>47</v>
      </c>
      <c r="Q7" s="37">
        <f>74.92%+74.92%</f>
        <v>1.4984</v>
      </c>
      <c r="R7" s="38" t="s">
        <v>1</v>
      </c>
      <c r="S7" s="39">
        <f t="shared" si="0"/>
        <v>3181.85</v>
      </c>
      <c r="T7" s="40">
        <f t="shared" si="1"/>
        <v>2.03033333333333</v>
      </c>
      <c r="U7" s="40">
        <f t="shared" si="8"/>
        <v>2.132</v>
      </c>
      <c r="V7" s="24">
        <f t="shared" si="2"/>
        <v>2.3615</v>
      </c>
      <c r="W7" s="41">
        <f t="shared" si="3"/>
        <v>0.88</v>
      </c>
      <c r="X7" s="26">
        <f t="shared" si="9"/>
        <v>0.514765646166351</v>
      </c>
      <c r="Y7" s="38">
        <f t="shared" si="4"/>
        <v>0.8</v>
      </c>
      <c r="Z7" s="42">
        <v>0</v>
      </c>
      <c r="AA7" s="42">
        <v>0</v>
      </c>
      <c r="AB7" s="28">
        <f t="shared" si="5"/>
        <v>0.06</v>
      </c>
      <c r="AC7" s="19">
        <f t="shared" si="6"/>
        <v>86816.3817515509</v>
      </c>
      <c r="AD7" s="14">
        <v>0</v>
      </c>
      <c r="AE7" s="14">
        <v>28.8</v>
      </c>
      <c r="AF7" s="15">
        <f t="shared" si="7"/>
        <v>0.572827476423627</v>
      </c>
      <c r="AG7" s="29">
        <v>100</v>
      </c>
    </row>
    <row r="8" s="1" customFormat="1" ht="15" spans="2:33">
      <c r="B8" s="30" t="s">
        <v>48</v>
      </c>
      <c r="C8" s="44">
        <f>25%+20%+22.5%</f>
        <v>0.675</v>
      </c>
      <c r="D8" s="30" t="s">
        <v>49</v>
      </c>
      <c r="E8" s="45">
        <v>0.2</v>
      </c>
      <c r="F8" s="30" t="s">
        <v>50</v>
      </c>
      <c r="G8" s="33">
        <v>0</v>
      </c>
      <c r="H8" s="30" t="s">
        <v>51</v>
      </c>
      <c r="I8" s="33"/>
      <c r="J8" s="43"/>
      <c r="K8" s="32"/>
      <c r="L8" s="30"/>
      <c r="M8" s="31"/>
      <c r="O8" s="36">
        <v>2</v>
      </c>
      <c r="P8" s="19" t="s">
        <v>52</v>
      </c>
      <c r="Q8" s="37">
        <v>1.5547</v>
      </c>
      <c r="R8" s="38" t="s">
        <v>1</v>
      </c>
      <c r="S8" s="39">
        <f t="shared" si="0"/>
        <v>3181.85</v>
      </c>
      <c r="T8" s="40">
        <f t="shared" si="1"/>
        <v>2.03033333333333</v>
      </c>
      <c r="U8" s="40">
        <f t="shared" si="8"/>
        <v>2.132</v>
      </c>
      <c r="V8" s="24">
        <f t="shared" si="2"/>
        <v>2.3615</v>
      </c>
      <c r="W8" s="41">
        <f t="shared" si="3"/>
        <v>0.88</v>
      </c>
      <c r="X8" s="26">
        <f t="shared" si="9"/>
        <v>0.514765646166351</v>
      </c>
      <c r="Y8" s="38">
        <f t="shared" si="10"/>
        <v>0.8</v>
      </c>
      <c r="Z8" s="42">
        <v>0</v>
      </c>
      <c r="AA8" s="42">
        <v>0</v>
      </c>
      <c r="AB8" s="28">
        <f t="shared" si="5"/>
        <v>0.06</v>
      </c>
      <c r="AC8" s="19">
        <f t="shared" si="6"/>
        <v>60052.2462667451</v>
      </c>
      <c r="AD8" s="14">
        <v>0</v>
      </c>
      <c r="AE8" s="14">
        <v>36</v>
      </c>
      <c r="AF8" s="15">
        <f t="shared" si="7"/>
        <v>0.598689185782707</v>
      </c>
      <c r="AG8" s="29">
        <v>100</v>
      </c>
    </row>
    <row r="9" s="1" customFormat="1" ht="15" spans="2:33">
      <c r="B9" s="30" t="s">
        <v>53</v>
      </c>
      <c r="C9" s="31">
        <v>350</v>
      </c>
      <c r="D9" s="30" t="s">
        <v>54</v>
      </c>
      <c r="E9" s="46">
        <f>M5+12%</f>
        <v>0.292</v>
      </c>
      <c r="F9" s="30" t="s">
        <v>55</v>
      </c>
      <c r="G9" s="33"/>
      <c r="H9" s="30" t="s">
        <v>55</v>
      </c>
      <c r="I9" s="33"/>
      <c r="J9" s="43"/>
      <c r="K9" s="32"/>
      <c r="L9" s="30"/>
      <c r="M9" s="31"/>
      <c r="O9" s="36">
        <v>1</v>
      </c>
      <c r="P9" s="19" t="s">
        <v>56</v>
      </c>
      <c r="Q9" s="37">
        <f>26.56%*5+88.53%</f>
        <v>2.2133</v>
      </c>
      <c r="R9" s="38" t="s">
        <v>1</v>
      </c>
      <c r="S9" s="39">
        <f t="shared" si="0"/>
        <v>3181.85</v>
      </c>
      <c r="T9" s="40">
        <f t="shared" si="1"/>
        <v>2.03033333333333</v>
      </c>
      <c r="U9" s="40">
        <f t="shared" si="8"/>
        <v>2.132</v>
      </c>
      <c r="V9" s="24">
        <f t="shared" si="2"/>
        <v>2.3615</v>
      </c>
      <c r="W9" s="41">
        <f t="shared" si="3"/>
        <v>0.88</v>
      </c>
      <c r="X9" s="26">
        <f t="shared" si="9"/>
        <v>0.514765646166351</v>
      </c>
      <c r="Y9" s="38">
        <f>$AF$14</f>
        <v>0.8</v>
      </c>
      <c r="Z9" s="42">
        <v>1.1</v>
      </c>
      <c r="AA9" s="42">
        <v>0</v>
      </c>
      <c r="AB9" s="28">
        <f t="shared" si="5"/>
        <v>0.06</v>
      </c>
      <c r="AC9" s="19">
        <f t="shared" si="6"/>
        <v>89766.076088825</v>
      </c>
    </row>
    <row r="10" s="1" customFormat="1" ht="15" spans="2:33">
      <c r="B10" s="47" t="s">
        <v>57</v>
      </c>
      <c r="C10" s="48"/>
      <c r="D10" s="47"/>
      <c r="E10" s="49"/>
      <c r="F10" s="50" t="s">
        <v>58</v>
      </c>
      <c r="G10" s="51">
        <f>MIN(100%,SUM(G4:G9))</f>
        <v>0.778</v>
      </c>
      <c r="H10" s="50" t="s">
        <v>59</v>
      </c>
      <c r="I10" s="51">
        <f>SUM(I4:I9)</f>
        <v>2.75</v>
      </c>
      <c r="J10" s="52"/>
      <c r="K10" s="49"/>
      <c r="L10" s="47"/>
      <c r="M10" s="48"/>
      <c r="O10" s="36">
        <v>1</v>
      </c>
      <c r="P10" s="19" t="s">
        <v>60</v>
      </c>
      <c r="Q10" s="37">
        <v>2.8773</v>
      </c>
      <c r="R10" s="38" t="s">
        <v>1</v>
      </c>
      <c r="S10" s="39">
        <f t="shared" si="0"/>
        <v>3181.85</v>
      </c>
      <c r="T10" s="40">
        <f t="shared" si="1"/>
        <v>2.03033333333333</v>
      </c>
      <c r="U10" s="40">
        <f t="shared" si="8"/>
        <v>2.132</v>
      </c>
      <c r="V10" s="24">
        <f t="shared" si="2"/>
        <v>2.3615</v>
      </c>
      <c r="W10" s="41">
        <f t="shared" si="3"/>
        <v>0.88</v>
      </c>
      <c r="X10" s="26">
        <f t="shared" si="9"/>
        <v>0.514765646166351</v>
      </c>
      <c r="Y10" s="38">
        <f t="shared" si="10"/>
        <v>0.8</v>
      </c>
      <c r="Z10" s="42">
        <v>1.1</v>
      </c>
      <c r="AA10" s="42">
        <v>0</v>
      </c>
      <c r="AB10" s="28">
        <f t="shared" si="5"/>
        <v>0.06</v>
      </c>
      <c r="AC10" s="19">
        <f t="shared" si="6"/>
        <v>116696.304491201</v>
      </c>
    </row>
    <row r="11" s="1" customFormat="1" ht="15" spans="2:33">
      <c r="B11" s="53"/>
      <c r="C11" s="53"/>
      <c r="E11" s="54"/>
      <c r="F11" s="16" t="s">
        <v>61</v>
      </c>
      <c r="G11" s="55">
        <f>MAX(0,SUM(G4:G9)-1)</f>
        <v>0</v>
      </c>
      <c r="J11" s="2"/>
      <c r="K11" s="2"/>
      <c r="O11" s="36">
        <v>1</v>
      </c>
      <c r="P11" s="19" t="s">
        <v>62</v>
      </c>
      <c r="Q11" s="37">
        <v>3.5411</v>
      </c>
      <c r="R11" s="38" t="s">
        <v>1</v>
      </c>
      <c r="S11" s="39">
        <f t="shared" si="0"/>
        <v>3181.85</v>
      </c>
      <c r="T11" s="40">
        <f t="shared" si="1"/>
        <v>2.03033333333333</v>
      </c>
      <c r="U11" s="40">
        <f t="shared" si="8"/>
        <v>2.132</v>
      </c>
      <c r="V11" s="24">
        <f t="shared" si="2"/>
        <v>2.3615</v>
      </c>
      <c r="W11" s="41">
        <f t="shared" si="3"/>
        <v>0.88</v>
      </c>
      <c r="X11" s="26">
        <f t="shared" si="9"/>
        <v>0.514765646166351</v>
      </c>
      <c r="Y11" s="38">
        <f t="shared" si="10"/>
        <v>0.8</v>
      </c>
      <c r="Z11" s="42">
        <v>1.1</v>
      </c>
      <c r="AA11" s="42">
        <v>0</v>
      </c>
      <c r="AB11" s="28">
        <f t="shared" si="5"/>
        <v>0.06</v>
      </c>
      <c r="AC11" s="19">
        <f t="shared" si="6"/>
        <v>143618.421378999</v>
      </c>
      <c r="AE11" s="56"/>
      <c r="AF11" s="56"/>
    </row>
    <row r="12" s="1" customFormat="1" ht="15" spans="2:33">
      <c r="B12" s="53"/>
      <c r="C12" s="53"/>
      <c r="E12" s="54"/>
      <c r="G12" s="57"/>
      <c r="J12" s="2"/>
      <c r="K12" s="2"/>
      <c r="O12" s="36">
        <v>1</v>
      </c>
      <c r="P12" s="19" t="s">
        <v>63</v>
      </c>
      <c r="Q12" s="37">
        <v>3.069</v>
      </c>
      <c r="R12" s="38" t="s">
        <v>1</v>
      </c>
      <c r="S12" s="39">
        <f t="shared" si="0"/>
        <v>3181.85</v>
      </c>
      <c r="T12" s="40">
        <f t="shared" si="1"/>
        <v>2.03033333333333</v>
      </c>
      <c r="U12" s="40">
        <f t="shared" si="8"/>
        <v>2.132</v>
      </c>
      <c r="V12" s="24">
        <f t="shared" si="2"/>
        <v>2.3615</v>
      </c>
      <c r="W12" s="41">
        <f t="shared" si="3"/>
        <v>0.88</v>
      </c>
      <c r="X12" s="26">
        <f t="shared" si="9"/>
        <v>0.514765646166351</v>
      </c>
      <c r="Y12" s="38">
        <f t="shared" si="10"/>
        <v>0.8</v>
      </c>
      <c r="Z12" s="42">
        <v>1.1</v>
      </c>
      <c r="AA12" s="42">
        <v>0</v>
      </c>
      <c r="AB12" s="28">
        <f t="shared" si="5"/>
        <v>0.06</v>
      </c>
      <c r="AC12" s="19">
        <f t="shared" si="6"/>
        <v>124471.191215201</v>
      </c>
      <c r="AE12" s="58"/>
      <c r="AF12" s="58">
        <v>0.8</v>
      </c>
    </row>
    <row r="13" s="1" customFormat="1" ht="15" spans="2:33">
      <c r="B13" s="5" t="s">
        <v>0</v>
      </c>
      <c r="C13" s="5" t="s">
        <v>1</v>
      </c>
      <c r="D13" s="6" t="s">
        <v>2</v>
      </c>
      <c r="E13" s="6">
        <v>1</v>
      </c>
      <c r="O13" s="36">
        <v>1</v>
      </c>
      <c r="P13" s="19" t="s">
        <v>64</v>
      </c>
      <c r="Q13" s="37">
        <v>1.5345</v>
      </c>
      <c r="R13" s="38" t="s">
        <v>1</v>
      </c>
      <c r="S13" s="39">
        <f t="shared" si="0"/>
        <v>3181.85</v>
      </c>
      <c r="T13" s="40">
        <f t="shared" si="1"/>
        <v>2.03033333333333</v>
      </c>
      <c r="U13" s="40">
        <f t="shared" si="8"/>
        <v>2.132</v>
      </c>
      <c r="V13" s="24">
        <f t="shared" si="2"/>
        <v>2.3615</v>
      </c>
      <c r="W13" s="41">
        <f t="shared" si="3"/>
        <v>0.88</v>
      </c>
      <c r="X13" s="26">
        <f t="shared" si="9"/>
        <v>0.514765646166351</v>
      </c>
      <c r="Y13" s="38">
        <f t="shared" si="10"/>
        <v>0.8</v>
      </c>
      <c r="Z13" s="42">
        <v>1.1</v>
      </c>
      <c r="AA13" s="42">
        <v>0</v>
      </c>
      <c r="AB13" s="28">
        <f t="shared" si="5"/>
        <v>0.06</v>
      </c>
      <c r="AC13" s="19">
        <f t="shared" si="6"/>
        <v>62235.5956076004</v>
      </c>
      <c r="AE13" s="59" t="s">
        <v>65</v>
      </c>
      <c r="AF13" s="59">
        <v>0.8</v>
      </c>
    </row>
    <row r="14" s="1" customFormat="1" ht="15" spans="2:33">
      <c r="B14" s="60" t="s">
        <v>66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O14" s="36">
        <v>1</v>
      </c>
      <c r="P14" s="19" t="s">
        <v>67</v>
      </c>
      <c r="Q14" s="37">
        <f>745.54%+49.71%*5</f>
        <v>9.9409</v>
      </c>
      <c r="R14" s="38" t="s">
        <v>1</v>
      </c>
      <c r="S14" s="39">
        <f t="shared" si="0"/>
        <v>3181.85</v>
      </c>
      <c r="T14" s="40">
        <f t="shared" si="1"/>
        <v>2.03033333333333</v>
      </c>
      <c r="U14" s="40">
        <f>IF(R14=$C$1,SUM($E$4:$E$9),SUM($E$4:$E$8))+40%</f>
        <v>2.532</v>
      </c>
      <c r="V14" s="24">
        <f t="shared" si="2"/>
        <v>2.3615</v>
      </c>
      <c r="W14" s="41">
        <f t="shared" si="3"/>
        <v>0.88</v>
      </c>
      <c r="X14" s="26">
        <f t="shared" si="9"/>
        <v>0.514765646166351</v>
      </c>
      <c r="Y14" s="38">
        <f t="shared" si="10"/>
        <v>0.8</v>
      </c>
      <c r="Z14" s="42">
        <v>0.75</v>
      </c>
      <c r="AA14" s="42">
        <v>0</v>
      </c>
      <c r="AB14" s="28">
        <f t="shared" si="5"/>
        <v>0.06</v>
      </c>
      <c r="AC14" s="19">
        <f t="shared" si="6"/>
        <v>378891.932264078</v>
      </c>
      <c r="AE14" s="61" t="s">
        <v>68</v>
      </c>
      <c r="AF14" s="61">
        <v>0.8</v>
      </c>
    </row>
    <row r="15" s="1" customFormat="1" ht="15" spans="2:33">
      <c r="B15" s="62" t="s">
        <v>22</v>
      </c>
      <c r="C15" s="62"/>
      <c r="D15" s="62" t="s">
        <v>10</v>
      </c>
      <c r="E15" s="62"/>
      <c r="F15" s="62" t="s">
        <v>23</v>
      </c>
      <c r="G15" s="62"/>
      <c r="H15" s="62" t="s">
        <v>24</v>
      </c>
      <c r="I15" s="62"/>
      <c r="J15" s="62" t="s">
        <v>12</v>
      </c>
      <c r="K15" s="62"/>
      <c r="L15" s="62" t="s">
        <v>25</v>
      </c>
      <c r="M15" s="62"/>
      <c r="O15" s="63">
        <v>1</v>
      </c>
      <c r="P15" s="19" t="s">
        <v>69</v>
      </c>
      <c r="Q15" s="64">
        <v>5</v>
      </c>
      <c r="R15" s="65" t="s">
        <v>70</v>
      </c>
      <c r="S15" s="66">
        <f t="shared" si="0"/>
        <v>3181.85</v>
      </c>
      <c r="T15" s="67">
        <f t="shared" si="1"/>
        <v>2.03033333333333</v>
      </c>
      <c r="U15" s="67">
        <f>IF(R15=$C$1,SUM($E$4:$E$9),SUM($E$4:$E$8))+$E$10</f>
        <v>1.84</v>
      </c>
      <c r="V15" s="68">
        <f t="shared" si="2"/>
        <v>2.3615</v>
      </c>
      <c r="W15" s="69">
        <f>IF(R15=$C$1,$K$4+$K$5,$K$4)+$K$6</f>
        <v>0.3</v>
      </c>
      <c r="X15" s="162">
        <f>$AF$3</f>
        <v>0.488431876606684</v>
      </c>
      <c r="Y15" s="65">
        <f t="shared" si="10"/>
        <v>0.8</v>
      </c>
      <c r="Z15" s="70">
        <v>0</v>
      </c>
      <c r="AA15" s="70">
        <v>0</v>
      </c>
      <c r="AB15" s="28">
        <f t="shared" si="5"/>
        <v>0.06</v>
      </c>
      <c r="AC15" s="19">
        <f t="shared" si="6"/>
        <v>57451.2127321359</v>
      </c>
      <c r="AE15" s="71" t="s">
        <v>71</v>
      </c>
      <c r="AF15" s="71">
        <v>0.8</v>
      </c>
    </row>
    <row r="16" s="1" customFormat="1" ht="15" spans="2:33">
      <c r="B16" s="72" t="s">
        <v>27</v>
      </c>
      <c r="C16" s="31">
        <f>375+588</f>
        <v>963</v>
      </c>
      <c r="D16" s="72" t="s">
        <v>28</v>
      </c>
      <c r="E16" s="35">
        <f>E13*30%</f>
        <v>0.3</v>
      </c>
      <c r="F16" s="72" t="s">
        <v>29</v>
      </c>
      <c r="G16" s="73">
        <v>0.13</v>
      </c>
      <c r="H16" s="72" t="s">
        <v>29</v>
      </c>
      <c r="I16" s="73">
        <v>1.5</v>
      </c>
      <c r="J16" s="34" t="s">
        <v>30</v>
      </c>
      <c r="K16" s="35">
        <f>25%</f>
        <v>0.25</v>
      </c>
      <c r="L16" s="72" t="s">
        <v>31</v>
      </c>
      <c r="M16" s="73">
        <f>8.6%*2</f>
        <v>0.172</v>
      </c>
      <c r="O16" s="18">
        <v>1</v>
      </c>
      <c r="P16" s="74" t="s">
        <v>32</v>
      </c>
      <c r="Q16" s="75">
        <v>2.248</v>
      </c>
      <c r="R16" s="76" t="s">
        <v>33</v>
      </c>
      <c r="S16" s="77">
        <f t="shared" ref="S16:S24" si="11">$C$16*(1+$C$17+$C$18+$C$19+$C$20)+($C$21+$C$22)</f>
        <v>2586.086</v>
      </c>
      <c r="T16" s="78">
        <f t="shared" ref="T16:T24" si="12">($C$17+$C$18+$C$19+$C$20)+($C$21+$C$22)/$C$16</f>
        <v>1.68544755970924</v>
      </c>
      <c r="U16" s="78">
        <f>IF(R16=$C$13,SUM($E$16:$E$21),SUM($E$16:$E$20))-12%</f>
        <v>1.41</v>
      </c>
      <c r="V16" s="79">
        <f t="shared" ref="V16:V24" si="13">1+$G$22*($I$22-1)</f>
        <v>2.5171</v>
      </c>
      <c r="W16" s="80">
        <f t="shared" ref="W16:W24" si="14">IF(R16=$C$1,$K$16+$K$17,$K$16)</f>
        <v>0.25</v>
      </c>
      <c r="X16" s="79">
        <f t="shared" ref="X16:X24" si="15">$AF$3</f>
        <v>0.488431876606684</v>
      </c>
      <c r="Y16" s="76">
        <f t="shared" ref="Y16:Y24" si="16">$AF$15</f>
        <v>0.8</v>
      </c>
      <c r="Z16" s="81">
        <v>0</v>
      </c>
      <c r="AA16" s="81">
        <v>0</v>
      </c>
      <c r="AB16" s="28">
        <f t="shared" si="5"/>
        <v>0.06</v>
      </c>
      <c r="AC16" s="82">
        <f t="shared" ref="AC16:AC24" si="17">Q16*$C$16*(1+T16)*(1+U16)*V16*(1+W16)*X16*Y16*(1+Z16)*(1+AA16)*(1+AB16)*O16</f>
        <v>18258.5652225443</v>
      </c>
    </row>
    <row r="17" s="1" customFormat="1" ht="15" spans="1:32">
      <c r="B17" s="30" t="s">
        <v>34</v>
      </c>
      <c r="C17" s="32">
        <v>0.24</v>
      </c>
      <c r="D17" s="30" t="s">
        <v>35</v>
      </c>
      <c r="E17" s="32">
        <v>0.1</v>
      </c>
      <c r="F17" s="30" t="s">
        <v>36</v>
      </c>
      <c r="G17" s="33">
        <v>0.243</v>
      </c>
      <c r="H17" s="30" t="s">
        <v>36</v>
      </c>
      <c r="I17" s="33">
        <v>0</v>
      </c>
      <c r="J17" s="43" t="s">
        <v>72</v>
      </c>
      <c r="K17" s="32"/>
      <c r="L17" s="30" t="s">
        <v>73</v>
      </c>
      <c r="M17" s="33">
        <f>1*8.6%</f>
        <v>0.086</v>
      </c>
      <c r="O17" s="36">
        <v>1</v>
      </c>
      <c r="P17" s="74" t="s">
        <v>74</v>
      </c>
      <c r="Q17" s="43">
        <v>8.748</v>
      </c>
      <c r="R17" s="53" t="s">
        <v>75</v>
      </c>
      <c r="S17" s="83">
        <f t="shared" si="11"/>
        <v>2586.086</v>
      </c>
      <c r="T17" s="84">
        <f t="shared" si="12"/>
        <v>1.68544755970924</v>
      </c>
      <c r="U17" s="84">
        <f>IF(R17=$C$13,SUM($E$16:$E$21),SUM($E$16:$E$20))-12%</f>
        <v>1.41</v>
      </c>
      <c r="V17" s="85">
        <f t="shared" si="13"/>
        <v>2.5171</v>
      </c>
      <c r="W17" s="86">
        <f t="shared" si="14"/>
        <v>0.25</v>
      </c>
      <c r="X17" s="85">
        <f t="shared" si="15"/>
        <v>0.488431876606684</v>
      </c>
      <c r="Y17" s="76">
        <f t="shared" si="16"/>
        <v>0.8</v>
      </c>
      <c r="Z17" s="87">
        <v>0</v>
      </c>
      <c r="AA17" s="87">
        <v>0</v>
      </c>
      <c r="AB17" s="28">
        <f t="shared" si="5"/>
        <v>0.06</v>
      </c>
      <c r="AC17" s="82">
        <f t="shared" si="17"/>
        <v>71052.4593268763</v>
      </c>
      <c r="AE17" s="1" t="s">
        <v>76</v>
      </c>
      <c r="AF17" s="54">
        <v>0.06</v>
      </c>
    </row>
    <row r="18" s="1" customFormat="1" ht="15" spans="1:32">
      <c r="B18" s="30" t="s">
        <v>40</v>
      </c>
      <c r="C18" s="32">
        <f>18%+18%+M16+(2-E13)*30%</f>
        <v>0.832</v>
      </c>
      <c r="D18" s="30" t="s">
        <v>41</v>
      </c>
      <c r="E18" s="32">
        <v>0.25</v>
      </c>
      <c r="F18" s="30" t="s">
        <v>42</v>
      </c>
      <c r="G18" s="33"/>
      <c r="H18" s="30" t="s">
        <v>42</v>
      </c>
      <c r="I18" s="33">
        <v>0.44</v>
      </c>
      <c r="J18" s="43"/>
      <c r="K18" s="33"/>
      <c r="L18" s="30" t="s">
        <v>23</v>
      </c>
      <c r="M18" s="33">
        <f>8.1*5%</f>
        <v>0.405</v>
      </c>
      <c r="O18" s="36">
        <v>1</v>
      </c>
      <c r="P18" s="74" t="s">
        <v>77</v>
      </c>
      <c r="Q18" s="43">
        <v>2.7863</v>
      </c>
      <c r="R18" s="53" t="s">
        <v>78</v>
      </c>
      <c r="S18" s="83">
        <f t="shared" si="11"/>
        <v>2586.086</v>
      </c>
      <c r="T18" s="84">
        <f t="shared" si="12"/>
        <v>1.68544755970924</v>
      </c>
      <c r="U18" s="84">
        <f>IF(R18=$C$13,SUM($E$16:$E$21),SUM($E$16:$E$20))-6%</f>
        <v>1.47</v>
      </c>
      <c r="V18" s="85">
        <f t="shared" si="13"/>
        <v>2.5171</v>
      </c>
      <c r="W18" s="86">
        <f t="shared" si="14"/>
        <v>0.25</v>
      </c>
      <c r="X18" s="85">
        <f t="shared" si="15"/>
        <v>0.488431876606684</v>
      </c>
      <c r="Y18" s="76">
        <f t="shared" si="16"/>
        <v>0.8</v>
      </c>
      <c r="Z18" s="87">
        <v>0</v>
      </c>
      <c r="AA18" s="87">
        <v>0</v>
      </c>
      <c r="AB18" s="28">
        <f t="shared" si="5"/>
        <v>0.06</v>
      </c>
      <c r="AC18" s="82">
        <f t="shared" si="17"/>
        <v>23194.1320806232</v>
      </c>
    </row>
    <row r="19" s="1" customFormat="1" ht="15" spans="1:32">
      <c r="B19" s="30" t="s">
        <v>44</v>
      </c>
      <c r="C19" s="44"/>
      <c r="D19" s="30" t="s">
        <v>45</v>
      </c>
      <c r="E19" s="32">
        <v>0.4</v>
      </c>
      <c r="F19" s="30" t="s">
        <v>40</v>
      </c>
      <c r="G19" s="33">
        <f>M18</f>
        <v>0.405</v>
      </c>
      <c r="H19" s="30" t="s">
        <v>40</v>
      </c>
      <c r="I19" s="33">
        <f>M19</f>
        <v>0.81</v>
      </c>
      <c r="J19" s="43"/>
      <c r="K19" s="33"/>
      <c r="L19" s="30" t="s">
        <v>46</v>
      </c>
      <c r="M19" s="32">
        <f>16.2%*5</f>
        <v>0.81</v>
      </c>
      <c r="O19" s="36">
        <v>1</v>
      </c>
      <c r="P19" s="74" t="s">
        <v>79</v>
      </c>
      <c r="Q19" s="43">
        <v>5.5556</v>
      </c>
      <c r="R19" s="53" t="s">
        <v>1</v>
      </c>
      <c r="S19" s="83">
        <f t="shared" si="11"/>
        <v>2586.086</v>
      </c>
      <c r="T19" s="84">
        <f t="shared" si="12"/>
        <v>1.68544755970924</v>
      </c>
      <c r="U19" s="84">
        <f t="shared" ref="U19:U24" si="18">IF(R19=$C$13,SUM($E$16:$E$21),SUM($E$16:$E$20))</f>
        <v>1.976</v>
      </c>
      <c r="V19" s="85">
        <f t="shared" si="13"/>
        <v>2.5171</v>
      </c>
      <c r="W19" s="86">
        <f t="shared" si="14"/>
        <v>0.25</v>
      </c>
      <c r="X19" s="85">
        <f t="shared" si="15"/>
        <v>0.488431876606684</v>
      </c>
      <c r="Y19" s="76">
        <f t="shared" si="16"/>
        <v>0.8</v>
      </c>
      <c r="Z19" s="87">
        <v>0</v>
      </c>
      <c r="AA19" s="87">
        <v>0</v>
      </c>
      <c r="AB19" s="28">
        <f t="shared" si="5"/>
        <v>0.06</v>
      </c>
      <c r="AC19" s="82">
        <f t="shared" si="17"/>
        <v>55720.780853113</v>
      </c>
    </row>
    <row r="20" s="1" customFormat="1" ht="15" spans="1:32">
      <c r="B20" s="30" t="s">
        <v>48</v>
      </c>
      <c r="C20" s="44">
        <v>0.25</v>
      </c>
      <c r="D20" s="30" t="s">
        <v>49</v>
      </c>
      <c r="E20" s="45">
        <f>24%+24%</f>
        <v>0.48</v>
      </c>
      <c r="F20" s="30" t="s">
        <v>50</v>
      </c>
      <c r="G20" s="33">
        <v>0</v>
      </c>
      <c r="H20" s="30" t="s">
        <v>50</v>
      </c>
      <c r="I20" s="33">
        <v>0</v>
      </c>
      <c r="J20" s="43"/>
      <c r="K20" s="33"/>
      <c r="L20" s="30"/>
      <c r="M20" s="31"/>
      <c r="O20" s="36">
        <v>1</v>
      </c>
      <c r="P20" s="74" t="s">
        <v>80</v>
      </c>
      <c r="Q20" s="43">
        <v>3.076</v>
      </c>
      <c r="R20" s="53" t="s">
        <v>1</v>
      </c>
      <c r="S20" s="83">
        <f t="shared" si="11"/>
        <v>2586.086</v>
      </c>
      <c r="T20" s="84">
        <f t="shared" si="12"/>
        <v>1.68544755970924</v>
      </c>
      <c r="U20" s="84">
        <f t="shared" si="18"/>
        <v>1.976</v>
      </c>
      <c r="V20" s="85">
        <f t="shared" si="13"/>
        <v>2.5171</v>
      </c>
      <c r="W20" s="86">
        <f t="shared" si="14"/>
        <v>0.25</v>
      </c>
      <c r="X20" s="85">
        <f t="shared" si="15"/>
        <v>0.488431876606684</v>
      </c>
      <c r="Y20" s="76">
        <f t="shared" si="16"/>
        <v>0.8</v>
      </c>
      <c r="Z20" s="87">
        <v>0</v>
      </c>
      <c r="AA20" s="87">
        <v>0</v>
      </c>
      <c r="AB20" s="28">
        <f t="shared" si="5"/>
        <v>0.06</v>
      </c>
      <c r="AC20" s="82">
        <f t="shared" si="17"/>
        <v>30851.2351328705</v>
      </c>
    </row>
    <row r="21" s="1" customFormat="1" ht="15" spans="1:32">
      <c r="B21" s="30" t="s">
        <v>53</v>
      </c>
      <c r="C21" s="31">
        <v>350</v>
      </c>
      <c r="D21" s="30" t="s">
        <v>54</v>
      </c>
      <c r="E21" s="32">
        <f>36%+M17</f>
        <v>0.446</v>
      </c>
      <c r="F21" s="30" t="s">
        <v>55</v>
      </c>
      <c r="G21" s="33"/>
      <c r="H21" s="30" t="s">
        <v>55</v>
      </c>
      <c r="I21" s="33">
        <v>0.2</v>
      </c>
      <c r="J21" s="43"/>
      <c r="K21" s="33"/>
      <c r="L21" s="30"/>
      <c r="M21" s="31"/>
      <c r="O21" s="36">
        <v>1</v>
      </c>
      <c r="P21" s="74" t="s">
        <v>81</v>
      </c>
      <c r="Q21" s="43">
        <v>12.1672</v>
      </c>
      <c r="R21" s="53" t="s">
        <v>1</v>
      </c>
      <c r="S21" s="83">
        <f t="shared" si="11"/>
        <v>2586.086</v>
      </c>
      <c r="T21" s="84">
        <f t="shared" si="12"/>
        <v>1.68544755970924</v>
      </c>
      <c r="U21" s="84">
        <f t="shared" si="18"/>
        <v>1.976</v>
      </c>
      <c r="V21" s="85">
        <f t="shared" si="13"/>
        <v>2.5171</v>
      </c>
      <c r="W21" s="86">
        <f t="shared" si="14"/>
        <v>0.25</v>
      </c>
      <c r="X21" s="85">
        <f t="shared" si="15"/>
        <v>0.488431876606684</v>
      </c>
      <c r="Y21" s="76">
        <f t="shared" si="16"/>
        <v>0.8</v>
      </c>
      <c r="Z21" s="87">
        <v>0</v>
      </c>
      <c r="AA21" s="87">
        <v>0</v>
      </c>
      <c r="AB21" s="28">
        <f t="shared" si="5"/>
        <v>0.06</v>
      </c>
      <c r="AC21" s="82">
        <f t="shared" si="17"/>
        <v>122032.883000215</v>
      </c>
    </row>
    <row r="22" s="1" customFormat="1" ht="15" spans="1:32">
      <c r="B22" s="47" t="s">
        <v>57</v>
      </c>
      <c r="C22" s="48"/>
      <c r="D22" s="47"/>
      <c r="E22" s="49"/>
      <c r="F22" s="50" t="s">
        <v>58</v>
      </c>
      <c r="G22" s="51">
        <f>MIN(100%,SUM(G16:G21))</f>
        <v>0.778</v>
      </c>
      <c r="H22" s="50" t="s">
        <v>59</v>
      </c>
      <c r="I22" s="51">
        <f>SUM(I16:I21)</f>
        <v>2.95</v>
      </c>
      <c r="J22" s="52"/>
      <c r="K22" s="88"/>
      <c r="L22" s="47"/>
      <c r="M22" s="48"/>
      <c r="O22" s="36">
        <v>1</v>
      </c>
      <c r="P22" s="74" t="s">
        <v>82</v>
      </c>
      <c r="Q22" s="43">
        <v>2.3262</v>
      </c>
      <c r="R22" s="53" t="s">
        <v>78</v>
      </c>
      <c r="S22" s="83">
        <f t="shared" si="11"/>
        <v>2586.086</v>
      </c>
      <c r="T22" s="84">
        <f t="shared" si="12"/>
        <v>1.68544755970924</v>
      </c>
      <c r="U22" s="84">
        <f t="shared" si="18"/>
        <v>1.53</v>
      </c>
      <c r="V22" s="85">
        <f t="shared" si="13"/>
        <v>2.5171</v>
      </c>
      <c r="W22" s="86">
        <f t="shared" si="14"/>
        <v>0.25</v>
      </c>
      <c r="X22" s="85">
        <f t="shared" si="15"/>
        <v>0.488431876606684</v>
      </c>
      <c r="Y22" s="76">
        <f t="shared" si="16"/>
        <v>0.8</v>
      </c>
      <c r="Z22" s="87">
        <v>0</v>
      </c>
      <c r="AA22" s="87">
        <v>0</v>
      </c>
      <c r="AB22" s="28">
        <f t="shared" si="5"/>
        <v>0.06</v>
      </c>
      <c r="AC22" s="82">
        <f t="shared" si="17"/>
        <v>19834.4823401026</v>
      </c>
    </row>
    <row r="23" s="1" customFormat="1" ht="15" spans="1:32">
      <c r="B23" s="53"/>
      <c r="C23" s="53"/>
      <c r="E23" s="54"/>
      <c r="F23" s="16" t="s">
        <v>61</v>
      </c>
      <c r="G23" s="55">
        <f>MAX(0,SUM(G16:G21)-1)</f>
        <v>0</v>
      </c>
      <c r="J23" s="2"/>
      <c r="K23" s="2"/>
      <c r="O23" s="36">
        <v>1</v>
      </c>
      <c r="P23" s="74" t="s">
        <v>83</v>
      </c>
      <c r="Q23" s="43">
        <v>1</v>
      </c>
      <c r="R23" s="53" t="s">
        <v>70</v>
      </c>
      <c r="S23" s="83">
        <f t="shared" si="11"/>
        <v>2586.086</v>
      </c>
      <c r="T23" s="84">
        <f t="shared" si="12"/>
        <v>1.68544755970924</v>
      </c>
      <c r="U23" s="84">
        <f t="shared" si="18"/>
        <v>1.53</v>
      </c>
      <c r="V23" s="85">
        <f t="shared" si="13"/>
        <v>2.5171</v>
      </c>
      <c r="W23" s="86">
        <f t="shared" si="14"/>
        <v>0.25</v>
      </c>
      <c r="X23" s="85">
        <f t="shared" si="15"/>
        <v>0.488431876606684</v>
      </c>
      <c r="Y23" s="76">
        <f t="shared" si="16"/>
        <v>0.8</v>
      </c>
      <c r="Z23" s="87">
        <v>0</v>
      </c>
      <c r="AA23" s="87">
        <v>0</v>
      </c>
      <c r="AB23" s="28">
        <f t="shared" si="5"/>
        <v>0.06</v>
      </c>
      <c r="AC23" s="82">
        <f t="shared" si="17"/>
        <v>8526.55934145929</v>
      </c>
    </row>
    <row r="24" s="1" customFormat="1" ht="15" spans="1:32">
      <c r="B24" s="53"/>
      <c r="C24" s="53"/>
      <c r="E24" s="54"/>
      <c r="J24" s="2"/>
      <c r="K24" s="2"/>
      <c r="O24" s="63">
        <v>1</v>
      </c>
      <c r="P24" s="74" t="s">
        <v>84</v>
      </c>
      <c r="Q24" s="52">
        <v>2.736</v>
      </c>
      <c r="R24" s="89" t="s">
        <v>26</v>
      </c>
      <c r="S24" s="90">
        <f t="shared" si="11"/>
        <v>2586.086</v>
      </c>
      <c r="T24" s="91">
        <f t="shared" si="12"/>
        <v>1.68544755970924</v>
      </c>
      <c r="U24" s="91">
        <f t="shared" si="18"/>
        <v>1.53</v>
      </c>
      <c r="V24" s="92">
        <f t="shared" si="13"/>
        <v>2.5171</v>
      </c>
      <c r="W24" s="93">
        <f t="shared" si="14"/>
        <v>0.25</v>
      </c>
      <c r="X24" s="92">
        <f t="shared" si="15"/>
        <v>0.488431876606684</v>
      </c>
      <c r="Y24" s="76">
        <f t="shared" si="16"/>
        <v>0.8</v>
      </c>
      <c r="Z24" s="94">
        <v>0</v>
      </c>
      <c r="AA24" s="94">
        <v>0</v>
      </c>
      <c r="AB24" s="28">
        <f t="shared" si="5"/>
        <v>0.06</v>
      </c>
      <c r="AC24" s="82">
        <f t="shared" si="17"/>
        <v>23328.6663582326</v>
      </c>
      <c r="AD24" s="56"/>
    </row>
    <row r="25" s="1" customFormat="1" ht="15" spans="1:32">
      <c r="A25" s="95"/>
      <c r="B25" s="96" t="s">
        <v>85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</row>
    <row r="26" s="1" customFormat="1" ht="15" spans="1:32">
      <c r="A26" s="95" t="s">
        <v>86</v>
      </c>
      <c r="B26" s="97" t="s">
        <v>22</v>
      </c>
      <c r="C26" s="98"/>
      <c r="D26" s="97" t="s">
        <v>10</v>
      </c>
      <c r="E26" s="98"/>
      <c r="F26" s="97" t="s">
        <v>23</v>
      </c>
      <c r="G26" s="98"/>
      <c r="H26" s="97" t="s">
        <v>24</v>
      </c>
      <c r="I26" s="98"/>
      <c r="J26" s="97" t="s">
        <v>12</v>
      </c>
      <c r="K26" s="98"/>
      <c r="L26" s="97" t="s">
        <v>87</v>
      </c>
      <c r="M26" s="98"/>
      <c r="O26" s="72">
        <v>0</v>
      </c>
      <c r="P26" s="78" t="s">
        <v>88</v>
      </c>
      <c r="Q26" s="78">
        <v>1.0935</v>
      </c>
      <c r="R26" s="76" t="s">
        <v>89</v>
      </c>
      <c r="S26" s="76">
        <v>10027</v>
      </c>
      <c r="T26" s="78">
        <v>0</v>
      </c>
      <c r="U26" s="78">
        <v>0</v>
      </c>
      <c r="V26" s="79">
        <v>1</v>
      </c>
      <c r="W26" s="80">
        <v>0</v>
      </c>
      <c r="X26" s="79">
        <f t="shared" ref="X26:X30" si="19">$AF$3</f>
        <v>0.488431876606684</v>
      </c>
      <c r="Y26" s="76">
        <f t="shared" ref="Y26:Y30" si="20">$AF$13</f>
        <v>0.8</v>
      </c>
      <c r="Z26" s="81">
        <v>1.2</v>
      </c>
      <c r="AA26" s="81">
        <v>0</v>
      </c>
      <c r="AB26" s="81">
        <v>0.5</v>
      </c>
      <c r="AC26" s="99">
        <f t="shared" ref="AC26:AC30" si="21">Q26*$S$30*(1+T26)*(1+U26)*V26*(1+W26)*X26*Y26*(1+Z26)*(1+AA26)*(1+AB26)*O26</f>
        <v>0</v>
      </c>
    </row>
    <row r="27" s="1" customFormat="1" ht="15" spans="1:32">
      <c r="A27" s="95">
        <v>1357</v>
      </c>
      <c r="B27" s="100" t="s">
        <v>27</v>
      </c>
      <c r="C27" s="101">
        <f>288+337</f>
        <v>625</v>
      </c>
      <c r="D27" s="100" t="s">
        <v>28</v>
      </c>
      <c r="E27" s="46"/>
      <c r="F27" s="100" t="s">
        <v>90</v>
      </c>
      <c r="G27" s="102">
        <v>0.05</v>
      </c>
      <c r="H27" s="100" t="s">
        <v>90</v>
      </c>
      <c r="I27" s="46">
        <v>1.5</v>
      </c>
      <c r="J27" s="103" t="s">
        <v>30</v>
      </c>
      <c r="K27" s="46">
        <v>0.25</v>
      </c>
      <c r="L27" s="100" t="s">
        <v>86</v>
      </c>
      <c r="M27" s="102">
        <f>10.9%*3</f>
        <v>0.327</v>
      </c>
      <c r="O27" s="30">
        <v>0</v>
      </c>
      <c r="P27" s="53" t="s">
        <v>91</v>
      </c>
      <c r="Q27" s="84">
        <v>5.9643</v>
      </c>
      <c r="R27" s="53" t="s">
        <v>89</v>
      </c>
      <c r="S27" s="53">
        <v>10027</v>
      </c>
      <c r="T27" s="84">
        <v>0</v>
      </c>
      <c r="U27" s="84">
        <v>0</v>
      </c>
      <c r="V27" s="85">
        <v>1</v>
      </c>
      <c r="W27" s="86">
        <v>0</v>
      </c>
      <c r="X27" s="85">
        <f t="shared" si="19"/>
        <v>0.488431876606684</v>
      </c>
      <c r="Y27" s="53">
        <f t="shared" si="20"/>
        <v>0.8</v>
      </c>
      <c r="Z27" s="87">
        <v>0</v>
      </c>
      <c r="AA27" s="87">
        <v>0</v>
      </c>
      <c r="AB27" s="87">
        <v>0.5</v>
      </c>
      <c r="AC27" s="104">
        <f t="shared" si="21"/>
        <v>0</v>
      </c>
    </row>
    <row r="28" s="1" customFormat="1" ht="15" spans="1:32">
      <c r="A28" s="105">
        <f>16%+7.6*2%</f>
        <v>0.312</v>
      </c>
      <c r="B28" s="100" t="s">
        <v>92</v>
      </c>
      <c r="C28" s="46"/>
      <c r="D28" s="100" t="s">
        <v>93</v>
      </c>
      <c r="E28" s="46"/>
      <c r="F28" s="100" t="s">
        <v>36</v>
      </c>
      <c r="G28" s="102"/>
      <c r="H28" s="100" t="s">
        <v>94</v>
      </c>
      <c r="I28" s="102">
        <f>M29</f>
        <v>0.486</v>
      </c>
      <c r="J28" s="106" t="s">
        <v>95</v>
      </c>
      <c r="K28" s="102"/>
      <c r="L28" s="100" t="s">
        <v>23</v>
      </c>
      <c r="M28" s="102">
        <f>2*8.1%</f>
        <v>0.162</v>
      </c>
      <c r="O28" s="30">
        <v>0</v>
      </c>
      <c r="P28" s="53" t="s">
        <v>96</v>
      </c>
      <c r="Q28" s="84">
        <v>18.8075</v>
      </c>
      <c r="R28" s="53" t="s">
        <v>89</v>
      </c>
      <c r="S28" s="53">
        <v>10027</v>
      </c>
      <c r="T28" s="84">
        <v>0</v>
      </c>
      <c r="U28" s="84">
        <v>0</v>
      </c>
      <c r="V28" s="85">
        <v>1</v>
      </c>
      <c r="W28" s="86">
        <v>0</v>
      </c>
      <c r="X28" s="85">
        <f t="shared" si="19"/>
        <v>0.488431876606684</v>
      </c>
      <c r="Y28" s="53">
        <f t="shared" si="20"/>
        <v>0.8</v>
      </c>
      <c r="Z28" s="87">
        <v>0</v>
      </c>
      <c r="AA28" s="87">
        <v>0</v>
      </c>
      <c r="AB28" s="87">
        <v>0.5</v>
      </c>
      <c r="AC28" s="104">
        <f t="shared" si="21"/>
        <v>0</v>
      </c>
    </row>
    <row r="29" s="1" customFormat="1" ht="15" spans="1:32">
      <c r="A29" s="105">
        <f>36%+M27</f>
        <v>0.687</v>
      </c>
      <c r="B29" s="100" t="s">
        <v>97</v>
      </c>
      <c r="C29" s="46"/>
      <c r="D29" s="100" t="s">
        <v>98</v>
      </c>
      <c r="E29" s="46"/>
      <c r="F29" s="100" t="s">
        <v>42</v>
      </c>
      <c r="G29" s="102"/>
      <c r="H29" s="100" t="s">
        <v>99</v>
      </c>
      <c r="I29" s="102"/>
      <c r="J29" s="106" t="s">
        <v>100</v>
      </c>
      <c r="K29" s="102"/>
      <c r="L29" s="100" t="s">
        <v>46</v>
      </c>
      <c r="M29" s="102">
        <f>3*16.2%</f>
        <v>0.486</v>
      </c>
      <c r="O29" s="30">
        <v>0</v>
      </c>
      <c r="P29" s="53" t="s">
        <v>101</v>
      </c>
      <c r="Q29" s="84">
        <v>2.9822</v>
      </c>
      <c r="R29" s="53" t="s">
        <v>89</v>
      </c>
      <c r="S29" s="53">
        <v>10027</v>
      </c>
      <c r="T29" s="84">
        <v>0</v>
      </c>
      <c r="U29" s="84">
        <v>0</v>
      </c>
      <c r="V29" s="85">
        <v>1</v>
      </c>
      <c r="W29" s="86">
        <v>0</v>
      </c>
      <c r="X29" s="85">
        <f t="shared" si="19"/>
        <v>0.488431876606684</v>
      </c>
      <c r="Y29" s="53">
        <f t="shared" si="20"/>
        <v>0.8</v>
      </c>
      <c r="Z29" s="87">
        <v>0</v>
      </c>
      <c r="AA29" s="87">
        <v>0</v>
      </c>
      <c r="AB29" s="87">
        <v>0.5</v>
      </c>
      <c r="AC29" s="104">
        <f t="shared" si="21"/>
        <v>0</v>
      </c>
    </row>
    <row r="30" s="1" customFormat="1" ht="15" spans="1:32">
      <c r="A30" s="105">
        <v>0.418</v>
      </c>
      <c r="B30" s="100" t="s">
        <v>94</v>
      </c>
      <c r="C30" s="107">
        <f>25%+15%</f>
        <v>0.4</v>
      </c>
      <c r="D30" s="100" t="s">
        <v>102</v>
      </c>
      <c r="E30" s="46">
        <f>48%</f>
        <v>0.48</v>
      </c>
      <c r="F30" s="100" t="s">
        <v>94</v>
      </c>
      <c r="G30" s="102">
        <f>M28</f>
        <v>0.162</v>
      </c>
      <c r="H30" s="100"/>
      <c r="I30" s="102"/>
      <c r="J30" s="106"/>
      <c r="K30" s="102"/>
      <c r="L30" s="100" t="s">
        <v>103</v>
      </c>
      <c r="M30" s="102">
        <f>8.6%*2</f>
        <v>0.172</v>
      </c>
      <c r="O30" s="47">
        <v>1.5</v>
      </c>
      <c r="P30" s="89" t="s">
        <v>104</v>
      </c>
      <c r="Q30" s="91">
        <v>16</v>
      </c>
      <c r="R30" s="89" t="s">
        <v>105</v>
      </c>
      <c r="S30" s="89">
        <v>10027</v>
      </c>
      <c r="T30" s="91">
        <v>0</v>
      </c>
      <c r="U30" s="91">
        <v>0</v>
      </c>
      <c r="V30" s="92">
        <v>1</v>
      </c>
      <c r="W30" s="93">
        <v>0</v>
      </c>
      <c r="X30" s="92">
        <f t="shared" si="19"/>
        <v>0.488431876606684</v>
      </c>
      <c r="Y30" s="89">
        <f t="shared" si="20"/>
        <v>0.8</v>
      </c>
      <c r="Z30" s="94">
        <v>0</v>
      </c>
      <c r="AA30" s="94">
        <v>0</v>
      </c>
      <c r="AB30" s="94">
        <v>0.1</v>
      </c>
      <c r="AC30" s="108">
        <f t="shared" si="21"/>
        <v>103435.335732648</v>
      </c>
      <c r="AD30" s="56"/>
    </row>
    <row r="31" s="1" customFormat="1" spans="1:32">
      <c r="A31" s="109">
        <v>0.2</v>
      </c>
      <c r="B31" s="100" t="s">
        <v>106</v>
      </c>
      <c r="C31" s="107"/>
      <c r="D31" s="100" t="s">
        <v>107</v>
      </c>
      <c r="E31" s="110"/>
      <c r="F31" s="100" t="s">
        <v>108</v>
      </c>
      <c r="G31" s="102"/>
      <c r="H31" s="100"/>
      <c r="I31" s="102"/>
      <c r="J31" s="106"/>
      <c r="K31" s="102"/>
      <c r="L31" s="100"/>
      <c r="M31" s="102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s="1" customFormat="1" ht="15" spans="1:32">
      <c r="A32" s="95"/>
      <c r="B32" s="100" t="s">
        <v>53</v>
      </c>
      <c r="C32" s="101">
        <v>350</v>
      </c>
      <c r="D32" s="100"/>
      <c r="E32" s="46"/>
      <c r="F32" s="111" t="s">
        <v>58</v>
      </c>
      <c r="G32" s="112">
        <f>MIN(100%,SUM(G27:G31))</f>
        <v>0.212</v>
      </c>
      <c r="H32" s="111" t="s">
        <v>59</v>
      </c>
      <c r="I32" s="113">
        <f>SUM(I27:I31)</f>
        <v>1.986</v>
      </c>
      <c r="J32" s="106"/>
      <c r="K32" s="102"/>
      <c r="L32" s="100"/>
      <c r="M32" s="101"/>
      <c r="O32" s="62">
        <v>1</v>
      </c>
      <c r="P32" s="114" t="s">
        <v>109</v>
      </c>
      <c r="Q32" s="75">
        <v>2.0279</v>
      </c>
      <c r="R32" s="76" t="s">
        <v>33</v>
      </c>
      <c r="S32" s="77">
        <f t="shared" ref="S32:S35" si="22">C$34</f>
        <v>1225</v>
      </c>
      <c r="T32" s="78">
        <f t="shared" ref="T32:T35" si="23">S32/$C$27-1</f>
        <v>0.96</v>
      </c>
      <c r="U32" s="78">
        <f t="shared" ref="U32:U35" si="24">E$30</f>
        <v>0.48</v>
      </c>
      <c r="V32" s="79">
        <f t="shared" ref="V32:V35" si="25">1+$G$32*($I$32-1)</f>
        <v>1.209032</v>
      </c>
      <c r="W32" s="80">
        <f t="shared" ref="W32:W37" si="26">K$27</f>
        <v>0.25</v>
      </c>
      <c r="X32" s="79">
        <f t="shared" ref="X32:X37" si="27">$AF$3</f>
        <v>0.488431876606684</v>
      </c>
      <c r="Y32" s="76">
        <f t="shared" ref="Y32:Y37" si="28">$AF$14</f>
        <v>0.8</v>
      </c>
      <c r="Z32" s="81">
        <v>0</v>
      </c>
      <c r="AA32" s="81">
        <v>0</v>
      </c>
      <c r="AB32" s="28">
        <f t="shared" ref="AB32:AB37" si="29">$AF$17</f>
        <v>0.06</v>
      </c>
      <c r="AC32" s="19">
        <f t="shared" ref="AC32:AC35" si="30">Q32*$C$27*(1+T32)*(1+U32)*V32*(1+W32)*X32*Y32*(1+Z32)*(1+AA32)*(1+AB32)*O32</f>
        <v>2301.39942308022</v>
      </c>
    </row>
    <row r="33" s="1" customFormat="1" ht="15" spans="1:29">
      <c r="A33" s="95"/>
      <c r="B33" s="115" t="s">
        <v>57</v>
      </c>
      <c r="C33" s="116"/>
      <c r="D33" s="115" t="s">
        <v>110</v>
      </c>
      <c r="E33" s="117">
        <f>M30</f>
        <v>0.172</v>
      </c>
      <c r="F33" s="115"/>
      <c r="G33" s="118"/>
      <c r="H33" s="115"/>
      <c r="I33" s="116"/>
      <c r="J33" s="119"/>
      <c r="K33" s="118"/>
      <c r="L33" s="115"/>
      <c r="M33" s="116"/>
      <c r="N33" s="120"/>
      <c r="O33" s="121">
        <v>1</v>
      </c>
      <c r="P33" s="114" t="s">
        <v>111</v>
      </c>
      <c r="Q33" s="43">
        <f>22.27%+16.71%*2+23.86%+23.86%+17.9%*4+41.36%+10.34%*6</f>
        <v>2.7841</v>
      </c>
      <c r="R33" s="53" t="s">
        <v>1</v>
      </c>
      <c r="S33" s="83">
        <f t="shared" si="22"/>
        <v>1225</v>
      </c>
      <c r="T33" s="84">
        <f t="shared" si="23"/>
        <v>0.96</v>
      </c>
      <c r="U33" s="84">
        <f t="shared" si="24"/>
        <v>0.48</v>
      </c>
      <c r="V33" s="85">
        <f t="shared" si="25"/>
        <v>1.209032</v>
      </c>
      <c r="W33" s="86">
        <f t="shared" si="26"/>
        <v>0.25</v>
      </c>
      <c r="X33" s="85">
        <f t="shared" si="27"/>
        <v>0.488431876606684</v>
      </c>
      <c r="Y33" s="53">
        <f t="shared" si="28"/>
        <v>0.8</v>
      </c>
      <c r="Z33" s="87">
        <v>0</v>
      </c>
      <c r="AA33" s="87">
        <v>0</v>
      </c>
      <c r="AB33" s="28">
        <f t="shared" si="29"/>
        <v>0.06</v>
      </c>
      <c r="AC33" s="19">
        <f t="shared" si="30"/>
        <v>3159.58683061179</v>
      </c>
    </row>
    <row r="34" s="1" customFormat="1" ht="15" spans="1:29">
      <c r="A34" s="95">
        <f>A27*(1+A28+A29+A30+A31)</f>
        <v>3551.269</v>
      </c>
      <c r="B34" s="122"/>
      <c r="C34" s="122">
        <f>C27*(1+C30)+C32</f>
        <v>1225</v>
      </c>
      <c r="D34" s="122"/>
      <c r="E34" s="122"/>
      <c r="F34" s="122" t="s">
        <v>112</v>
      </c>
      <c r="G34" s="123"/>
      <c r="H34" s="122"/>
      <c r="I34" s="122"/>
      <c r="J34" s="122"/>
      <c r="K34" s="122"/>
      <c r="L34" s="122"/>
      <c r="M34" s="122"/>
      <c r="N34" s="53"/>
      <c r="O34" s="121">
        <v>1</v>
      </c>
      <c r="P34" s="114" t="s">
        <v>113</v>
      </c>
      <c r="Q34" s="43">
        <f>39.77%*4</f>
        <v>1.5908</v>
      </c>
      <c r="R34" s="53" t="s">
        <v>78</v>
      </c>
      <c r="S34" s="83">
        <f t="shared" si="22"/>
        <v>1225</v>
      </c>
      <c r="T34" s="84">
        <f t="shared" si="23"/>
        <v>0.96</v>
      </c>
      <c r="U34" s="84">
        <f t="shared" si="24"/>
        <v>0.48</v>
      </c>
      <c r="V34" s="85">
        <f t="shared" si="25"/>
        <v>1.209032</v>
      </c>
      <c r="W34" s="86">
        <f t="shared" si="26"/>
        <v>0.25</v>
      </c>
      <c r="X34" s="85">
        <f t="shared" si="27"/>
        <v>0.488431876606684</v>
      </c>
      <c r="Y34" s="53">
        <f t="shared" si="28"/>
        <v>0.8</v>
      </c>
      <c r="Z34" s="87">
        <v>0</v>
      </c>
      <c r="AA34" s="87">
        <v>0</v>
      </c>
      <c r="AB34" s="28">
        <f t="shared" si="29"/>
        <v>0.06</v>
      </c>
      <c r="AC34" s="19">
        <f t="shared" si="30"/>
        <v>1805.34848968687</v>
      </c>
    </row>
    <row r="35" s="1" customFormat="1" ht="15" spans="1:29">
      <c r="A35" s="56"/>
      <c r="B35" s="124"/>
      <c r="C35" s="124"/>
      <c r="D35" s="124"/>
      <c r="E35" s="124"/>
      <c r="F35" s="124"/>
      <c r="G35" s="125"/>
      <c r="N35" s="53"/>
      <c r="O35" s="121">
        <v>1</v>
      </c>
      <c r="P35" s="114" t="s">
        <v>114</v>
      </c>
      <c r="Q35" s="43">
        <v>3.51</v>
      </c>
      <c r="R35" s="53" t="s">
        <v>26</v>
      </c>
      <c r="S35" s="83">
        <f t="shared" si="22"/>
        <v>1225</v>
      </c>
      <c r="T35" s="84">
        <f t="shared" si="23"/>
        <v>0.96</v>
      </c>
      <c r="U35" s="84">
        <f t="shared" si="24"/>
        <v>0.48</v>
      </c>
      <c r="V35" s="85">
        <f t="shared" si="25"/>
        <v>1.209032</v>
      </c>
      <c r="W35" s="86">
        <f t="shared" si="26"/>
        <v>0.25</v>
      </c>
      <c r="X35" s="85">
        <f t="shared" si="27"/>
        <v>0.488431876606684</v>
      </c>
      <c r="Y35" s="53">
        <f t="shared" si="28"/>
        <v>0.8</v>
      </c>
      <c r="Z35" s="87">
        <v>0</v>
      </c>
      <c r="AA35" s="87">
        <v>0</v>
      </c>
      <c r="AB35" s="28">
        <f t="shared" si="29"/>
        <v>0.06</v>
      </c>
      <c r="AC35" s="19">
        <f t="shared" si="30"/>
        <v>3983.38772869055</v>
      </c>
    </row>
    <row r="36" s="1" customFormat="1" ht="15" spans="1:29">
      <c r="B36" s="126" t="s">
        <v>115</v>
      </c>
      <c r="G36" s="2"/>
      <c r="N36" s="53"/>
      <c r="O36" s="121">
        <v>1</v>
      </c>
      <c r="P36" s="114" t="s">
        <v>116</v>
      </c>
      <c r="Q36" s="43">
        <v>5.2233</v>
      </c>
      <c r="R36" s="53" t="s">
        <v>75</v>
      </c>
      <c r="S36" s="83">
        <f>A34</f>
        <v>3551.269</v>
      </c>
      <c r="T36" s="84">
        <v>0</v>
      </c>
      <c r="U36" s="84">
        <f>E$30+M30</f>
        <v>0.652</v>
      </c>
      <c r="V36" s="85">
        <f>I32+1.6</f>
        <v>3.586</v>
      </c>
      <c r="W36" s="86">
        <f t="shared" si="26"/>
        <v>0.25</v>
      </c>
      <c r="X36" s="85">
        <f t="shared" si="27"/>
        <v>0.488431876606684</v>
      </c>
      <c r="Y36" s="53">
        <f t="shared" si="28"/>
        <v>0.8</v>
      </c>
      <c r="Z36" s="87">
        <v>0</v>
      </c>
      <c r="AA36" s="87">
        <v>0</v>
      </c>
      <c r="AB36" s="28">
        <f t="shared" si="29"/>
        <v>0.06</v>
      </c>
      <c r="AC36" s="19">
        <f>Q36*$S$36*(1+T36)*(1+U36)*V36*(1+W36)*X36*Y36*(1+Z36)*(1+AA36)*(1+AB36)*O36</f>
        <v>56892.9867262818</v>
      </c>
    </row>
    <row r="37" s="1" customFormat="1" ht="17.5" spans="1:29">
      <c r="B37" s="127" t="s">
        <v>117</v>
      </c>
      <c r="C37" s="128" t="s">
        <v>118</v>
      </c>
      <c r="D37" s="128" t="s">
        <v>119</v>
      </c>
      <c r="E37" s="128" t="s">
        <v>120</v>
      </c>
      <c r="F37" s="128" t="s">
        <v>121</v>
      </c>
      <c r="G37" s="2"/>
      <c r="I37" s="129" t="s">
        <v>122</v>
      </c>
      <c r="J37" s="129" t="s">
        <v>119</v>
      </c>
      <c r="N37" s="53"/>
      <c r="O37" s="130">
        <v>1</v>
      </c>
      <c r="P37" s="114" t="s">
        <v>123</v>
      </c>
      <c r="Q37" s="52">
        <f>258.46%</f>
        <v>2.5846</v>
      </c>
      <c r="R37" s="89" t="s">
        <v>78</v>
      </c>
      <c r="S37" s="90">
        <f>C$34</f>
        <v>1225</v>
      </c>
      <c r="T37" s="91">
        <f>S37/$C$27-1</f>
        <v>0.96</v>
      </c>
      <c r="U37" s="91">
        <f>E$30</f>
        <v>0.48</v>
      </c>
      <c r="V37" s="92">
        <f>1+$G$32*($I$32-1)</f>
        <v>1.209032</v>
      </c>
      <c r="W37" s="93">
        <f t="shared" si="26"/>
        <v>0.25</v>
      </c>
      <c r="X37" s="92">
        <f t="shared" si="27"/>
        <v>0.488431876606684</v>
      </c>
      <c r="Y37" s="89">
        <f t="shared" si="28"/>
        <v>0.8</v>
      </c>
      <c r="Z37" s="94">
        <v>0</v>
      </c>
      <c r="AA37" s="94">
        <v>0</v>
      </c>
      <c r="AB37" s="28">
        <f t="shared" si="29"/>
        <v>0.06</v>
      </c>
      <c r="AC37" s="19">
        <f>Q37*$C$27*(1+T37)*(1+U37)*V37*(1+W37)*X37*Y37*(1+Z37)*(1+AA37)*(1+AB37)*O37</f>
        <v>2933.18060500672</v>
      </c>
    </row>
    <row r="38" s="1" customFormat="1" ht="17.5" spans="1:29">
      <c r="B38" s="4" t="s">
        <v>3</v>
      </c>
      <c r="C38" s="131">
        <f>SUM(AC3:AC15)</f>
        <v>1248080.34409664</v>
      </c>
      <c r="D38" s="131">
        <f t="shared" ref="D38:D41" si="31">C38/$E$38</f>
        <v>49923.2137638656</v>
      </c>
      <c r="E38" s="132">
        <v>25</v>
      </c>
      <c r="F38" s="133">
        <f t="shared" ref="F38:F41" si="32">C38/$C$43</f>
        <v>0.807271631618162</v>
      </c>
      <c r="G38" s="2"/>
      <c r="I38" s="134" t="s">
        <v>124</v>
      </c>
      <c r="J38" s="134">
        <v>79375</v>
      </c>
      <c r="Q38" s="2"/>
      <c r="U38" s="2"/>
      <c r="V38" s="3"/>
      <c r="AB38" s="4"/>
      <c r="AC38" s="4"/>
    </row>
    <row r="39" s="1" customFormat="1" ht="17.5" spans="1:29">
      <c r="B39" s="4" t="s">
        <v>136</v>
      </c>
      <c r="C39" s="131">
        <v>123456</v>
      </c>
      <c r="D39" s="131">
        <f t="shared" si="31"/>
        <v>4938.24</v>
      </c>
      <c r="E39" s="135"/>
      <c r="F39" s="133">
        <f t="shared" si="32"/>
        <v>0.0798526529357271</v>
      </c>
      <c r="G39" s="2"/>
      <c r="I39" s="134" t="s">
        <v>125</v>
      </c>
      <c r="J39" s="134">
        <v>83549</v>
      </c>
      <c r="Q39" s="2"/>
      <c r="U39" s="2"/>
      <c r="V39" s="3"/>
      <c r="AB39" s="4"/>
      <c r="AC39" s="4"/>
    </row>
    <row r="40" s="1" customFormat="1" ht="17.5" spans="1:29">
      <c r="B40" s="4" t="s">
        <v>85</v>
      </c>
      <c r="C40" s="131">
        <f>SUM(AC32:AC37)+AC29</f>
        <v>71075.889803358</v>
      </c>
      <c r="D40" s="131">
        <f t="shared" si="31"/>
        <v>2843.03559213432</v>
      </c>
      <c r="E40" s="136"/>
      <c r="F40" s="133">
        <f t="shared" si="32"/>
        <v>0.0459726409454828</v>
      </c>
      <c r="G40" s="2"/>
      <c r="I40" s="134" t="s">
        <v>126</v>
      </c>
      <c r="J40" s="134">
        <v>87722</v>
      </c>
      <c r="Q40" s="2"/>
      <c r="U40" s="2"/>
      <c r="V40" s="3"/>
      <c r="AB40" s="4"/>
      <c r="AC40" s="4"/>
    </row>
    <row r="41" s="1" customFormat="1" ht="17.5" spans="1:29">
      <c r="B41" s="4" t="s">
        <v>104</v>
      </c>
      <c r="C41" s="131">
        <f>AC30</f>
        <v>103435.335732648</v>
      </c>
      <c r="D41" s="131">
        <f t="shared" si="31"/>
        <v>4137.41342930592</v>
      </c>
      <c r="E41" s="136"/>
      <c r="F41" s="133">
        <f t="shared" si="32"/>
        <v>0.0669030745006281</v>
      </c>
      <c r="G41" s="2"/>
      <c r="I41" s="134" t="s">
        <v>127</v>
      </c>
      <c r="J41" s="134">
        <v>91896</v>
      </c>
      <c r="Q41" s="2"/>
      <c r="U41" s="2"/>
      <c r="V41" s="3"/>
      <c r="AB41" s="4"/>
      <c r="AC41" s="4"/>
    </row>
    <row r="42" s="1" customFormat="1" ht="15" spans="1:29">
      <c r="B42" s="4"/>
      <c r="C42" s="131"/>
      <c r="D42" s="131"/>
      <c r="E42" s="136"/>
      <c r="F42" s="133"/>
      <c r="G42" s="2"/>
      <c r="Q42" s="2"/>
      <c r="U42" s="2"/>
      <c r="V42" s="3"/>
      <c r="AB42" s="4"/>
      <c r="AC42" s="4"/>
    </row>
    <row r="43" s="1" customFormat="1" ht="17.5" spans="1:29">
      <c r="B43" s="4" t="s">
        <v>128</v>
      </c>
      <c r="C43" s="137">
        <f>SUM(C38:C41)</f>
        <v>1546047.56963265</v>
      </c>
      <c r="D43" s="137">
        <f>C43/E38</f>
        <v>61841.9027853058</v>
      </c>
      <c r="E43" s="138"/>
      <c r="F43" s="139"/>
      <c r="G43" s="2"/>
      <c r="I43" s="129" t="s">
        <v>137</v>
      </c>
      <c r="J43" s="129" t="s">
        <v>119</v>
      </c>
      <c r="Q43" s="2"/>
      <c r="U43" s="2"/>
      <c r="V43" s="3"/>
      <c r="AB43" s="4"/>
      <c r="AC43" s="4"/>
    </row>
    <row r="44" s="1" customFormat="1" ht="17.5" spans="1:29">
      <c r="B44" s="4"/>
      <c r="C44" s="4"/>
      <c r="D44" s="4"/>
      <c r="G44" s="140"/>
      <c r="I44" s="134" t="s">
        <v>124</v>
      </c>
      <c r="J44" s="134">
        <v>61842</v>
      </c>
      <c r="Q44" s="2"/>
      <c r="U44" s="2"/>
      <c r="V44" s="3"/>
      <c r="AB44" s="4"/>
      <c r="AC44" s="4"/>
    </row>
    <row r="45" s="1" customFormat="1" ht="17.5" spans="1:29">
      <c r="B45" s="141" t="s">
        <v>129</v>
      </c>
      <c r="C45" s="142"/>
      <c r="D45" s="142"/>
      <c r="E45" s="142"/>
      <c r="F45" s="143"/>
      <c r="G45" s="2"/>
      <c r="I45" s="134" t="s">
        <v>125</v>
      </c>
      <c r="J45" s="134">
        <v>64829</v>
      </c>
      <c r="Q45" s="2"/>
      <c r="U45" s="2"/>
      <c r="V45" s="3"/>
      <c r="AB45" s="4"/>
      <c r="AC45" s="4"/>
    </row>
    <row r="46" s="1" customFormat="1" ht="17.5" spans="1:29">
      <c r="B46" s="144"/>
      <c r="C46" s="145"/>
      <c r="D46" s="145"/>
      <c r="E46" s="145"/>
      <c r="F46" s="146"/>
      <c r="G46" s="2"/>
      <c r="I46" s="134" t="s">
        <v>126</v>
      </c>
      <c r="J46" s="134">
        <v>67815</v>
      </c>
      <c r="Q46" s="2"/>
      <c r="U46" s="2"/>
      <c r="V46" s="3"/>
      <c r="AB46" s="4"/>
      <c r="AC46" s="4"/>
    </row>
    <row r="47" s="1" customFormat="1" spans="1:29">
      <c r="B47" s="147"/>
      <c r="C47" s="147"/>
      <c r="D47" s="147"/>
      <c r="E47" s="147"/>
      <c r="F47" s="147"/>
      <c r="Q47" s="2"/>
      <c r="U47" s="2"/>
      <c r="V47" s="3"/>
      <c r="AB47" s="4"/>
      <c r="AC47" s="4"/>
    </row>
    <row r="48" s="1" customFormat="1" ht="15" spans="1:29">
      <c r="B48" s="148" t="s">
        <v>130</v>
      </c>
      <c r="C48" s="149" t="s">
        <v>3</v>
      </c>
      <c r="D48" s="149" t="s">
        <v>131</v>
      </c>
      <c r="E48" s="76"/>
      <c r="F48" s="150"/>
      <c r="G48" s="2"/>
      <c r="Q48" s="2"/>
      <c r="U48" s="2"/>
      <c r="V48" s="3"/>
      <c r="AB48" s="4"/>
      <c r="AC48" s="4"/>
    </row>
    <row r="49" s="1" customFormat="1" ht="15" spans="2:29">
      <c r="B49" s="151"/>
      <c r="C49" s="136" t="s">
        <v>66</v>
      </c>
      <c r="D49" s="136" t="s">
        <v>132</v>
      </c>
      <c r="F49" s="152"/>
      <c r="G49" s="2"/>
      <c r="Q49" s="2"/>
      <c r="U49" s="2"/>
      <c r="V49" s="3"/>
      <c r="AB49" s="4"/>
      <c r="AC49" s="4"/>
    </row>
    <row r="50" s="1" customFormat="1" ht="15" spans="2:29">
      <c r="B50" s="154"/>
      <c r="C50" s="155" t="s">
        <v>133</v>
      </c>
      <c r="D50" s="155" t="s">
        <v>134</v>
      </c>
      <c r="E50" s="89"/>
      <c r="F50" s="48"/>
      <c r="G50" s="2"/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F57" s="4"/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G58" s="2"/>
      <c r="Q58" s="2"/>
      <c r="U58" s="2"/>
      <c r="V58" s="3"/>
      <c r="AB58" s="4"/>
      <c r="AC58" s="4"/>
    </row>
    <row r="59" s="1" customFormat="1" spans="2:29">
      <c r="G59" s="2"/>
      <c r="Q59" s="2"/>
      <c r="U59" s="2"/>
      <c r="V59" s="3"/>
      <c r="AB59" s="4"/>
      <c r="AC59" s="4"/>
    </row>
    <row r="60" s="1" customFormat="1" spans="2:29">
      <c r="B60" s="4"/>
      <c r="C60" s="4"/>
      <c r="D60" s="4"/>
      <c r="G60" s="2"/>
      <c r="Q60" s="2"/>
      <c r="U60" s="2"/>
      <c r="V60" s="3"/>
      <c r="AB60" s="4"/>
      <c r="AC60" s="4"/>
    </row>
    <row r="61" s="1" customFormat="1" spans="2:29"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A22" workbookViewId="0">
      <selection activeCell="I48" sqref="I48:J50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9.36363636363636" style="1" customWidth="1"/>
    <col min="10" max="10" width="8.09090909090909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0</v>
      </c>
      <c r="C1" s="5" t="s">
        <v>1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0" t="s">
        <v>5</v>
      </c>
      <c r="Q2" s="11" t="s">
        <v>6</v>
      </c>
      <c r="R2" s="10" t="s">
        <v>7</v>
      </c>
      <c r="S2" s="10" t="s">
        <v>8</v>
      </c>
      <c r="T2" s="10" t="s">
        <v>9</v>
      </c>
      <c r="U2" s="11" t="s">
        <v>10</v>
      </c>
      <c r="V2" s="12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3" t="s">
        <v>17</v>
      </c>
      <c r="AC2" s="13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18">
        <v>1</v>
      </c>
      <c r="P3" s="19" t="s">
        <v>26</v>
      </c>
      <c r="Q3" s="20">
        <v>1.6102</v>
      </c>
      <c r="R3" s="21" t="s">
        <v>26</v>
      </c>
      <c r="S3" s="22">
        <f t="shared" ref="S3:S15" si="0">$C$4*(1+C$5+C$6+C$7+C$8)+C$9</f>
        <v>3328.85</v>
      </c>
      <c r="T3" s="23">
        <f t="shared" ref="T3:T15" si="1">S3/$C$4-1</f>
        <v>2.17033333333333</v>
      </c>
      <c r="U3" s="23">
        <f>IF(R3=$C$1,SUM($E$4:$E$9),SUM($E$4:$E$8))+60%</f>
        <v>2.04</v>
      </c>
      <c r="V3" s="24">
        <f t="shared" ref="V3:V15" si="2">1+$G$10*($I$10-1)</f>
        <v>2.806</v>
      </c>
      <c r="W3" s="25">
        <f t="shared" ref="W3:W14" si="3">IF(R3=$C$1,$K$4+$K$5,$K$4)</f>
        <v>0.2</v>
      </c>
      <c r="X3" s="26">
        <f>$AF$3</f>
        <v>0.488431876606684</v>
      </c>
      <c r="Y3" s="21">
        <f t="shared" ref="Y3:Y7" si="4">$AF$14</f>
        <v>0.8</v>
      </c>
      <c r="Z3" s="27">
        <v>0</v>
      </c>
      <c r="AA3" s="27">
        <v>0</v>
      </c>
      <c r="AB3" s="28">
        <f t="shared" ref="AB3:AB24" si="5">$AF$17</f>
        <v>0.12</v>
      </c>
      <c r="AC3" s="19">
        <f>Q3*$C$4*(1+T3)*(1+U3)*V3*(1+W3)*X3*Y3*(1+Z3)*(1+AA3)*(1+AB3)*O3</f>
        <v>24012.0121242118</v>
      </c>
      <c r="AD3" s="14">
        <v>0</v>
      </c>
      <c r="AE3" s="14">
        <v>0</v>
      </c>
      <c r="AF3" s="15">
        <f t="shared" ref="AF3:AF8" si="6">1520/(1520+(792+8*AG3)*(1-AE3/100))</f>
        <v>0.488431876606684</v>
      </c>
      <c r="AG3" s="29">
        <v>100</v>
      </c>
    </row>
    <row r="4" s="1" customFormat="1" ht="15" spans="2:33">
      <c r="B4" s="30" t="s">
        <v>27</v>
      </c>
      <c r="C4" s="31">
        <f>463+587</f>
        <v>1050</v>
      </c>
      <c r="D4" s="30" t="s">
        <v>28</v>
      </c>
      <c r="E4" s="32">
        <f>E1*30%</f>
        <v>0.6</v>
      </c>
      <c r="F4" s="30" t="s">
        <v>29</v>
      </c>
      <c r="G4" s="33">
        <v>0.13</v>
      </c>
      <c r="H4" s="30" t="s">
        <v>29</v>
      </c>
      <c r="I4" s="33">
        <v>1.5</v>
      </c>
      <c r="J4" s="34" t="s">
        <v>30</v>
      </c>
      <c r="K4" s="35">
        <f>15%+5%</f>
        <v>0.2</v>
      </c>
      <c r="L4" s="30" t="s">
        <v>31</v>
      </c>
      <c r="M4" s="33">
        <f>8.6%*2</f>
        <v>0.172</v>
      </c>
      <c r="O4" s="36">
        <v>1</v>
      </c>
      <c r="P4" s="19" t="s">
        <v>32</v>
      </c>
      <c r="Q4" s="37">
        <f>72.67%*3</f>
        <v>2.1801</v>
      </c>
      <c r="R4" s="38" t="s">
        <v>33</v>
      </c>
      <c r="S4" s="39">
        <f t="shared" si="0"/>
        <v>3328.85</v>
      </c>
      <c r="T4" s="40">
        <f t="shared" si="1"/>
        <v>2.17033333333333</v>
      </c>
      <c r="U4" s="40">
        <f t="shared" ref="U4:U13" si="7">IF(R4=$C$1,SUM($E$4:$E$9),SUM($E$4:$E$8))</f>
        <v>1.44</v>
      </c>
      <c r="V4" s="24">
        <f t="shared" si="2"/>
        <v>2.806</v>
      </c>
      <c r="W4" s="41">
        <f t="shared" si="3"/>
        <v>0.2</v>
      </c>
      <c r="X4" s="26">
        <f>$AF$3</f>
        <v>0.488431876606684</v>
      </c>
      <c r="Y4" s="38">
        <f t="shared" si="4"/>
        <v>0.8</v>
      </c>
      <c r="Z4" s="42">
        <v>0</v>
      </c>
      <c r="AA4" s="42">
        <v>0</v>
      </c>
      <c r="AB4" s="28">
        <f t="shared" si="5"/>
        <v>0.12</v>
      </c>
      <c r="AC4" s="19">
        <f t="shared" ref="AC4:AC15" si="8">Q4*$C$4*(1+T4)*(1+U4)*V4*(1+W4)*X4*Y4*(1+Z4)*(1+AA4)*(1+AB4)*O4</f>
        <v>26094.0439366117</v>
      </c>
      <c r="AD4" s="14">
        <v>10</v>
      </c>
      <c r="AE4" s="14">
        <v>0</v>
      </c>
      <c r="AF4" s="15">
        <f>1520/(1520+(792+8*AG4)*(1-AE4/100)*(1-AD4/100))</f>
        <v>0.514765646166351</v>
      </c>
      <c r="AG4" s="29">
        <v>100</v>
      </c>
    </row>
    <row r="5" s="1" customFormat="1" ht="15" spans="2:33">
      <c r="B5" s="30" t="s">
        <v>34</v>
      </c>
      <c r="C5" s="32">
        <f>12%+12%</f>
        <v>0.24</v>
      </c>
      <c r="D5" s="30" t="s">
        <v>35</v>
      </c>
      <c r="E5" s="32">
        <v>0.4</v>
      </c>
      <c r="F5" s="30" t="s">
        <v>36</v>
      </c>
      <c r="G5" s="33">
        <v>0.243</v>
      </c>
      <c r="H5" s="30" t="s">
        <v>36</v>
      </c>
      <c r="I5" s="33">
        <v>0</v>
      </c>
      <c r="J5" s="43" t="s">
        <v>37</v>
      </c>
      <c r="K5" s="35">
        <f>20%+38%</f>
        <v>0.58</v>
      </c>
      <c r="L5" s="30" t="s">
        <v>38</v>
      </c>
      <c r="M5" s="33">
        <f>8.6%*2</f>
        <v>0.172</v>
      </c>
      <c r="O5" s="36">
        <v>2</v>
      </c>
      <c r="P5" s="19" t="s">
        <v>39</v>
      </c>
      <c r="Q5" s="37">
        <v>0.5746</v>
      </c>
      <c r="R5" s="38" t="s">
        <v>1</v>
      </c>
      <c r="S5" s="39">
        <f t="shared" si="0"/>
        <v>3328.85</v>
      </c>
      <c r="T5" s="40">
        <f t="shared" si="1"/>
        <v>2.17033333333333</v>
      </c>
      <c r="U5" s="40">
        <f t="shared" si="7"/>
        <v>1.732</v>
      </c>
      <c r="V5" s="24">
        <f t="shared" si="2"/>
        <v>2.806</v>
      </c>
      <c r="W5" s="41">
        <f t="shared" si="3"/>
        <v>0.78</v>
      </c>
      <c r="X5" s="26">
        <f t="shared" ref="X5:X14" si="9">$AF$4</f>
        <v>0.514765646166351</v>
      </c>
      <c r="Y5" s="38">
        <f t="shared" si="4"/>
        <v>0.8</v>
      </c>
      <c r="Z5" s="42">
        <v>0</v>
      </c>
      <c r="AA5" s="42">
        <v>0</v>
      </c>
      <c r="AB5" s="28">
        <f t="shared" si="5"/>
        <v>0.12</v>
      </c>
      <c r="AC5" s="19">
        <f t="shared" si="8"/>
        <v>24076.6341039614</v>
      </c>
      <c r="AD5" s="14">
        <v>0</v>
      </c>
      <c r="AE5" s="14">
        <v>30</v>
      </c>
      <c r="AF5" s="15">
        <f t="shared" si="6"/>
        <v>0.57698147585788</v>
      </c>
      <c r="AG5" s="29">
        <v>100</v>
      </c>
    </row>
    <row r="6" s="1" customFormat="1" ht="15" spans="2:33">
      <c r="B6" s="30" t="s">
        <v>40</v>
      </c>
      <c r="C6" s="33">
        <f>18%+18%+M4+(2-E1)*30%</f>
        <v>0.532</v>
      </c>
      <c r="D6" s="30" t="s">
        <v>41</v>
      </c>
      <c r="E6" s="32">
        <v>0.12</v>
      </c>
      <c r="F6" s="30" t="s">
        <v>42</v>
      </c>
      <c r="G6" s="33"/>
      <c r="H6" s="30" t="s">
        <v>42</v>
      </c>
      <c r="I6" s="33">
        <v>0</v>
      </c>
      <c r="J6" s="43"/>
      <c r="K6" s="32"/>
      <c r="L6" s="30" t="s">
        <v>23</v>
      </c>
      <c r="M6" s="33">
        <f>8.1*5%</f>
        <v>0.405</v>
      </c>
      <c r="O6" s="36">
        <v>3</v>
      </c>
      <c r="P6" s="19" t="s">
        <v>43</v>
      </c>
      <c r="Q6" s="37">
        <f>50.42%+50.42%</f>
        <v>1.0084</v>
      </c>
      <c r="R6" s="38" t="s">
        <v>1</v>
      </c>
      <c r="S6" s="39">
        <f t="shared" si="0"/>
        <v>3328.85</v>
      </c>
      <c r="T6" s="40">
        <f t="shared" si="1"/>
        <v>2.17033333333333</v>
      </c>
      <c r="U6" s="40">
        <f t="shared" si="7"/>
        <v>1.732</v>
      </c>
      <c r="V6" s="24">
        <f t="shared" si="2"/>
        <v>2.806</v>
      </c>
      <c r="W6" s="41">
        <f t="shared" si="3"/>
        <v>0.78</v>
      </c>
      <c r="X6" s="26">
        <f t="shared" si="9"/>
        <v>0.514765646166351</v>
      </c>
      <c r="Y6" s="38">
        <f t="shared" ref="Y6:Y15" si="10">$AF$12</f>
        <v>0.8</v>
      </c>
      <c r="Z6" s="42">
        <v>0</v>
      </c>
      <c r="AA6" s="42">
        <v>0</v>
      </c>
      <c r="AB6" s="28">
        <f t="shared" si="5"/>
        <v>0.12</v>
      </c>
      <c r="AC6" s="19">
        <f t="shared" si="8"/>
        <v>63380.2936749949</v>
      </c>
      <c r="AD6" s="14">
        <v>0</v>
      </c>
      <c r="AE6" s="14">
        <v>21.6</v>
      </c>
      <c r="AF6" s="15">
        <f t="shared" si="6"/>
        <v>0.549107555719967</v>
      </c>
      <c r="AG6" s="29">
        <v>100</v>
      </c>
    </row>
    <row r="7" s="1" customFormat="1" ht="15" spans="2:33">
      <c r="B7" s="30" t="s">
        <v>44</v>
      </c>
      <c r="C7" s="33">
        <v>0.25</v>
      </c>
      <c r="D7" s="30" t="s">
        <v>45</v>
      </c>
      <c r="E7" s="32">
        <f>12%</f>
        <v>0.12</v>
      </c>
      <c r="F7" s="30" t="s">
        <v>40</v>
      </c>
      <c r="G7" s="33">
        <f>M6</f>
        <v>0.405</v>
      </c>
      <c r="H7" s="30" t="s">
        <v>40</v>
      </c>
      <c r="I7" s="33">
        <f>M7+44%</f>
        <v>1.25</v>
      </c>
      <c r="J7" s="43"/>
      <c r="K7" s="32"/>
      <c r="L7" s="30" t="s">
        <v>46</v>
      </c>
      <c r="M7" s="32">
        <f>16.2%*5</f>
        <v>0.81</v>
      </c>
      <c r="O7" s="36">
        <v>3</v>
      </c>
      <c r="P7" s="19" t="s">
        <v>47</v>
      </c>
      <c r="Q7" s="37">
        <f>74.92%+74.92%</f>
        <v>1.4984</v>
      </c>
      <c r="R7" s="38" t="s">
        <v>1</v>
      </c>
      <c r="S7" s="39">
        <f t="shared" si="0"/>
        <v>3328.85</v>
      </c>
      <c r="T7" s="40">
        <f t="shared" si="1"/>
        <v>2.17033333333333</v>
      </c>
      <c r="U7" s="40">
        <f t="shared" si="7"/>
        <v>1.732</v>
      </c>
      <c r="V7" s="24">
        <f t="shared" si="2"/>
        <v>2.806</v>
      </c>
      <c r="W7" s="41">
        <f t="shared" si="3"/>
        <v>0.78</v>
      </c>
      <c r="X7" s="26">
        <f t="shared" si="9"/>
        <v>0.514765646166351</v>
      </c>
      <c r="Y7" s="38">
        <f t="shared" si="4"/>
        <v>0.8</v>
      </c>
      <c r="Z7" s="42">
        <v>0</v>
      </c>
      <c r="AA7" s="42">
        <v>0</v>
      </c>
      <c r="AB7" s="28">
        <f t="shared" si="5"/>
        <v>0.12</v>
      </c>
      <c r="AC7" s="19">
        <f t="shared" si="8"/>
        <v>94177.9373687151</v>
      </c>
      <c r="AD7" s="14">
        <v>0</v>
      </c>
      <c r="AE7" s="14">
        <v>28.8</v>
      </c>
      <c r="AF7" s="15">
        <f t="shared" si="6"/>
        <v>0.572827476423627</v>
      </c>
      <c r="AG7" s="29">
        <v>100</v>
      </c>
    </row>
    <row r="8" s="1" customFormat="1" ht="15" spans="2:33">
      <c r="B8" s="30" t="s">
        <v>48</v>
      </c>
      <c r="C8" s="44">
        <f>25%+20%+22.5%+14%</f>
        <v>0.815</v>
      </c>
      <c r="D8" s="30" t="s">
        <v>49</v>
      </c>
      <c r="E8" s="45">
        <v>0.2</v>
      </c>
      <c r="F8" s="30" t="s">
        <v>50</v>
      </c>
      <c r="G8" s="33">
        <v>0</v>
      </c>
      <c r="H8" s="30" t="s">
        <v>51</v>
      </c>
      <c r="I8" s="33"/>
      <c r="J8" s="43"/>
      <c r="K8" s="32"/>
      <c r="L8" s="30"/>
      <c r="M8" s="31"/>
      <c r="O8" s="36">
        <v>2</v>
      </c>
      <c r="P8" s="19" t="s">
        <v>52</v>
      </c>
      <c r="Q8" s="37">
        <v>1.5547</v>
      </c>
      <c r="R8" s="38" t="s">
        <v>1</v>
      </c>
      <c r="S8" s="39">
        <f t="shared" si="0"/>
        <v>3328.85</v>
      </c>
      <c r="T8" s="40">
        <f t="shared" si="1"/>
        <v>2.17033333333333</v>
      </c>
      <c r="U8" s="40">
        <f t="shared" si="7"/>
        <v>1.732</v>
      </c>
      <c r="V8" s="24">
        <f t="shared" si="2"/>
        <v>2.806</v>
      </c>
      <c r="W8" s="41">
        <f t="shared" si="3"/>
        <v>0.78</v>
      </c>
      <c r="X8" s="26">
        <f t="shared" si="9"/>
        <v>0.514765646166351</v>
      </c>
      <c r="Y8" s="38">
        <f t="shared" si="10"/>
        <v>0.8</v>
      </c>
      <c r="Z8" s="42">
        <v>0</v>
      </c>
      <c r="AA8" s="42">
        <v>0</v>
      </c>
      <c r="AB8" s="28">
        <f t="shared" si="5"/>
        <v>0.12</v>
      </c>
      <c r="AC8" s="19">
        <f t="shared" si="8"/>
        <v>65144.3491845263</v>
      </c>
      <c r="AD8" s="14">
        <v>0</v>
      </c>
      <c r="AE8" s="14">
        <v>36</v>
      </c>
      <c r="AF8" s="15">
        <f t="shared" si="6"/>
        <v>0.598689185782707</v>
      </c>
      <c r="AG8" s="29">
        <v>100</v>
      </c>
    </row>
    <row r="9" s="1" customFormat="1" ht="15" spans="2:33">
      <c r="B9" s="30" t="s">
        <v>53</v>
      </c>
      <c r="C9" s="31">
        <v>350</v>
      </c>
      <c r="D9" s="30" t="s">
        <v>54</v>
      </c>
      <c r="E9" s="46">
        <f>M5+12%</f>
        <v>0.292</v>
      </c>
      <c r="F9" s="30" t="s">
        <v>55</v>
      </c>
      <c r="G9" s="33">
        <v>0.125</v>
      </c>
      <c r="H9" s="30" t="s">
        <v>55</v>
      </c>
      <c r="I9" s="33">
        <v>0.25</v>
      </c>
      <c r="J9" s="43"/>
      <c r="K9" s="32"/>
      <c r="L9" s="30"/>
      <c r="M9" s="31"/>
      <c r="O9" s="36">
        <v>1</v>
      </c>
      <c r="P9" s="19" t="s">
        <v>56</v>
      </c>
      <c r="Q9" s="37">
        <f>26.56%*5+88.53%</f>
        <v>2.2133</v>
      </c>
      <c r="R9" s="38" t="s">
        <v>1</v>
      </c>
      <c r="S9" s="39">
        <f t="shared" si="0"/>
        <v>3328.85</v>
      </c>
      <c r="T9" s="40">
        <f t="shared" si="1"/>
        <v>2.17033333333333</v>
      </c>
      <c r="U9" s="40">
        <f t="shared" si="7"/>
        <v>1.732</v>
      </c>
      <c r="V9" s="24">
        <f t="shared" si="2"/>
        <v>2.806</v>
      </c>
      <c r="W9" s="41">
        <f t="shared" si="3"/>
        <v>0.78</v>
      </c>
      <c r="X9" s="26">
        <f t="shared" si="9"/>
        <v>0.514765646166351</v>
      </c>
      <c r="Y9" s="38">
        <f>$AF$14</f>
        <v>0.8</v>
      </c>
      <c r="Z9" s="42">
        <v>1.1</v>
      </c>
      <c r="AA9" s="42">
        <v>0</v>
      </c>
      <c r="AB9" s="28">
        <f t="shared" si="5"/>
        <v>0.12</v>
      </c>
      <c r="AC9" s="19">
        <f t="shared" si="8"/>
        <v>97377.7496961586</v>
      </c>
    </row>
    <row r="10" s="1" customFormat="1" ht="15" spans="2:33">
      <c r="B10" s="47" t="s">
        <v>57</v>
      </c>
      <c r="C10" s="48"/>
      <c r="D10" s="47"/>
      <c r="E10" s="49"/>
      <c r="F10" s="50" t="s">
        <v>58</v>
      </c>
      <c r="G10" s="51">
        <f>MIN(100%,SUM(G4:G9))</f>
        <v>0.903</v>
      </c>
      <c r="H10" s="50" t="s">
        <v>59</v>
      </c>
      <c r="I10" s="51">
        <f>SUM(I4:I9)</f>
        <v>3</v>
      </c>
      <c r="J10" s="52"/>
      <c r="K10" s="49"/>
      <c r="L10" s="47"/>
      <c r="M10" s="48"/>
      <c r="O10" s="36">
        <v>1</v>
      </c>
      <c r="P10" s="19" t="s">
        <v>60</v>
      </c>
      <c r="Q10" s="37">
        <v>2.8773</v>
      </c>
      <c r="R10" s="38" t="s">
        <v>1</v>
      </c>
      <c r="S10" s="39">
        <f t="shared" si="0"/>
        <v>3328.85</v>
      </c>
      <c r="T10" s="40">
        <f t="shared" si="1"/>
        <v>2.17033333333333</v>
      </c>
      <c r="U10" s="40">
        <f t="shared" si="7"/>
        <v>1.732</v>
      </c>
      <c r="V10" s="24">
        <f t="shared" si="2"/>
        <v>2.806</v>
      </c>
      <c r="W10" s="41">
        <f t="shared" si="3"/>
        <v>0.78</v>
      </c>
      <c r="X10" s="26">
        <f t="shared" si="9"/>
        <v>0.514765646166351</v>
      </c>
      <c r="Y10" s="38">
        <f t="shared" si="10"/>
        <v>0.8</v>
      </c>
      <c r="Z10" s="42">
        <v>1.1</v>
      </c>
      <c r="AA10" s="42">
        <v>0</v>
      </c>
      <c r="AB10" s="28">
        <f t="shared" si="5"/>
        <v>0.12</v>
      </c>
      <c r="AC10" s="19">
        <f t="shared" si="8"/>
        <v>126591.514571345</v>
      </c>
    </row>
    <row r="11" s="1" customFormat="1" ht="15" spans="2:33">
      <c r="B11" s="53"/>
      <c r="C11" s="53"/>
      <c r="E11" s="54"/>
      <c r="F11" s="16" t="s">
        <v>61</v>
      </c>
      <c r="G11" s="55">
        <f>MAX(0,SUM(G4:G9)-1)</f>
        <v>0</v>
      </c>
      <c r="J11" s="2"/>
      <c r="K11" s="2"/>
      <c r="O11" s="36">
        <v>1</v>
      </c>
      <c r="P11" s="19" t="s">
        <v>62</v>
      </c>
      <c r="Q11" s="37">
        <v>3.5411</v>
      </c>
      <c r="R11" s="38" t="s">
        <v>1</v>
      </c>
      <c r="S11" s="39">
        <f t="shared" si="0"/>
        <v>3328.85</v>
      </c>
      <c r="T11" s="40">
        <f t="shared" si="1"/>
        <v>2.17033333333333</v>
      </c>
      <c r="U11" s="40">
        <f t="shared" si="7"/>
        <v>1.732</v>
      </c>
      <c r="V11" s="24">
        <f t="shared" si="2"/>
        <v>2.806</v>
      </c>
      <c r="W11" s="41">
        <f t="shared" si="3"/>
        <v>0.78</v>
      </c>
      <c r="X11" s="26">
        <f t="shared" si="9"/>
        <v>0.514765646166351</v>
      </c>
      <c r="Y11" s="38">
        <f t="shared" si="10"/>
        <v>0.8</v>
      </c>
      <c r="Z11" s="42">
        <v>1.1</v>
      </c>
      <c r="AA11" s="42">
        <v>0</v>
      </c>
      <c r="AB11" s="28">
        <f t="shared" si="5"/>
        <v>0.12</v>
      </c>
      <c r="AC11" s="19">
        <f t="shared" si="8"/>
        <v>155796.480119761</v>
      </c>
      <c r="AE11" s="56"/>
      <c r="AF11" s="56"/>
    </row>
    <row r="12" s="1" customFormat="1" ht="15" spans="2:33">
      <c r="B12" s="53"/>
      <c r="C12" s="53"/>
      <c r="E12" s="54"/>
      <c r="G12" s="57"/>
      <c r="J12" s="2"/>
      <c r="K12" s="2"/>
      <c r="O12" s="36">
        <v>1</v>
      </c>
      <c r="P12" s="19" t="s">
        <v>63</v>
      </c>
      <c r="Q12" s="37">
        <v>3.069</v>
      </c>
      <c r="R12" s="38" t="s">
        <v>1</v>
      </c>
      <c r="S12" s="39">
        <f t="shared" si="0"/>
        <v>3328.85</v>
      </c>
      <c r="T12" s="40">
        <f t="shared" si="1"/>
        <v>2.17033333333333</v>
      </c>
      <c r="U12" s="40">
        <f t="shared" si="7"/>
        <v>1.732</v>
      </c>
      <c r="V12" s="24">
        <f t="shared" si="2"/>
        <v>2.806</v>
      </c>
      <c r="W12" s="41">
        <f t="shared" si="3"/>
        <v>0.78</v>
      </c>
      <c r="X12" s="26">
        <f t="shared" si="9"/>
        <v>0.514765646166351</v>
      </c>
      <c r="Y12" s="38">
        <f t="shared" si="10"/>
        <v>0.8</v>
      </c>
      <c r="Z12" s="42">
        <v>1.1</v>
      </c>
      <c r="AA12" s="42">
        <v>0</v>
      </c>
      <c r="AB12" s="28">
        <f t="shared" si="5"/>
        <v>0.12</v>
      </c>
      <c r="AC12" s="19">
        <f t="shared" si="8"/>
        <v>135025.669280039</v>
      </c>
      <c r="AE12" s="58"/>
      <c r="AF12" s="58">
        <v>0.8</v>
      </c>
    </row>
    <row r="13" s="1" customFormat="1" ht="15" spans="2:33">
      <c r="B13" s="5" t="s">
        <v>0</v>
      </c>
      <c r="C13" s="5" t="s">
        <v>1</v>
      </c>
      <c r="D13" s="6" t="s">
        <v>2</v>
      </c>
      <c r="E13" s="6">
        <v>1</v>
      </c>
      <c r="O13" s="36">
        <v>1</v>
      </c>
      <c r="P13" s="19" t="s">
        <v>64</v>
      </c>
      <c r="Q13" s="37">
        <v>1.5345</v>
      </c>
      <c r="R13" s="38" t="s">
        <v>1</v>
      </c>
      <c r="S13" s="39">
        <f t="shared" si="0"/>
        <v>3328.85</v>
      </c>
      <c r="T13" s="40">
        <f t="shared" si="1"/>
        <v>2.17033333333333</v>
      </c>
      <c r="U13" s="40">
        <f t="shared" si="7"/>
        <v>1.732</v>
      </c>
      <c r="V13" s="24">
        <f t="shared" si="2"/>
        <v>2.806</v>
      </c>
      <c r="W13" s="41">
        <f t="shared" si="3"/>
        <v>0.78</v>
      </c>
      <c r="X13" s="26">
        <f t="shared" si="9"/>
        <v>0.514765646166351</v>
      </c>
      <c r="Y13" s="38">
        <f t="shared" si="10"/>
        <v>0.8</v>
      </c>
      <c r="Z13" s="42">
        <v>1.1</v>
      </c>
      <c r="AA13" s="42">
        <v>0</v>
      </c>
      <c r="AB13" s="28">
        <f t="shared" si="5"/>
        <v>0.12</v>
      </c>
      <c r="AC13" s="19">
        <f t="shared" si="8"/>
        <v>67512.8346400196</v>
      </c>
      <c r="AE13" s="59" t="s">
        <v>65</v>
      </c>
      <c r="AF13" s="59">
        <v>0.8</v>
      </c>
    </row>
    <row r="14" s="1" customFormat="1" ht="15" spans="2:33">
      <c r="B14" s="60" t="s">
        <v>66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O14" s="36">
        <v>1</v>
      </c>
      <c r="P14" s="19" t="s">
        <v>67</v>
      </c>
      <c r="Q14" s="37">
        <f>745.54%+49.71%*5</f>
        <v>9.9409</v>
      </c>
      <c r="R14" s="38" t="s">
        <v>1</v>
      </c>
      <c r="S14" s="39">
        <f t="shared" si="0"/>
        <v>3328.85</v>
      </c>
      <c r="T14" s="40">
        <f t="shared" si="1"/>
        <v>2.17033333333333</v>
      </c>
      <c r="U14" s="40">
        <f>IF(R14=$C$1,SUM($E$4:$E$9),SUM($E$4:$E$8))+40%</f>
        <v>2.132</v>
      </c>
      <c r="V14" s="24">
        <f t="shared" si="2"/>
        <v>2.806</v>
      </c>
      <c r="W14" s="41">
        <f t="shared" si="3"/>
        <v>0.78</v>
      </c>
      <c r="X14" s="26">
        <f t="shared" si="9"/>
        <v>0.514765646166351</v>
      </c>
      <c r="Y14" s="38">
        <f t="shared" si="10"/>
        <v>0.8</v>
      </c>
      <c r="Z14" s="42">
        <v>0.75</v>
      </c>
      <c r="AA14" s="42">
        <v>0</v>
      </c>
      <c r="AB14" s="28">
        <f t="shared" si="5"/>
        <v>0.12</v>
      </c>
      <c r="AC14" s="19">
        <f t="shared" si="8"/>
        <v>417835.145925904</v>
      </c>
      <c r="AE14" s="61" t="s">
        <v>68</v>
      </c>
      <c r="AF14" s="61">
        <v>0.8</v>
      </c>
    </row>
    <row r="15" s="1" customFormat="1" ht="15" spans="2:33">
      <c r="B15" s="62" t="s">
        <v>22</v>
      </c>
      <c r="C15" s="62"/>
      <c r="D15" s="62" t="s">
        <v>10</v>
      </c>
      <c r="E15" s="62"/>
      <c r="F15" s="62" t="s">
        <v>23</v>
      </c>
      <c r="G15" s="62"/>
      <c r="H15" s="62" t="s">
        <v>24</v>
      </c>
      <c r="I15" s="62"/>
      <c r="J15" s="62" t="s">
        <v>12</v>
      </c>
      <c r="K15" s="62"/>
      <c r="L15" s="62" t="s">
        <v>25</v>
      </c>
      <c r="M15" s="62"/>
      <c r="O15" s="63">
        <v>1</v>
      </c>
      <c r="P15" s="19" t="s">
        <v>69</v>
      </c>
      <c r="Q15" s="64">
        <v>5</v>
      </c>
      <c r="R15" s="65" t="s">
        <v>70</v>
      </c>
      <c r="S15" s="66">
        <f t="shared" si="0"/>
        <v>3328.85</v>
      </c>
      <c r="T15" s="67">
        <f t="shared" si="1"/>
        <v>2.17033333333333</v>
      </c>
      <c r="U15" s="67">
        <f>IF(R15=$C$1,SUM($E$4:$E$9),SUM($E$4:$E$8))+$E$10</f>
        <v>1.44</v>
      </c>
      <c r="V15" s="68">
        <f t="shared" si="2"/>
        <v>2.806</v>
      </c>
      <c r="W15" s="69">
        <f>IF(R15=$C$1,$K$4+$K$5,$K$4)+$K$6</f>
        <v>0.2</v>
      </c>
      <c r="X15" s="162">
        <f>$AF$3</f>
        <v>0.488431876606684</v>
      </c>
      <c r="Y15" s="65">
        <f t="shared" si="10"/>
        <v>0.8</v>
      </c>
      <c r="Z15" s="70">
        <v>0</v>
      </c>
      <c r="AA15" s="70">
        <v>0</v>
      </c>
      <c r="AB15" s="28">
        <f t="shared" si="5"/>
        <v>0.12</v>
      </c>
      <c r="AC15" s="19">
        <f t="shared" si="8"/>
        <v>59845.9793968436</v>
      </c>
      <c r="AE15" s="71" t="s">
        <v>71</v>
      </c>
      <c r="AF15" s="71">
        <v>0.8</v>
      </c>
    </row>
    <row r="16" s="1" customFormat="1" ht="15" spans="2:33">
      <c r="B16" s="72" t="s">
        <v>27</v>
      </c>
      <c r="C16" s="31">
        <f>375+588</f>
        <v>963</v>
      </c>
      <c r="D16" s="72" t="s">
        <v>28</v>
      </c>
      <c r="E16" s="35">
        <f>E13*30%</f>
        <v>0.3</v>
      </c>
      <c r="F16" s="72" t="s">
        <v>29</v>
      </c>
      <c r="G16" s="73">
        <v>0.13</v>
      </c>
      <c r="H16" s="72" t="s">
        <v>29</v>
      </c>
      <c r="I16" s="73">
        <v>1.5</v>
      </c>
      <c r="J16" s="34" t="s">
        <v>30</v>
      </c>
      <c r="K16" s="35">
        <f>25%</f>
        <v>0.25</v>
      </c>
      <c r="L16" s="72" t="s">
        <v>31</v>
      </c>
      <c r="M16" s="73">
        <f>8.6%*2</f>
        <v>0.172</v>
      </c>
      <c r="O16" s="18">
        <v>1</v>
      </c>
      <c r="P16" s="74" t="s">
        <v>32</v>
      </c>
      <c r="Q16" s="75">
        <v>2.248</v>
      </c>
      <c r="R16" s="76" t="s">
        <v>33</v>
      </c>
      <c r="S16" s="77">
        <f t="shared" ref="S16:S24" si="11">$C$16*(1+$C$17+$C$18+$C$19+$C$20)+($C$21+$C$22)</f>
        <v>2586.086</v>
      </c>
      <c r="T16" s="78">
        <f t="shared" ref="T16:T24" si="12">($C$17+$C$18+$C$19+$C$20)+($C$21+$C$22)/$C$16</f>
        <v>1.68544755970924</v>
      </c>
      <c r="U16" s="78">
        <f>IF(R16=$C$13,SUM($E$16:$E$21),SUM($E$16:$E$20))-12%</f>
        <v>1.41</v>
      </c>
      <c r="V16" s="79">
        <f t="shared" ref="V16:V24" si="13">1+$G$22*($I$22-1)</f>
        <v>2.5171</v>
      </c>
      <c r="W16" s="80">
        <f t="shared" ref="W16:W24" si="14">IF(R16=$C$1,$K$16+$K$17,$K$16)</f>
        <v>0.25</v>
      </c>
      <c r="X16" s="79">
        <f t="shared" ref="X16:X24" si="15">$AF$3</f>
        <v>0.488431876606684</v>
      </c>
      <c r="Y16" s="76">
        <f t="shared" ref="Y16:Y24" si="16">$AF$15</f>
        <v>0.8</v>
      </c>
      <c r="Z16" s="81">
        <v>0</v>
      </c>
      <c r="AA16" s="81">
        <v>0</v>
      </c>
      <c r="AB16" s="28">
        <f t="shared" si="5"/>
        <v>0.12</v>
      </c>
      <c r="AC16" s="82">
        <f t="shared" ref="AC16:AC24" si="17">Q16*$C$16*(1+T16)*(1+U16)*V16*(1+W16)*X16*Y16*(1+Z16)*(1+AA16)*(1+AB16)*O16</f>
        <v>19292.0689143865</v>
      </c>
    </row>
    <row r="17" s="1" customFormat="1" ht="15" spans="1:32">
      <c r="B17" s="30" t="s">
        <v>34</v>
      </c>
      <c r="C17" s="32">
        <v>0.24</v>
      </c>
      <c r="D17" s="30" t="s">
        <v>35</v>
      </c>
      <c r="E17" s="32">
        <v>0.1</v>
      </c>
      <c r="F17" s="30" t="s">
        <v>36</v>
      </c>
      <c r="G17" s="33">
        <v>0.243</v>
      </c>
      <c r="H17" s="30" t="s">
        <v>36</v>
      </c>
      <c r="I17" s="33">
        <v>0</v>
      </c>
      <c r="J17" s="43" t="s">
        <v>72</v>
      </c>
      <c r="K17" s="32"/>
      <c r="L17" s="30" t="s">
        <v>73</v>
      </c>
      <c r="M17" s="33">
        <f>1*8.6%</f>
        <v>0.086</v>
      </c>
      <c r="O17" s="36">
        <v>1</v>
      </c>
      <c r="P17" s="74" t="s">
        <v>74</v>
      </c>
      <c r="Q17" s="43">
        <v>8.748</v>
      </c>
      <c r="R17" s="53" t="s">
        <v>75</v>
      </c>
      <c r="S17" s="83">
        <f t="shared" si="11"/>
        <v>2586.086</v>
      </c>
      <c r="T17" s="84">
        <f t="shared" si="12"/>
        <v>1.68544755970924</v>
      </c>
      <c r="U17" s="84">
        <f>IF(R17=$C$13,SUM($E$16:$E$21),SUM($E$16:$E$20))-12%</f>
        <v>1.41</v>
      </c>
      <c r="V17" s="85">
        <f t="shared" si="13"/>
        <v>2.5171</v>
      </c>
      <c r="W17" s="86">
        <f t="shared" si="14"/>
        <v>0.25</v>
      </c>
      <c r="X17" s="85">
        <f t="shared" si="15"/>
        <v>0.488431876606684</v>
      </c>
      <c r="Y17" s="76">
        <f t="shared" si="16"/>
        <v>0.8</v>
      </c>
      <c r="Z17" s="87">
        <v>0</v>
      </c>
      <c r="AA17" s="87">
        <v>0</v>
      </c>
      <c r="AB17" s="28">
        <f t="shared" si="5"/>
        <v>0.12</v>
      </c>
      <c r="AC17" s="82">
        <f t="shared" si="17"/>
        <v>75074.2966472655</v>
      </c>
      <c r="AE17" s="1" t="s">
        <v>76</v>
      </c>
      <c r="AF17" s="54">
        <v>0.12</v>
      </c>
    </row>
    <row r="18" s="1" customFormat="1" ht="15" spans="1:32">
      <c r="B18" s="30" t="s">
        <v>40</v>
      </c>
      <c r="C18" s="32">
        <f>18%+18%+M16+(2-E13)*30%</f>
        <v>0.832</v>
      </c>
      <c r="D18" s="30" t="s">
        <v>41</v>
      </c>
      <c r="E18" s="32">
        <v>0.25</v>
      </c>
      <c r="F18" s="30" t="s">
        <v>42</v>
      </c>
      <c r="G18" s="33"/>
      <c r="H18" s="30" t="s">
        <v>42</v>
      </c>
      <c r="I18" s="33">
        <v>0.44</v>
      </c>
      <c r="J18" s="43"/>
      <c r="K18" s="33"/>
      <c r="L18" s="30" t="s">
        <v>23</v>
      </c>
      <c r="M18" s="33">
        <f>8.1*5%</f>
        <v>0.405</v>
      </c>
      <c r="O18" s="36">
        <v>1</v>
      </c>
      <c r="P18" s="74" t="s">
        <v>77</v>
      </c>
      <c r="Q18" s="43">
        <v>2.7863</v>
      </c>
      <c r="R18" s="53" t="s">
        <v>78</v>
      </c>
      <c r="S18" s="83">
        <f t="shared" si="11"/>
        <v>2586.086</v>
      </c>
      <c r="T18" s="84">
        <f t="shared" si="12"/>
        <v>1.68544755970924</v>
      </c>
      <c r="U18" s="84">
        <f>IF(R18=$C$13,SUM($E$16:$E$21),SUM($E$16:$E$20))-6%</f>
        <v>1.47</v>
      </c>
      <c r="V18" s="85">
        <f t="shared" si="13"/>
        <v>2.5171</v>
      </c>
      <c r="W18" s="86">
        <f t="shared" si="14"/>
        <v>0.25</v>
      </c>
      <c r="X18" s="85">
        <f t="shared" si="15"/>
        <v>0.488431876606684</v>
      </c>
      <c r="Y18" s="76">
        <f t="shared" si="16"/>
        <v>0.8</v>
      </c>
      <c r="Z18" s="87">
        <v>0</v>
      </c>
      <c r="AA18" s="87">
        <v>0</v>
      </c>
      <c r="AB18" s="28">
        <f t="shared" si="5"/>
        <v>0.12</v>
      </c>
      <c r="AC18" s="82">
        <f t="shared" si="17"/>
        <v>24507.0074814132</v>
      </c>
    </row>
    <row r="19" s="1" customFormat="1" ht="15" spans="1:32">
      <c r="B19" s="30" t="s">
        <v>44</v>
      </c>
      <c r="C19" s="44"/>
      <c r="D19" s="30" t="s">
        <v>45</v>
      </c>
      <c r="E19" s="32">
        <v>0.4</v>
      </c>
      <c r="F19" s="30" t="s">
        <v>40</v>
      </c>
      <c r="G19" s="33">
        <f>M18</f>
        <v>0.405</v>
      </c>
      <c r="H19" s="30" t="s">
        <v>40</v>
      </c>
      <c r="I19" s="33">
        <f>M19</f>
        <v>0.81</v>
      </c>
      <c r="J19" s="43"/>
      <c r="K19" s="33"/>
      <c r="L19" s="30" t="s">
        <v>46</v>
      </c>
      <c r="M19" s="32">
        <f>16.2%*5</f>
        <v>0.81</v>
      </c>
      <c r="O19" s="36">
        <v>1</v>
      </c>
      <c r="P19" s="74" t="s">
        <v>79</v>
      </c>
      <c r="Q19" s="43">
        <v>5.5556</v>
      </c>
      <c r="R19" s="53" t="s">
        <v>1</v>
      </c>
      <c r="S19" s="83">
        <f t="shared" si="11"/>
        <v>2586.086</v>
      </c>
      <c r="T19" s="84">
        <f t="shared" si="12"/>
        <v>1.68544755970924</v>
      </c>
      <c r="U19" s="84">
        <f t="shared" ref="U19:U24" si="18">IF(R19=$C$13,SUM($E$16:$E$21),SUM($E$16:$E$20))</f>
        <v>1.976</v>
      </c>
      <c r="V19" s="85">
        <f t="shared" si="13"/>
        <v>2.5171</v>
      </c>
      <c r="W19" s="86">
        <f t="shared" si="14"/>
        <v>0.25</v>
      </c>
      <c r="X19" s="85">
        <f t="shared" si="15"/>
        <v>0.488431876606684</v>
      </c>
      <c r="Y19" s="76">
        <f t="shared" si="16"/>
        <v>0.8</v>
      </c>
      <c r="Z19" s="87">
        <v>0</v>
      </c>
      <c r="AA19" s="87">
        <v>0</v>
      </c>
      <c r="AB19" s="28">
        <f t="shared" si="5"/>
        <v>0.12</v>
      </c>
      <c r="AC19" s="82">
        <f t="shared" si="17"/>
        <v>58874.7873164967</v>
      </c>
    </row>
    <row r="20" s="1" customFormat="1" ht="15" spans="1:32">
      <c r="B20" s="30" t="s">
        <v>48</v>
      </c>
      <c r="C20" s="44">
        <v>0.25</v>
      </c>
      <c r="D20" s="30" t="s">
        <v>49</v>
      </c>
      <c r="E20" s="45">
        <f>24%+24%</f>
        <v>0.48</v>
      </c>
      <c r="F20" s="30" t="s">
        <v>50</v>
      </c>
      <c r="G20" s="33">
        <v>0</v>
      </c>
      <c r="H20" s="30" t="s">
        <v>50</v>
      </c>
      <c r="I20" s="33">
        <v>0</v>
      </c>
      <c r="J20" s="43"/>
      <c r="K20" s="33"/>
      <c r="L20" s="30"/>
      <c r="M20" s="31"/>
      <c r="O20" s="36">
        <v>1</v>
      </c>
      <c r="P20" s="74" t="s">
        <v>80</v>
      </c>
      <c r="Q20" s="43">
        <v>3.076</v>
      </c>
      <c r="R20" s="53" t="s">
        <v>1</v>
      </c>
      <c r="S20" s="83">
        <f t="shared" si="11"/>
        <v>2586.086</v>
      </c>
      <c r="T20" s="84">
        <f t="shared" si="12"/>
        <v>1.68544755970924</v>
      </c>
      <c r="U20" s="84">
        <f t="shared" si="18"/>
        <v>1.976</v>
      </c>
      <c r="V20" s="85">
        <f t="shared" si="13"/>
        <v>2.5171</v>
      </c>
      <c r="W20" s="86">
        <f t="shared" si="14"/>
        <v>0.25</v>
      </c>
      <c r="X20" s="85">
        <f t="shared" si="15"/>
        <v>0.488431876606684</v>
      </c>
      <c r="Y20" s="76">
        <f t="shared" si="16"/>
        <v>0.8</v>
      </c>
      <c r="Z20" s="87">
        <v>0</v>
      </c>
      <c r="AA20" s="87">
        <v>0</v>
      </c>
      <c r="AB20" s="28">
        <f t="shared" si="5"/>
        <v>0.12</v>
      </c>
      <c r="AC20" s="82">
        <f t="shared" si="17"/>
        <v>32597.5314611462</v>
      </c>
    </row>
    <row r="21" s="1" customFormat="1" ht="15" spans="1:32">
      <c r="B21" s="30" t="s">
        <v>53</v>
      </c>
      <c r="C21" s="31">
        <v>350</v>
      </c>
      <c r="D21" s="30" t="s">
        <v>54</v>
      </c>
      <c r="E21" s="32">
        <f>36%+M17</f>
        <v>0.446</v>
      </c>
      <c r="F21" s="30" t="s">
        <v>55</v>
      </c>
      <c r="G21" s="33">
        <v>0</v>
      </c>
      <c r="H21" s="30" t="s">
        <v>55</v>
      </c>
      <c r="I21" s="33">
        <v>0.2</v>
      </c>
      <c r="J21" s="43"/>
      <c r="K21" s="33"/>
      <c r="L21" s="30"/>
      <c r="M21" s="31"/>
      <c r="O21" s="36">
        <v>1</v>
      </c>
      <c r="P21" s="74" t="s">
        <v>81</v>
      </c>
      <c r="Q21" s="43">
        <v>12.1672</v>
      </c>
      <c r="R21" s="53" t="s">
        <v>1</v>
      </c>
      <c r="S21" s="83">
        <f t="shared" si="11"/>
        <v>2586.086</v>
      </c>
      <c r="T21" s="84">
        <f t="shared" si="12"/>
        <v>1.68544755970924</v>
      </c>
      <c r="U21" s="84">
        <f t="shared" si="18"/>
        <v>1.976</v>
      </c>
      <c r="V21" s="85">
        <f t="shared" si="13"/>
        <v>2.5171</v>
      </c>
      <c r="W21" s="86">
        <f t="shared" si="14"/>
        <v>0.25</v>
      </c>
      <c r="X21" s="85">
        <f t="shared" si="15"/>
        <v>0.488431876606684</v>
      </c>
      <c r="Y21" s="76">
        <f t="shared" si="16"/>
        <v>0.8</v>
      </c>
      <c r="Z21" s="87">
        <v>0</v>
      </c>
      <c r="AA21" s="87">
        <v>0</v>
      </c>
      <c r="AB21" s="28">
        <f t="shared" si="5"/>
        <v>0.12</v>
      </c>
      <c r="AC21" s="82">
        <f t="shared" si="17"/>
        <v>128940.404679473</v>
      </c>
    </row>
    <row r="22" s="1" customFormat="1" ht="15" spans="1:32">
      <c r="B22" s="47" t="s">
        <v>57</v>
      </c>
      <c r="C22" s="48"/>
      <c r="D22" s="47"/>
      <c r="E22" s="49"/>
      <c r="F22" s="50" t="s">
        <v>58</v>
      </c>
      <c r="G22" s="51">
        <f>MIN(100%,SUM(G16:G21))</f>
        <v>0.778</v>
      </c>
      <c r="H22" s="50" t="s">
        <v>59</v>
      </c>
      <c r="I22" s="51">
        <f>SUM(I16:I21)</f>
        <v>2.95</v>
      </c>
      <c r="J22" s="52"/>
      <c r="K22" s="88"/>
      <c r="L22" s="47"/>
      <c r="M22" s="48"/>
      <c r="O22" s="36">
        <v>1</v>
      </c>
      <c r="P22" s="74" t="s">
        <v>82</v>
      </c>
      <c r="Q22" s="43">
        <v>2.3262</v>
      </c>
      <c r="R22" s="53" t="s">
        <v>78</v>
      </c>
      <c r="S22" s="83">
        <f t="shared" si="11"/>
        <v>2586.086</v>
      </c>
      <c r="T22" s="84">
        <f t="shared" si="12"/>
        <v>1.68544755970924</v>
      </c>
      <c r="U22" s="84">
        <f t="shared" si="18"/>
        <v>1.53</v>
      </c>
      <c r="V22" s="85">
        <f t="shared" si="13"/>
        <v>2.5171</v>
      </c>
      <c r="W22" s="86">
        <f t="shared" si="14"/>
        <v>0.25</v>
      </c>
      <c r="X22" s="85">
        <f t="shared" si="15"/>
        <v>0.488431876606684</v>
      </c>
      <c r="Y22" s="76">
        <f t="shared" si="16"/>
        <v>0.8</v>
      </c>
      <c r="Z22" s="87">
        <v>0</v>
      </c>
      <c r="AA22" s="87">
        <v>0</v>
      </c>
      <c r="AB22" s="28">
        <f t="shared" si="5"/>
        <v>0.12</v>
      </c>
      <c r="AC22" s="82">
        <f t="shared" si="17"/>
        <v>20957.1888876556</v>
      </c>
    </row>
    <row r="23" s="1" customFormat="1" ht="15" spans="1:32">
      <c r="B23" s="53"/>
      <c r="C23" s="53"/>
      <c r="E23" s="54"/>
      <c r="F23" s="16" t="s">
        <v>61</v>
      </c>
      <c r="G23" s="55">
        <f>MAX(0,SUM(G16:G21)-1)</f>
        <v>0</v>
      </c>
      <c r="J23" s="2"/>
      <c r="K23" s="2"/>
      <c r="O23" s="36">
        <v>1</v>
      </c>
      <c r="P23" s="74" t="s">
        <v>83</v>
      </c>
      <c r="Q23" s="43">
        <v>1</v>
      </c>
      <c r="R23" s="53" t="s">
        <v>70</v>
      </c>
      <c r="S23" s="83">
        <f t="shared" si="11"/>
        <v>2586.086</v>
      </c>
      <c r="T23" s="84">
        <f t="shared" si="12"/>
        <v>1.68544755970924</v>
      </c>
      <c r="U23" s="84">
        <f t="shared" si="18"/>
        <v>1.53</v>
      </c>
      <c r="V23" s="85">
        <f t="shared" si="13"/>
        <v>2.5171</v>
      </c>
      <c r="W23" s="86">
        <f t="shared" si="14"/>
        <v>0.25</v>
      </c>
      <c r="X23" s="85">
        <f t="shared" si="15"/>
        <v>0.488431876606684</v>
      </c>
      <c r="Y23" s="76">
        <f t="shared" si="16"/>
        <v>0.8</v>
      </c>
      <c r="Z23" s="87">
        <v>0</v>
      </c>
      <c r="AA23" s="87">
        <v>0</v>
      </c>
      <c r="AB23" s="28">
        <f t="shared" si="5"/>
        <v>0.12</v>
      </c>
      <c r="AC23" s="82">
        <f t="shared" si="17"/>
        <v>9009.19477588152</v>
      </c>
    </row>
    <row r="24" s="1" customFormat="1" ht="15" spans="1:32">
      <c r="B24" s="53"/>
      <c r="C24" s="53"/>
      <c r="E24" s="54"/>
      <c r="J24" s="2"/>
      <c r="K24" s="2"/>
      <c r="O24" s="63">
        <v>1</v>
      </c>
      <c r="P24" s="74" t="s">
        <v>84</v>
      </c>
      <c r="Q24" s="52">
        <v>2.736</v>
      </c>
      <c r="R24" s="89" t="s">
        <v>26</v>
      </c>
      <c r="S24" s="90">
        <f t="shared" si="11"/>
        <v>2586.086</v>
      </c>
      <c r="T24" s="91">
        <f t="shared" si="12"/>
        <v>1.68544755970924</v>
      </c>
      <c r="U24" s="91">
        <f t="shared" si="18"/>
        <v>1.53</v>
      </c>
      <c r="V24" s="92">
        <f t="shared" si="13"/>
        <v>2.5171</v>
      </c>
      <c r="W24" s="93">
        <f t="shared" si="14"/>
        <v>0.25</v>
      </c>
      <c r="X24" s="92">
        <f t="shared" si="15"/>
        <v>0.488431876606684</v>
      </c>
      <c r="Y24" s="76">
        <f t="shared" si="16"/>
        <v>0.8</v>
      </c>
      <c r="Z24" s="94">
        <v>0</v>
      </c>
      <c r="AA24" s="94">
        <v>0</v>
      </c>
      <c r="AB24" s="28">
        <f t="shared" si="5"/>
        <v>0.12</v>
      </c>
      <c r="AC24" s="82">
        <f t="shared" si="17"/>
        <v>24649.1569068118</v>
      </c>
      <c r="AD24" s="56"/>
    </row>
    <row r="25" s="1" customFormat="1" ht="15" spans="1:32">
      <c r="A25" s="95"/>
      <c r="B25" s="96" t="s">
        <v>85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</row>
    <row r="26" s="1" customFormat="1" ht="15" spans="1:32">
      <c r="A26" s="95" t="s">
        <v>86</v>
      </c>
      <c r="B26" s="97" t="s">
        <v>22</v>
      </c>
      <c r="C26" s="98"/>
      <c r="D26" s="97" t="s">
        <v>10</v>
      </c>
      <c r="E26" s="98"/>
      <c r="F26" s="97" t="s">
        <v>23</v>
      </c>
      <c r="G26" s="98"/>
      <c r="H26" s="97" t="s">
        <v>24</v>
      </c>
      <c r="I26" s="98"/>
      <c r="J26" s="97" t="s">
        <v>12</v>
      </c>
      <c r="K26" s="98"/>
      <c r="L26" s="97" t="s">
        <v>87</v>
      </c>
      <c r="M26" s="98"/>
      <c r="O26" s="72">
        <v>0</v>
      </c>
      <c r="P26" s="78" t="s">
        <v>88</v>
      </c>
      <c r="Q26" s="78">
        <v>1.0935</v>
      </c>
      <c r="R26" s="76" t="s">
        <v>89</v>
      </c>
      <c r="S26" s="76">
        <v>10027</v>
      </c>
      <c r="T26" s="78">
        <v>0</v>
      </c>
      <c r="U26" s="78">
        <v>0</v>
      </c>
      <c r="V26" s="79">
        <v>1</v>
      </c>
      <c r="W26" s="80">
        <v>0</v>
      </c>
      <c r="X26" s="79">
        <f t="shared" ref="X26:X30" si="19">$AF$3</f>
        <v>0.488431876606684</v>
      </c>
      <c r="Y26" s="76">
        <f t="shared" ref="Y26:Y30" si="20">$AF$13</f>
        <v>0.8</v>
      </c>
      <c r="Z26" s="81">
        <v>1.2</v>
      </c>
      <c r="AA26" s="81">
        <v>0</v>
      </c>
      <c r="AB26" s="81">
        <v>0.5</v>
      </c>
      <c r="AC26" s="99">
        <f t="shared" ref="AC26:AC30" si="21">Q26*$S$30*(1+T26)*(1+U26)*V26*(1+W26)*X26*Y26*(1+Z26)*(1+AA26)*(1+AB26)*O26</f>
        <v>0</v>
      </c>
    </row>
    <row r="27" s="1" customFormat="1" ht="15" spans="1:32">
      <c r="A27" s="95">
        <v>1357</v>
      </c>
      <c r="B27" s="100" t="s">
        <v>27</v>
      </c>
      <c r="C27" s="101">
        <f>288+337</f>
        <v>625</v>
      </c>
      <c r="D27" s="100" t="s">
        <v>28</v>
      </c>
      <c r="E27" s="46"/>
      <c r="F27" s="100" t="s">
        <v>90</v>
      </c>
      <c r="G27" s="102">
        <v>0.05</v>
      </c>
      <c r="H27" s="100" t="s">
        <v>90</v>
      </c>
      <c r="I27" s="46">
        <v>1.5</v>
      </c>
      <c r="J27" s="103" t="s">
        <v>30</v>
      </c>
      <c r="K27" s="46">
        <v>0.25</v>
      </c>
      <c r="L27" s="100" t="s">
        <v>86</v>
      </c>
      <c r="M27" s="102">
        <f>10.9%*3</f>
        <v>0.327</v>
      </c>
      <c r="O27" s="30">
        <v>0</v>
      </c>
      <c r="P27" s="53" t="s">
        <v>91</v>
      </c>
      <c r="Q27" s="84">
        <v>5.9643</v>
      </c>
      <c r="R27" s="53" t="s">
        <v>89</v>
      </c>
      <c r="S27" s="53">
        <v>10027</v>
      </c>
      <c r="T27" s="84">
        <v>0</v>
      </c>
      <c r="U27" s="84">
        <v>0</v>
      </c>
      <c r="V27" s="85">
        <v>1</v>
      </c>
      <c r="W27" s="86">
        <v>0</v>
      </c>
      <c r="X27" s="85">
        <f t="shared" si="19"/>
        <v>0.488431876606684</v>
      </c>
      <c r="Y27" s="53">
        <f t="shared" si="20"/>
        <v>0.8</v>
      </c>
      <c r="Z27" s="87">
        <v>0</v>
      </c>
      <c r="AA27" s="87">
        <v>0</v>
      </c>
      <c r="AB27" s="87">
        <v>0.5</v>
      </c>
      <c r="AC27" s="104">
        <f t="shared" si="21"/>
        <v>0</v>
      </c>
    </row>
    <row r="28" s="1" customFormat="1" ht="15" spans="1:32">
      <c r="A28" s="105">
        <f>16%+7.6*2%</f>
        <v>0.312</v>
      </c>
      <c r="B28" s="100" t="s">
        <v>92</v>
      </c>
      <c r="C28" s="46"/>
      <c r="D28" s="100" t="s">
        <v>93</v>
      </c>
      <c r="E28" s="46"/>
      <c r="F28" s="100" t="s">
        <v>36</v>
      </c>
      <c r="G28" s="102"/>
      <c r="H28" s="100" t="s">
        <v>94</v>
      </c>
      <c r="I28" s="102">
        <f>M29</f>
        <v>0.486</v>
      </c>
      <c r="J28" s="106" t="s">
        <v>95</v>
      </c>
      <c r="K28" s="102"/>
      <c r="L28" s="100" t="s">
        <v>23</v>
      </c>
      <c r="M28" s="102">
        <f>2*8.1%</f>
        <v>0.162</v>
      </c>
      <c r="O28" s="30">
        <v>0</v>
      </c>
      <c r="P28" s="53" t="s">
        <v>96</v>
      </c>
      <c r="Q28" s="84">
        <v>18.8075</v>
      </c>
      <c r="R28" s="53" t="s">
        <v>89</v>
      </c>
      <c r="S28" s="53">
        <v>10027</v>
      </c>
      <c r="T28" s="84">
        <v>0</v>
      </c>
      <c r="U28" s="84">
        <v>0</v>
      </c>
      <c r="V28" s="85">
        <v>1</v>
      </c>
      <c r="W28" s="86">
        <v>0</v>
      </c>
      <c r="X28" s="85">
        <f t="shared" si="19"/>
        <v>0.488431876606684</v>
      </c>
      <c r="Y28" s="53">
        <f t="shared" si="20"/>
        <v>0.8</v>
      </c>
      <c r="Z28" s="87">
        <v>0</v>
      </c>
      <c r="AA28" s="87">
        <v>0</v>
      </c>
      <c r="AB28" s="87">
        <v>0.5</v>
      </c>
      <c r="AC28" s="104">
        <f t="shared" si="21"/>
        <v>0</v>
      </c>
    </row>
    <row r="29" s="1" customFormat="1" ht="15" spans="1:32">
      <c r="A29" s="105">
        <f>36%+M27</f>
        <v>0.687</v>
      </c>
      <c r="B29" s="100" t="s">
        <v>97</v>
      </c>
      <c r="C29" s="46"/>
      <c r="D29" s="100" t="s">
        <v>98</v>
      </c>
      <c r="E29" s="46"/>
      <c r="F29" s="100" t="s">
        <v>42</v>
      </c>
      <c r="G29" s="102"/>
      <c r="H29" s="100" t="s">
        <v>99</v>
      </c>
      <c r="I29" s="102"/>
      <c r="J29" s="106" t="s">
        <v>100</v>
      </c>
      <c r="K29" s="102"/>
      <c r="L29" s="100" t="s">
        <v>46</v>
      </c>
      <c r="M29" s="102">
        <f>3*16.2%</f>
        <v>0.486</v>
      </c>
      <c r="O29" s="30">
        <v>0</v>
      </c>
      <c r="P29" s="53" t="s">
        <v>101</v>
      </c>
      <c r="Q29" s="84">
        <v>2.9822</v>
      </c>
      <c r="R29" s="53" t="s">
        <v>89</v>
      </c>
      <c r="S29" s="53">
        <v>10027</v>
      </c>
      <c r="T29" s="84">
        <v>0</v>
      </c>
      <c r="U29" s="84">
        <v>0</v>
      </c>
      <c r="V29" s="85">
        <v>1</v>
      </c>
      <c r="W29" s="86">
        <v>0</v>
      </c>
      <c r="X29" s="85">
        <f t="shared" si="19"/>
        <v>0.488431876606684</v>
      </c>
      <c r="Y29" s="53">
        <f t="shared" si="20"/>
        <v>0.8</v>
      </c>
      <c r="Z29" s="87">
        <v>0</v>
      </c>
      <c r="AA29" s="87">
        <v>0</v>
      </c>
      <c r="AB29" s="87">
        <v>0.5</v>
      </c>
      <c r="AC29" s="104">
        <f t="shared" si="21"/>
        <v>0</v>
      </c>
    </row>
    <row r="30" s="1" customFormat="1" ht="15" spans="1:32">
      <c r="A30" s="105">
        <v>0.418</v>
      </c>
      <c r="B30" s="100" t="s">
        <v>94</v>
      </c>
      <c r="C30" s="107">
        <f>25%+15%</f>
        <v>0.4</v>
      </c>
      <c r="D30" s="100" t="s">
        <v>102</v>
      </c>
      <c r="E30" s="46">
        <f>48%</f>
        <v>0.48</v>
      </c>
      <c r="F30" s="100" t="s">
        <v>94</v>
      </c>
      <c r="G30" s="102">
        <f>M28</f>
        <v>0.162</v>
      </c>
      <c r="H30" s="100"/>
      <c r="I30" s="102"/>
      <c r="J30" s="106"/>
      <c r="K30" s="102"/>
      <c r="L30" s="100" t="s">
        <v>103</v>
      </c>
      <c r="M30" s="102">
        <f>8.6%*2</f>
        <v>0.172</v>
      </c>
      <c r="O30" s="47">
        <v>1</v>
      </c>
      <c r="P30" s="89" t="s">
        <v>104</v>
      </c>
      <c r="Q30" s="91">
        <v>16</v>
      </c>
      <c r="R30" s="89" t="s">
        <v>105</v>
      </c>
      <c r="S30" s="89">
        <v>10027</v>
      </c>
      <c r="T30" s="91">
        <v>0</v>
      </c>
      <c r="U30" s="91">
        <v>0</v>
      </c>
      <c r="V30" s="92">
        <v>1</v>
      </c>
      <c r="W30" s="93">
        <v>0</v>
      </c>
      <c r="X30" s="92">
        <f t="shared" si="19"/>
        <v>0.488431876606684</v>
      </c>
      <c r="Y30" s="89">
        <f t="shared" si="20"/>
        <v>0.8</v>
      </c>
      <c r="Z30" s="94">
        <v>0</v>
      </c>
      <c r="AA30" s="94">
        <v>0</v>
      </c>
      <c r="AB30" s="94">
        <v>0.1</v>
      </c>
      <c r="AC30" s="108">
        <f t="shared" si="21"/>
        <v>68956.8904884319</v>
      </c>
      <c r="AD30" s="56"/>
    </row>
    <row r="31" s="1" customFormat="1" spans="1:32">
      <c r="A31" s="109">
        <v>0.2</v>
      </c>
      <c r="B31" s="100" t="s">
        <v>106</v>
      </c>
      <c r="C31" s="107"/>
      <c r="D31" s="100" t="s">
        <v>107</v>
      </c>
      <c r="E31" s="110"/>
      <c r="F31" s="100" t="s">
        <v>108</v>
      </c>
      <c r="G31" s="102"/>
      <c r="H31" s="100"/>
      <c r="I31" s="102"/>
      <c r="J31" s="106"/>
      <c r="K31" s="102"/>
      <c r="L31" s="100"/>
      <c r="M31" s="102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s="1" customFormat="1" ht="15" spans="1:32">
      <c r="A32" s="95"/>
      <c r="B32" s="100" t="s">
        <v>53</v>
      </c>
      <c r="C32" s="101">
        <v>350</v>
      </c>
      <c r="D32" s="100"/>
      <c r="E32" s="46"/>
      <c r="F32" s="111" t="s">
        <v>58</v>
      </c>
      <c r="G32" s="112">
        <f>MIN(100%,SUM(G27:G31))</f>
        <v>0.212</v>
      </c>
      <c r="H32" s="111" t="s">
        <v>59</v>
      </c>
      <c r="I32" s="113">
        <f>SUM(I27:I31)</f>
        <v>1.986</v>
      </c>
      <c r="J32" s="106"/>
      <c r="K32" s="102"/>
      <c r="L32" s="100"/>
      <c r="M32" s="101"/>
      <c r="O32" s="62">
        <v>1</v>
      </c>
      <c r="P32" s="114" t="s">
        <v>109</v>
      </c>
      <c r="Q32" s="75">
        <v>2.0279</v>
      </c>
      <c r="R32" s="76" t="s">
        <v>33</v>
      </c>
      <c r="S32" s="77">
        <f t="shared" ref="S32:S35" si="22">C$34</f>
        <v>1225</v>
      </c>
      <c r="T32" s="78">
        <f t="shared" ref="T32:T35" si="23">S32/$C$27-1</f>
        <v>0.96</v>
      </c>
      <c r="U32" s="78">
        <f t="shared" ref="U32:U35" si="24">E$30</f>
        <v>0.48</v>
      </c>
      <c r="V32" s="79">
        <f t="shared" ref="V32:V35" si="25">1+$G$32*($I$32-1)</f>
        <v>1.209032</v>
      </c>
      <c r="W32" s="80">
        <f t="shared" ref="W32:W37" si="26">K$27</f>
        <v>0.25</v>
      </c>
      <c r="X32" s="79">
        <f t="shared" ref="X32:X37" si="27">$AF$3</f>
        <v>0.488431876606684</v>
      </c>
      <c r="Y32" s="76">
        <f t="shared" ref="Y32:Y37" si="28">$AF$14</f>
        <v>0.8</v>
      </c>
      <c r="Z32" s="81">
        <v>0</v>
      </c>
      <c r="AA32" s="81">
        <v>0</v>
      </c>
      <c r="AB32" s="28">
        <f t="shared" ref="AB32:AB37" si="29">$AF$17</f>
        <v>0.12</v>
      </c>
      <c r="AC32" s="19">
        <f t="shared" ref="AC32:AC35" si="30">Q32*$C$27*(1+T32)*(1+U32)*V32*(1+W32)*X32*Y32*(1+Z32)*(1+AA32)*(1+AB32)*O32</f>
        <v>2431.66731495268</v>
      </c>
    </row>
    <row r="33" s="1" customFormat="1" ht="15" spans="1:29">
      <c r="A33" s="95"/>
      <c r="B33" s="115" t="s">
        <v>57</v>
      </c>
      <c r="C33" s="116"/>
      <c r="D33" s="115" t="s">
        <v>110</v>
      </c>
      <c r="E33" s="117">
        <f>M30</f>
        <v>0.172</v>
      </c>
      <c r="F33" s="115"/>
      <c r="G33" s="118"/>
      <c r="H33" s="115"/>
      <c r="I33" s="116"/>
      <c r="J33" s="119"/>
      <c r="K33" s="118"/>
      <c r="L33" s="115"/>
      <c r="M33" s="116"/>
      <c r="N33" s="120"/>
      <c r="O33" s="121">
        <v>1</v>
      </c>
      <c r="P33" s="114" t="s">
        <v>111</v>
      </c>
      <c r="Q33" s="43">
        <f>22.27%+16.71%*2+23.86%+23.86%+17.9%*4+41.36%+10.34%*6</f>
        <v>2.7841</v>
      </c>
      <c r="R33" s="53" t="s">
        <v>1</v>
      </c>
      <c r="S33" s="83">
        <f t="shared" si="22"/>
        <v>1225</v>
      </c>
      <c r="T33" s="84">
        <f t="shared" si="23"/>
        <v>0.96</v>
      </c>
      <c r="U33" s="84">
        <f t="shared" si="24"/>
        <v>0.48</v>
      </c>
      <c r="V33" s="85">
        <f t="shared" si="25"/>
        <v>1.209032</v>
      </c>
      <c r="W33" s="86">
        <f t="shared" si="26"/>
        <v>0.25</v>
      </c>
      <c r="X33" s="85">
        <f t="shared" si="27"/>
        <v>0.488431876606684</v>
      </c>
      <c r="Y33" s="53">
        <f t="shared" si="28"/>
        <v>0.8</v>
      </c>
      <c r="Z33" s="87">
        <v>0</v>
      </c>
      <c r="AA33" s="87">
        <v>0</v>
      </c>
      <c r="AB33" s="28">
        <f t="shared" si="29"/>
        <v>0.12</v>
      </c>
      <c r="AC33" s="19">
        <f t="shared" si="30"/>
        <v>3338.43136819359</v>
      </c>
    </row>
    <row r="34" s="1" customFormat="1" ht="15" spans="1:29">
      <c r="A34" s="95">
        <f>A27*(1+A28+A29+A30+A31)</f>
        <v>3551.269</v>
      </c>
      <c r="B34" s="122"/>
      <c r="C34" s="122">
        <f>C27*(1+C30)+C32</f>
        <v>1225</v>
      </c>
      <c r="D34" s="122"/>
      <c r="E34" s="122"/>
      <c r="F34" s="122" t="s">
        <v>112</v>
      </c>
      <c r="G34" s="123"/>
      <c r="H34" s="122"/>
      <c r="I34" s="122"/>
      <c r="J34" s="122"/>
      <c r="K34" s="122"/>
      <c r="L34" s="122"/>
      <c r="M34" s="122"/>
      <c r="N34" s="53"/>
      <c r="O34" s="121">
        <v>1</v>
      </c>
      <c r="P34" s="114" t="s">
        <v>113</v>
      </c>
      <c r="Q34" s="43">
        <f>39.77%*4</f>
        <v>1.5908</v>
      </c>
      <c r="R34" s="53" t="s">
        <v>78</v>
      </c>
      <c r="S34" s="83">
        <f t="shared" si="22"/>
        <v>1225</v>
      </c>
      <c r="T34" s="84">
        <f t="shared" si="23"/>
        <v>0.96</v>
      </c>
      <c r="U34" s="84">
        <f t="shared" si="24"/>
        <v>0.48</v>
      </c>
      <c r="V34" s="85">
        <f t="shared" si="25"/>
        <v>1.209032</v>
      </c>
      <c r="W34" s="86">
        <f t="shared" si="26"/>
        <v>0.25</v>
      </c>
      <c r="X34" s="85">
        <f t="shared" si="27"/>
        <v>0.488431876606684</v>
      </c>
      <c r="Y34" s="53">
        <f t="shared" si="28"/>
        <v>0.8</v>
      </c>
      <c r="Z34" s="87">
        <v>0</v>
      </c>
      <c r="AA34" s="87">
        <v>0</v>
      </c>
      <c r="AB34" s="28">
        <f t="shared" si="29"/>
        <v>0.12</v>
      </c>
      <c r="AC34" s="19">
        <f t="shared" si="30"/>
        <v>1907.53802683896</v>
      </c>
    </row>
    <row r="35" s="1" customFormat="1" ht="15" spans="1:29">
      <c r="A35" s="56"/>
      <c r="B35" s="124"/>
      <c r="C35" s="124"/>
      <c r="D35" s="124"/>
      <c r="E35" s="124"/>
      <c r="F35" s="124"/>
      <c r="G35" s="125"/>
      <c r="N35" s="53"/>
      <c r="O35" s="121">
        <v>1</v>
      </c>
      <c r="P35" s="114" t="s">
        <v>114</v>
      </c>
      <c r="Q35" s="43">
        <v>3.51</v>
      </c>
      <c r="R35" s="53" t="s">
        <v>26</v>
      </c>
      <c r="S35" s="83">
        <f t="shared" si="22"/>
        <v>1225</v>
      </c>
      <c r="T35" s="84">
        <f t="shared" si="23"/>
        <v>0.96</v>
      </c>
      <c r="U35" s="84">
        <f t="shared" si="24"/>
        <v>0.48</v>
      </c>
      <c r="V35" s="85">
        <f t="shared" si="25"/>
        <v>1.209032</v>
      </c>
      <c r="W35" s="86">
        <f t="shared" si="26"/>
        <v>0.25</v>
      </c>
      <c r="X35" s="85">
        <f t="shared" si="27"/>
        <v>0.488431876606684</v>
      </c>
      <c r="Y35" s="53">
        <f t="shared" si="28"/>
        <v>0.8</v>
      </c>
      <c r="Z35" s="87">
        <v>0</v>
      </c>
      <c r="AA35" s="87">
        <v>0</v>
      </c>
      <c r="AB35" s="28">
        <f t="shared" si="29"/>
        <v>0.12</v>
      </c>
      <c r="AC35" s="19">
        <f t="shared" si="30"/>
        <v>4208.86250578624</v>
      </c>
    </row>
    <row r="36" s="1" customFormat="1" ht="15" spans="1:29">
      <c r="B36" s="126" t="s">
        <v>115</v>
      </c>
      <c r="G36" s="2"/>
      <c r="N36" s="53"/>
      <c r="O36" s="121">
        <v>1</v>
      </c>
      <c r="P36" s="114" t="s">
        <v>116</v>
      </c>
      <c r="Q36" s="43">
        <v>5.2233</v>
      </c>
      <c r="R36" s="53" t="s">
        <v>75</v>
      </c>
      <c r="S36" s="83">
        <f>A34</f>
        <v>3551.269</v>
      </c>
      <c r="T36" s="84">
        <v>0</v>
      </c>
      <c r="U36" s="84">
        <f>E$30+M30</f>
        <v>0.652</v>
      </c>
      <c r="V36" s="85">
        <f>I32+1.6</f>
        <v>3.586</v>
      </c>
      <c r="W36" s="86">
        <f t="shared" si="26"/>
        <v>0.25</v>
      </c>
      <c r="X36" s="85">
        <f t="shared" si="27"/>
        <v>0.488431876606684</v>
      </c>
      <c r="Y36" s="53">
        <f t="shared" si="28"/>
        <v>0.8</v>
      </c>
      <c r="Z36" s="87">
        <v>0</v>
      </c>
      <c r="AA36" s="87">
        <v>0</v>
      </c>
      <c r="AB36" s="28">
        <f t="shared" si="29"/>
        <v>0.12</v>
      </c>
      <c r="AC36" s="19">
        <f>Q36*$S$36*(1+T36)*(1+U36)*V36*(1+W36)*X36*Y36*(1+Z36)*(1+AA36)*(1+AB36)*O36</f>
        <v>60113.3444655053</v>
      </c>
    </row>
    <row r="37" s="1" customFormat="1" ht="17.5" spans="1:29">
      <c r="B37" s="127" t="s">
        <v>117</v>
      </c>
      <c r="C37" s="128" t="s">
        <v>118</v>
      </c>
      <c r="D37" s="128" t="s">
        <v>119</v>
      </c>
      <c r="E37" s="128" t="s">
        <v>120</v>
      </c>
      <c r="F37" s="128" t="s">
        <v>121</v>
      </c>
      <c r="G37" s="2"/>
      <c r="I37" s="129" t="s">
        <v>122</v>
      </c>
      <c r="J37" s="129" t="s">
        <v>119</v>
      </c>
      <c r="N37" s="53"/>
      <c r="O37" s="130">
        <v>1</v>
      </c>
      <c r="P37" s="114" t="s">
        <v>123</v>
      </c>
      <c r="Q37" s="52">
        <f>258.46%</f>
        <v>2.5846</v>
      </c>
      <c r="R37" s="89" t="s">
        <v>78</v>
      </c>
      <c r="S37" s="90">
        <f>C$34</f>
        <v>1225</v>
      </c>
      <c r="T37" s="91">
        <f>S37/$C$27-1</f>
        <v>0.96</v>
      </c>
      <c r="U37" s="91">
        <f>E$30</f>
        <v>0.48</v>
      </c>
      <c r="V37" s="92">
        <f>1+$G$32*($I$32-1)</f>
        <v>1.209032</v>
      </c>
      <c r="W37" s="93">
        <f t="shared" si="26"/>
        <v>0.25</v>
      </c>
      <c r="X37" s="92">
        <f t="shared" si="27"/>
        <v>0.488431876606684</v>
      </c>
      <c r="Y37" s="89">
        <f t="shared" si="28"/>
        <v>0.8</v>
      </c>
      <c r="Z37" s="94">
        <v>0</v>
      </c>
      <c r="AA37" s="94">
        <v>0</v>
      </c>
      <c r="AB37" s="28">
        <f t="shared" si="29"/>
        <v>0.12</v>
      </c>
      <c r="AC37" s="19">
        <f>Q37*$C$27*(1+T37)*(1+U37)*V37*(1+W37)*X37*Y37*(1+Z37)*(1+AA37)*(1+AB37)*O37</f>
        <v>3099.20969585616</v>
      </c>
    </row>
    <row r="38" s="1" customFormat="1" ht="17.5" spans="1:29">
      <c r="B38" s="4" t="s">
        <v>3</v>
      </c>
      <c r="C38" s="131">
        <f>SUM(AC3:AC15)</f>
        <v>1356870.64402309</v>
      </c>
      <c r="D38" s="131">
        <f t="shared" ref="D38:D41" si="31">C38/$E$38</f>
        <v>54274.8257609237</v>
      </c>
      <c r="E38" s="132">
        <v>25</v>
      </c>
      <c r="F38" s="133">
        <f t="shared" ref="F38:F41" si="32">C38/$C$43</f>
        <v>0.848424069117629</v>
      </c>
      <c r="G38" s="2"/>
      <c r="I38" s="134" t="s">
        <v>124</v>
      </c>
      <c r="J38" s="134">
        <v>79375</v>
      </c>
      <c r="Q38" s="2"/>
      <c r="U38" s="2"/>
      <c r="V38" s="3"/>
      <c r="AB38" s="4"/>
      <c r="AC38" s="4"/>
    </row>
    <row r="39" s="1" customFormat="1" ht="17.5" spans="1:29">
      <c r="B39" s="4" t="s">
        <v>136</v>
      </c>
      <c r="C39" s="131">
        <v>123456</v>
      </c>
      <c r="D39" s="131">
        <f t="shared" si="31"/>
        <v>4938.24</v>
      </c>
      <c r="E39" s="135"/>
      <c r="F39" s="133">
        <f t="shared" si="32"/>
        <v>0.0771945670269829</v>
      </c>
      <c r="G39" s="2"/>
      <c r="I39" s="134" t="s">
        <v>125</v>
      </c>
      <c r="J39" s="134">
        <v>83549</v>
      </c>
      <c r="Q39" s="2"/>
      <c r="U39" s="2"/>
      <c r="V39" s="3"/>
      <c r="AB39" s="4"/>
      <c r="AC39" s="4"/>
    </row>
    <row r="40" s="1" customFormat="1" ht="17.5" spans="1:29">
      <c r="B40" s="4" t="s">
        <v>108</v>
      </c>
      <c r="C40" s="131">
        <v>50000</v>
      </c>
      <c r="D40" s="131">
        <f t="shared" si="31"/>
        <v>2000</v>
      </c>
      <c r="E40" s="136"/>
      <c r="F40" s="133">
        <f t="shared" si="32"/>
        <v>0.0312639997355264</v>
      </c>
      <c r="G40" s="2"/>
      <c r="I40" s="134" t="s">
        <v>126</v>
      </c>
      <c r="J40" s="134">
        <v>87722</v>
      </c>
      <c r="Q40" s="2"/>
      <c r="U40" s="2"/>
      <c r="V40" s="3"/>
      <c r="AB40" s="4"/>
      <c r="AC40" s="4"/>
    </row>
    <row r="41" s="1" customFormat="1" ht="17.5" spans="1:29">
      <c r="B41" s="4" t="s">
        <v>104</v>
      </c>
      <c r="C41" s="131">
        <f>AC30</f>
        <v>68956.8904884319</v>
      </c>
      <c r="D41" s="131">
        <f t="shared" si="31"/>
        <v>2758.27561953728</v>
      </c>
      <c r="E41" s="136"/>
      <c r="F41" s="133">
        <f t="shared" si="32"/>
        <v>0.0431173641198612</v>
      </c>
      <c r="G41" s="2"/>
      <c r="I41" s="134" t="s">
        <v>127</v>
      </c>
      <c r="J41" s="134">
        <v>91896</v>
      </c>
      <c r="Q41" s="2"/>
      <c r="U41" s="2"/>
      <c r="V41" s="3"/>
      <c r="AB41" s="4"/>
      <c r="AC41" s="4"/>
    </row>
    <row r="42" s="1" customFormat="1" ht="15" spans="1:29">
      <c r="B42" s="4"/>
      <c r="C42" s="131"/>
      <c r="D42" s="131"/>
      <c r="E42" s="136"/>
      <c r="F42" s="133"/>
      <c r="G42" s="2"/>
      <c r="Q42" s="2"/>
      <c r="U42" s="2"/>
      <c r="V42" s="3"/>
      <c r="AB42" s="4"/>
      <c r="AC42" s="4"/>
    </row>
    <row r="43" s="1" customFormat="1" ht="17.5" spans="1:29">
      <c r="B43" s="4" t="s">
        <v>128</v>
      </c>
      <c r="C43" s="137">
        <f>SUM(C38:C41)</f>
        <v>1599283.53451152</v>
      </c>
      <c r="D43" s="137">
        <f>C43/E38</f>
        <v>63971.341380461</v>
      </c>
      <c r="E43" s="138"/>
      <c r="F43" s="139"/>
      <c r="G43" s="2"/>
      <c r="I43" s="129" t="s">
        <v>137</v>
      </c>
      <c r="J43" s="129" t="s">
        <v>119</v>
      </c>
      <c r="L43" s="129" t="s">
        <v>135</v>
      </c>
      <c r="M43" s="129" t="s">
        <v>119</v>
      </c>
      <c r="Q43" s="2"/>
      <c r="U43" s="2"/>
      <c r="V43" s="3"/>
      <c r="AB43" s="4"/>
      <c r="AC43" s="4"/>
    </row>
    <row r="44" s="1" customFormat="1" ht="17.5" spans="1:29">
      <c r="B44" s="4"/>
      <c r="C44" s="4"/>
      <c r="D44" s="4"/>
      <c r="G44" s="140"/>
      <c r="I44" s="134" t="s">
        <v>124</v>
      </c>
      <c r="J44" s="134">
        <v>63573</v>
      </c>
      <c r="L44" s="134" t="s">
        <v>124</v>
      </c>
      <c r="M44" s="134">
        <v>78336</v>
      </c>
      <c r="Q44" s="2"/>
      <c r="U44" s="2"/>
      <c r="V44" s="3"/>
      <c r="AB44" s="4"/>
      <c r="AC44" s="4"/>
    </row>
    <row r="45" s="1" customFormat="1" ht="17.5" spans="1:29">
      <c r="B45" s="141" t="s">
        <v>129</v>
      </c>
      <c r="C45" s="142"/>
      <c r="D45" s="142"/>
      <c r="E45" s="142"/>
      <c r="F45" s="143"/>
      <c r="G45" s="2"/>
      <c r="I45" s="134" t="s">
        <v>125</v>
      </c>
      <c r="J45" s="134">
        <v>66572</v>
      </c>
      <c r="L45" s="134" t="s">
        <v>125</v>
      </c>
      <c r="M45" s="134">
        <v>82461</v>
      </c>
      <c r="Q45" s="2"/>
      <c r="U45" s="2"/>
      <c r="V45" s="3"/>
      <c r="AB45" s="4"/>
      <c r="AC45" s="4"/>
    </row>
    <row r="46" s="1" customFormat="1" ht="17.5" spans="1:29">
      <c r="B46" s="144"/>
      <c r="C46" s="145"/>
      <c r="D46" s="145"/>
      <c r="E46" s="145"/>
      <c r="F46" s="146"/>
      <c r="G46" s="2"/>
      <c r="I46" s="134" t="s">
        <v>126</v>
      </c>
      <c r="J46" s="134">
        <v>69572</v>
      </c>
      <c r="L46" s="134" t="s">
        <v>126</v>
      </c>
      <c r="M46" s="134">
        <v>86453</v>
      </c>
      <c r="Q46" s="2"/>
      <c r="U46" s="2"/>
      <c r="V46" s="3"/>
      <c r="AB46" s="4"/>
      <c r="AC46" s="4"/>
    </row>
    <row r="47" s="1" customFormat="1" spans="1:29">
      <c r="B47" s="147"/>
      <c r="C47" s="147"/>
      <c r="D47" s="147"/>
      <c r="E47" s="147"/>
      <c r="F47" s="147"/>
      <c r="Q47" s="2"/>
      <c r="U47" s="2"/>
      <c r="V47" s="3"/>
      <c r="AB47" s="4"/>
      <c r="AC47" s="4"/>
    </row>
    <row r="48" s="1" customFormat="1" ht="17.5" spans="1:29">
      <c r="B48" s="148" t="s">
        <v>130</v>
      </c>
      <c r="C48" s="149" t="s">
        <v>3</v>
      </c>
      <c r="D48" s="149" t="s">
        <v>131</v>
      </c>
      <c r="E48" s="76"/>
      <c r="F48" s="150"/>
      <c r="G48" s="2"/>
      <c r="I48" s="129" t="s">
        <v>138</v>
      </c>
      <c r="J48" s="129" t="s">
        <v>119</v>
      </c>
      <c r="Q48" s="2"/>
      <c r="U48" s="2"/>
      <c r="V48" s="3"/>
      <c r="AB48" s="4"/>
      <c r="AC48" s="4"/>
    </row>
    <row r="49" s="1" customFormat="1" ht="17.5" spans="2:29">
      <c r="B49" s="151"/>
      <c r="C49" s="136" t="s">
        <v>66</v>
      </c>
      <c r="D49" s="136" t="s">
        <v>132</v>
      </c>
      <c r="F49" s="152"/>
      <c r="G49" s="2"/>
      <c r="I49" s="134" t="s">
        <v>124</v>
      </c>
      <c r="J49" s="134">
        <v>61064</v>
      </c>
      <c r="Q49" s="2"/>
      <c r="U49" s="2"/>
      <c r="V49" s="3"/>
      <c r="AB49" s="4"/>
      <c r="AC49" s="4"/>
    </row>
    <row r="50" s="1" customFormat="1" ht="17.5" spans="2:29">
      <c r="B50" s="154"/>
      <c r="C50" s="155" t="s">
        <v>133</v>
      </c>
      <c r="D50" s="155" t="s">
        <v>134</v>
      </c>
      <c r="E50" s="89"/>
      <c r="F50" s="48"/>
      <c r="G50" s="2"/>
      <c r="I50" s="134" t="s">
        <v>125</v>
      </c>
      <c r="J50" s="134">
        <v>63971</v>
      </c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F57" s="4"/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G58" s="2"/>
      <c r="Q58" s="2"/>
      <c r="U58" s="2"/>
      <c r="V58" s="3"/>
      <c r="AB58" s="4"/>
      <c r="AC58" s="4"/>
    </row>
    <row r="59" s="1" customFormat="1" spans="2:29">
      <c r="G59" s="2"/>
      <c r="Q59" s="2"/>
      <c r="U59" s="2"/>
      <c r="V59" s="3"/>
      <c r="AB59" s="4"/>
      <c r="AC59" s="4"/>
    </row>
    <row r="60" s="1" customFormat="1" spans="2:29">
      <c r="B60" s="4"/>
      <c r="C60" s="4"/>
      <c r="D60" s="4"/>
      <c r="G60" s="2"/>
      <c r="Q60" s="2"/>
      <c r="U60" s="2"/>
      <c r="V60" s="3"/>
      <c r="AB60" s="4"/>
      <c r="AC60" s="4"/>
    </row>
    <row r="61" s="1" customFormat="1" spans="2:29"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C25" workbookViewId="0">
      <selection activeCell="O45" sqref="O45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9.36363636363636" style="1" customWidth="1"/>
    <col min="10" max="10" width="8.09090909090909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0</v>
      </c>
      <c r="C1" s="5" t="s">
        <v>1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0" t="s">
        <v>5</v>
      </c>
      <c r="Q2" s="11" t="s">
        <v>6</v>
      </c>
      <c r="R2" s="10" t="s">
        <v>7</v>
      </c>
      <c r="S2" s="10" t="s">
        <v>8</v>
      </c>
      <c r="T2" s="10" t="s">
        <v>9</v>
      </c>
      <c r="U2" s="11" t="s">
        <v>10</v>
      </c>
      <c r="V2" s="12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3" t="s">
        <v>17</v>
      </c>
      <c r="AC2" s="13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18">
        <v>1</v>
      </c>
      <c r="P3" s="19" t="s">
        <v>26</v>
      </c>
      <c r="Q3" s="20">
        <v>1.6102</v>
      </c>
      <c r="R3" s="21" t="s">
        <v>26</v>
      </c>
      <c r="S3" s="22">
        <f t="shared" ref="S3:S15" si="0">$C$4*(1+C$5+C$6+C$7+C$8)+C$9</f>
        <v>3391.85</v>
      </c>
      <c r="T3" s="23">
        <f t="shared" ref="T3:T15" si="1">S3/$C$4-1</f>
        <v>2.23033333333333</v>
      </c>
      <c r="U3" s="23">
        <f>IF(R3=$C$1,SUM($E$4:$E$9),SUM($E$4:$E$8))+60%</f>
        <v>2.04</v>
      </c>
      <c r="V3" s="24">
        <f t="shared" ref="V3:V15" si="2">1+$G$10*($I$10-1)</f>
        <v>2.3615</v>
      </c>
      <c r="W3" s="25">
        <f t="shared" ref="W3:W14" si="3">IF(R3=$C$1,$K$4+$K$5,$K$4)</f>
        <v>0.2</v>
      </c>
      <c r="X3" s="26">
        <f>$AF$3</f>
        <v>0.488431876606684</v>
      </c>
      <c r="Y3" s="21">
        <f t="shared" ref="Y3:Y7" si="4">$AF$14</f>
        <v>0.8</v>
      </c>
      <c r="Z3" s="27">
        <v>0</v>
      </c>
      <c r="AA3" s="27">
        <v>0</v>
      </c>
      <c r="AB3" s="28">
        <f t="shared" ref="AB3:AB24" si="5">$AF$17</f>
        <v>0.06</v>
      </c>
      <c r="AC3" s="19">
        <f t="shared" ref="AC3:AC15" si="6">Q3*$C$4*(1+T3)*(1+U3)*V3*(1+W3)*X3*Y3*(1+Z3)*(1+AA3)*(1+AB3)*O3</f>
        <v>19487.6329767522</v>
      </c>
      <c r="AD3" s="14">
        <v>0</v>
      </c>
      <c r="AE3" s="14">
        <v>0</v>
      </c>
      <c r="AF3" s="15">
        <f t="shared" ref="AF3:AF8" si="7">1520/(1520+(792+8*AG3)*(1-AE3/100))</f>
        <v>0.488431876606684</v>
      </c>
      <c r="AG3" s="29">
        <v>100</v>
      </c>
    </row>
    <row r="4" s="1" customFormat="1" ht="15" spans="2:33">
      <c r="B4" s="30" t="s">
        <v>27</v>
      </c>
      <c r="C4" s="31">
        <f>463+587</f>
        <v>1050</v>
      </c>
      <c r="D4" s="30" t="s">
        <v>28</v>
      </c>
      <c r="E4" s="32">
        <f>E1*30%</f>
        <v>0.6</v>
      </c>
      <c r="F4" s="30" t="s">
        <v>29</v>
      </c>
      <c r="G4" s="33">
        <v>0.13</v>
      </c>
      <c r="H4" s="30" t="s">
        <v>29</v>
      </c>
      <c r="I4" s="33">
        <v>1.5</v>
      </c>
      <c r="J4" s="34" t="s">
        <v>30</v>
      </c>
      <c r="K4" s="35">
        <f>15%+5%</f>
        <v>0.2</v>
      </c>
      <c r="L4" s="30" t="s">
        <v>31</v>
      </c>
      <c r="M4" s="33">
        <f>8.6%*2</f>
        <v>0.172</v>
      </c>
      <c r="O4" s="36">
        <v>1</v>
      </c>
      <c r="P4" s="19" t="s">
        <v>32</v>
      </c>
      <c r="Q4" s="37">
        <f>72.67%*3</f>
        <v>2.1801</v>
      </c>
      <c r="R4" s="38" t="s">
        <v>33</v>
      </c>
      <c r="S4" s="39">
        <f t="shared" si="0"/>
        <v>3391.85</v>
      </c>
      <c r="T4" s="40">
        <f t="shared" si="1"/>
        <v>2.23033333333333</v>
      </c>
      <c r="U4" s="40">
        <f t="shared" ref="U4:U13" si="8">IF(R4=$C$1,SUM($E$4:$E$9),SUM($E$4:$E$8))</f>
        <v>1.44</v>
      </c>
      <c r="V4" s="24">
        <f t="shared" si="2"/>
        <v>2.3615</v>
      </c>
      <c r="W4" s="41">
        <f t="shared" si="3"/>
        <v>0.2</v>
      </c>
      <c r="X4" s="26">
        <f>$AF$3</f>
        <v>0.488431876606684</v>
      </c>
      <c r="Y4" s="38">
        <f t="shared" si="4"/>
        <v>0.8</v>
      </c>
      <c r="Z4" s="42">
        <v>0</v>
      </c>
      <c r="AA4" s="42">
        <v>0</v>
      </c>
      <c r="AB4" s="28">
        <f t="shared" si="5"/>
        <v>0.06</v>
      </c>
      <c r="AC4" s="19">
        <f t="shared" si="6"/>
        <v>21177.3652489203</v>
      </c>
      <c r="AD4" s="14">
        <v>10</v>
      </c>
      <c r="AE4" s="14">
        <v>0</v>
      </c>
      <c r="AF4" s="15">
        <f>1520/(1520+(792+8*AG4)*(1-AE4/100)*(1-AD4/100))</f>
        <v>0.514765646166351</v>
      </c>
      <c r="AG4" s="29">
        <v>100</v>
      </c>
    </row>
    <row r="5" s="1" customFormat="1" ht="15" spans="2:33">
      <c r="B5" s="30" t="s">
        <v>34</v>
      </c>
      <c r="C5" s="32">
        <f>12%+12%</f>
        <v>0.24</v>
      </c>
      <c r="D5" s="30" t="s">
        <v>35</v>
      </c>
      <c r="E5" s="32">
        <v>0.4</v>
      </c>
      <c r="F5" s="30" t="s">
        <v>36</v>
      </c>
      <c r="G5" s="33">
        <v>0.243</v>
      </c>
      <c r="H5" s="30" t="s">
        <v>36</v>
      </c>
      <c r="I5" s="33">
        <v>0</v>
      </c>
      <c r="J5" s="43" t="s">
        <v>37</v>
      </c>
      <c r="K5" s="35">
        <f>20%+38%</f>
        <v>0.58</v>
      </c>
      <c r="L5" s="30" t="s">
        <v>38</v>
      </c>
      <c r="M5" s="33">
        <f>8.6%*2</f>
        <v>0.172</v>
      </c>
      <c r="O5" s="36">
        <v>2</v>
      </c>
      <c r="P5" s="19" t="s">
        <v>39</v>
      </c>
      <c r="Q5" s="37">
        <v>0.5746</v>
      </c>
      <c r="R5" s="38" t="s">
        <v>1</v>
      </c>
      <c r="S5" s="39">
        <f t="shared" si="0"/>
        <v>3391.85</v>
      </c>
      <c r="T5" s="40">
        <f t="shared" si="1"/>
        <v>2.23033333333333</v>
      </c>
      <c r="U5" s="40">
        <f t="shared" si="8"/>
        <v>1.732</v>
      </c>
      <c r="V5" s="24">
        <f t="shared" si="2"/>
        <v>2.3615</v>
      </c>
      <c r="W5" s="41">
        <f t="shared" si="3"/>
        <v>0.78</v>
      </c>
      <c r="X5" s="26">
        <f t="shared" ref="X5:X14" si="9">$AF$4</f>
        <v>0.514765646166351</v>
      </c>
      <c r="Y5" s="38">
        <f t="shared" si="4"/>
        <v>0.8</v>
      </c>
      <c r="Z5" s="42">
        <v>0</v>
      </c>
      <c r="AA5" s="42">
        <v>0</v>
      </c>
      <c r="AB5" s="28">
        <f t="shared" si="5"/>
        <v>0.06</v>
      </c>
      <c r="AC5" s="19">
        <f t="shared" si="6"/>
        <v>19540.0787866692</v>
      </c>
      <c r="AD5" s="14">
        <v>0</v>
      </c>
      <c r="AE5" s="14">
        <v>30</v>
      </c>
      <c r="AF5" s="15">
        <f t="shared" si="7"/>
        <v>0.57698147585788</v>
      </c>
      <c r="AG5" s="29">
        <v>100</v>
      </c>
    </row>
    <row r="6" s="1" customFormat="1" ht="15" spans="2:33">
      <c r="B6" s="30" t="s">
        <v>40</v>
      </c>
      <c r="C6" s="33">
        <f>18%+18%+M4+(2-E1)*30%</f>
        <v>0.532</v>
      </c>
      <c r="D6" s="30" t="s">
        <v>41</v>
      </c>
      <c r="E6" s="32">
        <v>0.12</v>
      </c>
      <c r="F6" s="30" t="s">
        <v>42</v>
      </c>
      <c r="G6" s="33"/>
      <c r="H6" s="30" t="s">
        <v>42</v>
      </c>
      <c r="I6" s="33">
        <v>0</v>
      </c>
      <c r="J6" s="43"/>
      <c r="K6" s="32"/>
      <c r="L6" s="30" t="s">
        <v>23</v>
      </c>
      <c r="M6" s="33">
        <f>8.1*5%</f>
        <v>0.405</v>
      </c>
      <c r="O6" s="36">
        <v>3</v>
      </c>
      <c r="P6" s="19" t="s">
        <v>43</v>
      </c>
      <c r="Q6" s="37">
        <f>50.42%+50.42%</f>
        <v>1.0084</v>
      </c>
      <c r="R6" s="38" t="s">
        <v>1</v>
      </c>
      <c r="S6" s="39">
        <f t="shared" si="0"/>
        <v>3391.85</v>
      </c>
      <c r="T6" s="40">
        <f t="shared" si="1"/>
        <v>2.23033333333333</v>
      </c>
      <c r="U6" s="40">
        <f t="shared" si="8"/>
        <v>1.732</v>
      </c>
      <c r="V6" s="24">
        <f t="shared" si="2"/>
        <v>2.3615</v>
      </c>
      <c r="W6" s="41">
        <f t="shared" si="3"/>
        <v>0.78</v>
      </c>
      <c r="X6" s="26">
        <f t="shared" si="9"/>
        <v>0.514765646166351</v>
      </c>
      <c r="Y6" s="38">
        <f t="shared" ref="Y6:Y15" si="10">$AF$12</f>
        <v>0.8</v>
      </c>
      <c r="Z6" s="42">
        <v>0</v>
      </c>
      <c r="AA6" s="42">
        <v>0</v>
      </c>
      <c r="AB6" s="28">
        <f t="shared" si="5"/>
        <v>0.06</v>
      </c>
      <c r="AC6" s="19">
        <f t="shared" si="6"/>
        <v>51438.0841850259</v>
      </c>
      <c r="AD6" s="14">
        <v>0</v>
      </c>
      <c r="AE6" s="14">
        <v>21.6</v>
      </c>
      <c r="AF6" s="15">
        <f t="shared" si="7"/>
        <v>0.549107555719967</v>
      </c>
      <c r="AG6" s="29">
        <v>100</v>
      </c>
    </row>
    <row r="7" s="1" customFormat="1" ht="15" spans="2:33">
      <c r="B7" s="30" t="s">
        <v>44</v>
      </c>
      <c r="C7" s="33">
        <v>0.25</v>
      </c>
      <c r="D7" s="30" t="s">
        <v>45</v>
      </c>
      <c r="E7" s="32">
        <f>12%</f>
        <v>0.12</v>
      </c>
      <c r="F7" s="30" t="s">
        <v>40</v>
      </c>
      <c r="G7" s="33">
        <f>M6</f>
        <v>0.405</v>
      </c>
      <c r="H7" s="30" t="s">
        <v>40</v>
      </c>
      <c r="I7" s="33">
        <f>M7+44%</f>
        <v>1.25</v>
      </c>
      <c r="J7" s="43"/>
      <c r="K7" s="32"/>
      <c r="L7" s="30" t="s">
        <v>46</v>
      </c>
      <c r="M7" s="32">
        <f>16.2%*5</f>
        <v>0.81</v>
      </c>
      <c r="O7" s="36">
        <v>3</v>
      </c>
      <c r="P7" s="19" t="s">
        <v>47</v>
      </c>
      <c r="Q7" s="37">
        <f>74.92%+74.92%</f>
        <v>1.4984</v>
      </c>
      <c r="R7" s="38" t="s">
        <v>1</v>
      </c>
      <c r="S7" s="39">
        <f t="shared" si="0"/>
        <v>3391.85</v>
      </c>
      <c r="T7" s="40">
        <f t="shared" si="1"/>
        <v>2.23033333333333</v>
      </c>
      <c r="U7" s="40">
        <f t="shared" si="8"/>
        <v>1.732</v>
      </c>
      <c r="V7" s="24">
        <f t="shared" si="2"/>
        <v>2.3615</v>
      </c>
      <c r="W7" s="41">
        <f t="shared" si="3"/>
        <v>0.78</v>
      </c>
      <c r="X7" s="26">
        <f t="shared" si="9"/>
        <v>0.514765646166351</v>
      </c>
      <c r="Y7" s="38">
        <f t="shared" si="4"/>
        <v>0.8</v>
      </c>
      <c r="Z7" s="42">
        <v>0</v>
      </c>
      <c r="AA7" s="42">
        <v>0</v>
      </c>
      <c r="AB7" s="28">
        <f t="shared" si="5"/>
        <v>0.06</v>
      </c>
      <c r="AC7" s="19">
        <f t="shared" si="6"/>
        <v>76432.7899076187</v>
      </c>
      <c r="AD7" s="14">
        <v>0</v>
      </c>
      <c r="AE7" s="14">
        <v>28.8</v>
      </c>
      <c r="AF7" s="15">
        <f t="shared" si="7"/>
        <v>0.572827476423627</v>
      </c>
      <c r="AG7" s="29">
        <v>100</v>
      </c>
    </row>
    <row r="8" s="1" customFormat="1" ht="15" spans="2:33">
      <c r="B8" s="30" t="s">
        <v>48</v>
      </c>
      <c r="C8" s="44">
        <f>25%+20%+22.5%+20%</f>
        <v>0.875</v>
      </c>
      <c r="D8" s="30" t="s">
        <v>49</v>
      </c>
      <c r="E8" s="45">
        <v>0.2</v>
      </c>
      <c r="F8" s="30" t="s">
        <v>50</v>
      </c>
      <c r="G8" s="33">
        <v>0</v>
      </c>
      <c r="H8" s="30" t="s">
        <v>51</v>
      </c>
      <c r="I8" s="33"/>
      <c r="J8" s="43"/>
      <c r="K8" s="32"/>
      <c r="L8" s="30"/>
      <c r="M8" s="31"/>
      <c r="O8" s="36">
        <v>2</v>
      </c>
      <c r="P8" s="19" t="s">
        <v>52</v>
      </c>
      <c r="Q8" s="37">
        <v>1.5547</v>
      </c>
      <c r="R8" s="38" t="s">
        <v>1</v>
      </c>
      <c r="S8" s="39">
        <f t="shared" si="0"/>
        <v>3391.85</v>
      </c>
      <c r="T8" s="40">
        <f t="shared" si="1"/>
        <v>2.23033333333333</v>
      </c>
      <c r="U8" s="40">
        <f t="shared" si="8"/>
        <v>1.732</v>
      </c>
      <c r="V8" s="24">
        <f t="shared" si="2"/>
        <v>2.3615</v>
      </c>
      <c r="W8" s="41">
        <f t="shared" si="3"/>
        <v>0.78</v>
      </c>
      <c r="X8" s="26">
        <f t="shared" si="9"/>
        <v>0.514765646166351</v>
      </c>
      <c r="Y8" s="38">
        <f t="shared" si="10"/>
        <v>0.8</v>
      </c>
      <c r="Z8" s="42">
        <v>0</v>
      </c>
      <c r="AA8" s="42">
        <v>0</v>
      </c>
      <c r="AB8" s="28">
        <f t="shared" si="5"/>
        <v>0.06</v>
      </c>
      <c r="AC8" s="19">
        <f t="shared" si="6"/>
        <v>52869.7537236941</v>
      </c>
      <c r="AD8" s="14">
        <v>0</v>
      </c>
      <c r="AE8" s="14">
        <v>36</v>
      </c>
      <c r="AF8" s="15">
        <f t="shared" si="7"/>
        <v>0.598689185782707</v>
      </c>
      <c r="AG8" s="29">
        <v>100</v>
      </c>
    </row>
    <row r="9" s="1" customFormat="1" ht="15" spans="2:33">
      <c r="B9" s="30" t="s">
        <v>53</v>
      </c>
      <c r="C9" s="31">
        <v>350</v>
      </c>
      <c r="D9" s="30" t="s">
        <v>54</v>
      </c>
      <c r="E9" s="46">
        <f>M5+12%</f>
        <v>0.292</v>
      </c>
      <c r="F9" s="30" t="s">
        <v>55</v>
      </c>
      <c r="G9" s="33"/>
      <c r="H9" s="30" t="s">
        <v>55</v>
      </c>
      <c r="I9" s="33"/>
      <c r="J9" s="43"/>
      <c r="K9" s="32"/>
      <c r="L9" s="30"/>
      <c r="M9" s="31"/>
      <c r="O9" s="36">
        <v>1</v>
      </c>
      <c r="P9" s="19" t="s">
        <v>56</v>
      </c>
      <c r="Q9" s="37">
        <f>26.56%*5+88.53%</f>
        <v>2.2133</v>
      </c>
      <c r="R9" s="38" t="s">
        <v>1</v>
      </c>
      <c r="S9" s="39">
        <f t="shared" si="0"/>
        <v>3391.85</v>
      </c>
      <c r="T9" s="40">
        <f t="shared" si="1"/>
        <v>2.23033333333333</v>
      </c>
      <c r="U9" s="40">
        <f t="shared" si="8"/>
        <v>1.732</v>
      </c>
      <c r="V9" s="24">
        <f t="shared" si="2"/>
        <v>2.3615</v>
      </c>
      <c r="W9" s="41">
        <f t="shared" si="3"/>
        <v>0.78</v>
      </c>
      <c r="X9" s="26">
        <f t="shared" si="9"/>
        <v>0.514765646166351</v>
      </c>
      <c r="Y9" s="38">
        <f>$AF$14</f>
        <v>0.8</v>
      </c>
      <c r="Z9" s="42">
        <v>1.1</v>
      </c>
      <c r="AA9" s="42">
        <v>0</v>
      </c>
      <c r="AB9" s="28">
        <f t="shared" si="5"/>
        <v>0.06</v>
      </c>
      <c r="AC9" s="19">
        <f t="shared" si="6"/>
        <v>79029.6888225926</v>
      </c>
    </row>
    <row r="10" s="1" customFormat="1" ht="15" spans="2:33">
      <c r="B10" s="47" t="s">
        <v>57</v>
      </c>
      <c r="C10" s="48"/>
      <c r="D10" s="47"/>
      <c r="E10" s="49"/>
      <c r="F10" s="50" t="s">
        <v>58</v>
      </c>
      <c r="G10" s="51">
        <f>MIN(100%,SUM(G4:G9))</f>
        <v>0.778</v>
      </c>
      <c r="H10" s="50" t="s">
        <v>59</v>
      </c>
      <c r="I10" s="51">
        <f>SUM(I4:I9)</f>
        <v>2.75</v>
      </c>
      <c r="J10" s="52"/>
      <c r="K10" s="49"/>
      <c r="L10" s="47"/>
      <c r="M10" s="48"/>
      <c r="O10" s="36">
        <v>1</v>
      </c>
      <c r="P10" s="19" t="s">
        <v>60</v>
      </c>
      <c r="Q10" s="37">
        <v>2.8773</v>
      </c>
      <c r="R10" s="38" t="s">
        <v>1</v>
      </c>
      <c r="S10" s="39">
        <f t="shared" si="0"/>
        <v>3391.85</v>
      </c>
      <c r="T10" s="40">
        <f t="shared" si="1"/>
        <v>2.23033333333333</v>
      </c>
      <c r="U10" s="40">
        <f t="shared" si="8"/>
        <v>1.732</v>
      </c>
      <c r="V10" s="24">
        <f t="shared" si="2"/>
        <v>2.3615</v>
      </c>
      <c r="W10" s="41">
        <f t="shared" si="3"/>
        <v>0.78</v>
      </c>
      <c r="X10" s="26">
        <f t="shared" si="9"/>
        <v>0.514765646166351</v>
      </c>
      <c r="Y10" s="38">
        <f t="shared" si="10"/>
        <v>0.8</v>
      </c>
      <c r="Z10" s="42">
        <v>1.1</v>
      </c>
      <c r="AA10" s="42">
        <v>0</v>
      </c>
      <c r="AB10" s="28">
        <f t="shared" si="5"/>
        <v>0.06</v>
      </c>
      <c r="AC10" s="19">
        <f t="shared" si="6"/>
        <v>102738.952536595</v>
      </c>
    </row>
    <row r="11" s="1" customFormat="1" ht="15" spans="2:33">
      <c r="B11" s="53"/>
      <c r="C11" s="53"/>
      <c r="E11" s="54"/>
      <c r="F11" s="16" t="s">
        <v>61</v>
      </c>
      <c r="G11" s="55">
        <f>MAX(0,SUM(G4:G9)-1)</f>
        <v>0</v>
      </c>
      <c r="J11" s="2"/>
      <c r="K11" s="2"/>
      <c r="O11" s="36">
        <v>1</v>
      </c>
      <c r="P11" s="19" t="s">
        <v>62</v>
      </c>
      <c r="Q11" s="37">
        <v>3.5411</v>
      </c>
      <c r="R11" s="38" t="s">
        <v>1</v>
      </c>
      <c r="S11" s="39">
        <f t="shared" si="0"/>
        <v>3391.85</v>
      </c>
      <c r="T11" s="40">
        <f t="shared" si="1"/>
        <v>2.23033333333333</v>
      </c>
      <c r="U11" s="40">
        <f t="shared" si="8"/>
        <v>1.732</v>
      </c>
      <c r="V11" s="24">
        <f t="shared" si="2"/>
        <v>2.3615</v>
      </c>
      <c r="W11" s="41">
        <f t="shared" si="3"/>
        <v>0.78</v>
      </c>
      <c r="X11" s="26">
        <f t="shared" si="9"/>
        <v>0.514765646166351</v>
      </c>
      <c r="Y11" s="38">
        <f t="shared" si="10"/>
        <v>0.8</v>
      </c>
      <c r="Z11" s="42">
        <v>1.1</v>
      </c>
      <c r="AA11" s="42">
        <v>0</v>
      </c>
      <c r="AB11" s="28">
        <f t="shared" si="5"/>
        <v>0.06</v>
      </c>
      <c r="AC11" s="19">
        <f t="shared" si="6"/>
        <v>126441.074906105</v>
      </c>
      <c r="AE11" s="56"/>
      <c r="AF11" s="56"/>
    </row>
    <row r="12" s="1" customFormat="1" ht="15" spans="2:33">
      <c r="B12" s="53"/>
      <c r="C12" s="53"/>
      <c r="E12" s="54"/>
      <c r="G12" s="57"/>
      <c r="J12" s="2"/>
      <c r="K12" s="2"/>
      <c r="O12" s="36">
        <v>1</v>
      </c>
      <c r="P12" s="19" t="s">
        <v>63</v>
      </c>
      <c r="Q12" s="37">
        <v>3.069</v>
      </c>
      <c r="R12" s="38" t="s">
        <v>1</v>
      </c>
      <c r="S12" s="39">
        <f t="shared" si="0"/>
        <v>3391.85</v>
      </c>
      <c r="T12" s="40">
        <f t="shared" si="1"/>
        <v>2.23033333333333</v>
      </c>
      <c r="U12" s="40">
        <f t="shared" si="8"/>
        <v>1.732</v>
      </c>
      <c r="V12" s="24">
        <f t="shared" si="2"/>
        <v>2.3615</v>
      </c>
      <c r="W12" s="41">
        <f t="shared" si="3"/>
        <v>0.78</v>
      </c>
      <c r="X12" s="26">
        <f t="shared" si="9"/>
        <v>0.514765646166351</v>
      </c>
      <c r="Y12" s="38">
        <f t="shared" si="10"/>
        <v>0.8</v>
      </c>
      <c r="Z12" s="42">
        <v>1.1</v>
      </c>
      <c r="AA12" s="42">
        <v>0</v>
      </c>
      <c r="AB12" s="28">
        <f t="shared" si="5"/>
        <v>0.06</v>
      </c>
      <c r="AC12" s="19">
        <f t="shared" si="6"/>
        <v>109583.931232339</v>
      </c>
      <c r="AE12" s="58"/>
      <c r="AF12" s="58">
        <v>0.8</v>
      </c>
    </row>
    <row r="13" s="1" customFormat="1" ht="15" spans="2:33">
      <c r="B13" s="5" t="s">
        <v>0</v>
      </c>
      <c r="C13" s="5" t="s">
        <v>1</v>
      </c>
      <c r="D13" s="6" t="s">
        <v>2</v>
      </c>
      <c r="E13" s="6">
        <v>1</v>
      </c>
      <c r="O13" s="36">
        <v>1</v>
      </c>
      <c r="P13" s="19" t="s">
        <v>64</v>
      </c>
      <c r="Q13" s="37">
        <v>1.5345</v>
      </c>
      <c r="R13" s="38" t="s">
        <v>1</v>
      </c>
      <c r="S13" s="39">
        <f t="shared" si="0"/>
        <v>3391.85</v>
      </c>
      <c r="T13" s="40">
        <f t="shared" si="1"/>
        <v>2.23033333333333</v>
      </c>
      <c r="U13" s="40">
        <f t="shared" si="8"/>
        <v>1.732</v>
      </c>
      <c r="V13" s="24">
        <f t="shared" si="2"/>
        <v>2.3615</v>
      </c>
      <c r="W13" s="41">
        <f t="shared" si="3"/>
        <v>0.78</v>
      </c>
      <c r="X13" s="26">
        <f t="shared" si="9"/>
        <v>0.514765646166351</v>
      </c>
      <c r="Y13" s="38">
        <f t="shared" si="10"/>
        <v>0.8</v>
      </c>
      <c r="Z13" s="42">
        <v>1.1</v>
      </c>
      <c r="AA13" s="42">
        <v>0</v>
      </c>
      <c r="AB13" s="28">
        <f t="shared" si="5"/>
        <v>0.06</v>
      </c>
      <c r="AC13" s="19">
        <f t="shared" si="6"/>
        <v>54791.9656161697</v>
      </c>
      <c r="AE13" s="59" t="s">
        <v>65</v>
      </c>
      <c r="AF13" s="59">
        <v>0.8</v>
      </c>
    </row>
    <row r="14" s="1" customFormat="1" ht="15" spans="2:33">
      <c r="B14" s="60" t="s">
        <v>66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O14" s="36">
        <v>1</v>
      </c>
      <c r="P14" s="19" t="s">
        <v>67</v>
      </c>
      <c r="Q14" s="37">
        <f>745.54%+49.71%*5</f>
        <v>9.9409</v>
      </c>
      <c r="R14" s="38" t="s">
        <v>1</v>
      </c>
      <c r="S14" s="39">
        <f t="shared" si="0"/>
        <v>3391.85</v>
      </c>
      <c r="T14" s="40">
        <f t="shared" si="1"/>
        <v>2.23033333333333</v>
      </c>
      <c r="U14" s="40">
        <f>IF(R14=$C$1,SUM($E$4:$E$9),SUM($E$4:$E$8))+40%</f>
        <v>2.132</v>
      </c>
      <c r="V14" s="24">
        <f t="shared" si="2"/>
        <v>2.3615</v>
      </c>
      <c r="W14" s="41">
        <f t="shared" si="3"/>
        <v>0.78</v>
      </c>
      <c r="X14" s="26">
        <f t="shared" si="9"/>
        <v>0.514765646166351</v>
      </c>
      <c r="Y14" s="38">
        <f t="shared" si="10"/>
        <v>0.8</v>
      </c>
      <c r="Z14" s="42">
        <v>0.75</v>
      </c>
      <c r="AA14" s="42">
        <v>0</v>
      </c>
      <c r="AB14" s="28">
        <f t="shared" si="5"/>
        <v>0.06</v>
      </c>
      <c r="AC14" s="19">
        <f t="shared" si="6"/>
        <v>339106.024371083</v>
      </c>
      <c r="AE14" s="61" t="s">
        <v>68</v>
      </c>
      <c r="AF14" s="61">
        <v>0.8</v>
      </c>
    </row>
    <row r="15" s="1" customFormat="1" ht="15" spans="2:33">
      <c r="B15" s="62" t="s">
        <v>22</v>
      </c>
      <c r="C15" s="62"/>
      <c r="D15" s="62" t="s">
        <v>10</v>
      </c>
      <c r="E15" s="62"/>
      <c r="F15" s="62" t="s">
        <v>23</v>
      </c>
      <c r="G15" s="62"/>
      <c r="H15" s="62" t="s">
        <v>24</v>
      </c>
      <c r="I15" s="62"/>
      <c r="J15" s="62" t="s">
        <v>12</v>
      </c>
      <c r="K15" s="62"/>
      <c r="L15" s="62" t="s">
        <v>25</v>
      </c>
      <c r="M15" s="62"/>
      <c r="O15" s="63">
        <v>1</v>
      </c>
      <c r="P15" s="19" t="s">
        <v>69</v>
      </c>
      <c r="Q15" s="64">
        <v>5</v>
      </c>
      <c r="R15" s="65" t="s">
        <v>70</v>
      </c>
      <c r="S15" s="66">
        <f t="shared" si="0"/>
        <v>3391.85</v>
      </c>
      <c r="T15" s="67">
        <f t="shared" si="1"/>
        <v>2.23033333333333</v>
      </c>
      <c r="U15" s="67">
        <f>IF(R15=$C$1,SUM($E$4:$E$9),SUM($E$4:$E$8))+$E$10</f>
        <v>1.44</v>
      </c>
      <c r="V15" s="68">
        <f t="shared" si="2"/>
        <v>2.3615</v>
      </c>
      <c r="W15" s="69">
        <f>IF(R15=$C$1,$K$4+$K$5,$K$4)+$K$6</f>
        <v>0.2</v>
      </c>
      <c r="X15" s="162">
        <f t="shared" ref="X15:X24" si="11">$AF$3</f>
        <v>0.488431876606684</v>
      </c>
      <c r="Y15" s="65">
        <f t="shared" si="10"/>
        <v>0.8</v>
      </c>
      <c r="Z15" s="70">
        <v>0</v>
      </c>
      <c r="AA15" s="70">
        <v>0</v>
      </c>
      <c r="AB15" s="28">
        <f t="shared" si="5"/>
        <v>0.06</v>
      </c>
      <c r="AC15" s="19">
        <f t="shared" si="6"/>
        <v>48569.7106759329</v>
      </c>
      <c r="AE15" s="71" t="s">
        <v>71</v>
      </c>
      <c r="AF15" s="71">
        <v>0.8</v>
      </c>
    </row>
    <row r="16" s="1" customFormat="1" ht="15" spans="2:33">
      <c r="B16" s="72" t="s">
        <v>27</v>
      </c>
      <c r="C16" s="31">
        <f>375+588</f>
        <v>963</v>
      </c>
      <c r="D16" s="72" t="s">
        <v>28</v>
      </c>
      <c r="E16" s="35">
        <f>E13*30%</f>
        <v>0.3</v>
      </c>
      <c r="F16" s="72" t="s">
        <v>29</v>
      </c>
      <c r="G16" s="73">
        <v>0.13</v>
      </c>
      <c r="H16" s="72" t="s">
        <v>29</v>
      </c>
      <c r="I16" s="73">
        <v>1.5</v>
      </c>
      <c r="J16" s="34" t="s">
        <v>30</v>
      </c>
      <c r="K16" s="35">
        <f>25%</f>
        <v>0.25</v>
      </c>
      <c r="L16" s="72" t="s">
        <v>31</v>
      </c>
      <c r="M16" s="73">
        <f>8.6%*2</f>
        <v>0.172</v>
      </c>
      <c r="O16" s="18">
        <v>1</v>
      </c>
      <c r="P16" s="74" t="s">
        <v>32</v>
      </c>
      <c r="Q16" s="75">
        <v>2.248</v>
      </c>
      <c r="R16" s="76" t="s">
        <v>33</v>
      </c>
      <c r="S16" s="77">
        <f t="shared" ref="S16:S24" si="12">$C$16*(1+$C$17+$C$18+$C$19+$C$20)+($C$21+$C$22)</f>
        <v>2586.086</v>
      </c>
      <c r="T16" s="78">
        <f t="shared" ref="T16:T24" si="13">($C$17+$C$18+$C$19+$C$20)+($C$21+$C$22)/$C$16</f>
        <v>1.68544755970924</v>
      </c>
      <c r="U16" s="78">
        <f>IF(R16=$C$13,SUM($E$16:$E$21),SUM($E$16:$E$20))-12%</f>
        <v>1.41</v>
      </c>
      <c r="V16" s="79">
        <f t="shared" ref="V16:V24" si="14">1+$G$22*($I$22-1)</f>
        <v>2.5171</v>
      </c>
      <c r="W16" s="80">
        <f t="shared" ref="W16:W24" si="15">IF(R16=$C$1,$K$16+$K$17,$K$16)</f>
        <v>0.25</v>
      </c>
      <c r="X16" s="79">
        <f t="shared" si="11"/>
        <v>0.488431876606684</v>
      </c>
      <c r="Y16" s="76">
        <f t="shared" ref="Y16:Y24" si="16">$AF$15</f>
        <v>0.8</v>
      </c>
      <c r="Z16" s="81">
        <v>0</v>
      </c>
      <c r="AA16" s="81">
        <v>0</v>
      </c>
      <c r="AB16" s="28">
        <f t="shared" si="5"/>
        <v>0.06</v>
      </c>
      <c r="AC16" s="82">
        <f t="shared" ref="AC16:AC24" si="17">Q16*$C$16*(1+T16)*(1+U16)*V16*(1+W16)*X16*Y16*(1+Z16)*(1+AA16)*(1+AB16)*O16</f>
        <v>18258.5652225443</v>
      </c>
    </row>
    <row r="17" s="1" customFormat="1" ht="15" spans="1:32">
      <c r="B17" s="30" t="s">
        <v>34</v>
      </c>
      <c r="C17" s="32">
        <v>0.24</v>
      </c>
      <c r="D17" s="30" t="s">
        <v>35</v>
      </c>
      <c r="E17" s="32">
        <v>0.1</v>
      </c>
      <c r="F17" s="30" t="s">
        <v>36</v>
      </c>
      <c r="G17" s="33">
        <v>0.243</v>
      </c>
      <c r="H17" s="30" t="s">
        <v>36</v>
      </c>
      <c r="I17" s="33">
        <v>0</v>
      </c>
      <c r="J17" s="43" t="s">
        <v>72</v>
      </c>
      <c r="K17" s="32"/>
      <c r="L17" s="30" t="s">
        <v>73</v>
      </c>
      <c r="M17" s="33">
        <f>1*8.6%</f>
        <v>0.086</v>
      </c>
      <c r="O17" s="36">
        <v>1</v>
      </c>
      <c r="P17" s="74" t="s">
        <v>74</v>
      </c>
      <c r="Q17" s="43">
        <v>8.748</v>
      </c>
      <c r="R17" s="53" t="s">
        <v>75</v>
      </c>
      <c r="S17" s="83">
        <f t="shared" si="12"/>
        <v>2586.086</v>
      </c>
      <c r="T17" s="84">
        <f t="shared" si="13"/>
        <v>1.68544755970924</v>
      </c>
      <c r="U17" s="84">
        <f>IF(R17=$C$13,SUM($E$16:$E$21),SUM($E$16:$E$20))-12%</f>
        <v>1.41</v>
      </c>
      <c r="V17" s="85">
        <f t="shared" si="14"/>
        <v>2.5171</v>
      </c>
      <c r="W17" s="86">
        <f t="shared" si="15"/>
        <v>0.25</v>
      </c>
      <c r="X17" s="85">
        <f t="shared" si="11"/>
        <v>0.488431876606684</v>
      </c>
      <c r="Y17" s="76">
        <f t="shared" si="16"/>
        <v>0.8</v>
      </c>
      <c r="Z17" s="87">
        <v>0</v>
      </c>
      <c r="AA17" s="87">
        <v>0</v>
      </c>
      <c r="AB17" s="28">
        <f t="shared" si="5"/>
        <v>0.06</v>
      </c>
      <c r="AC17" s="82">
        <f t="shared" si="17"/>
        <v>71052.4593268763</v>
      </c>
      <c r="AE17" s="1" t="s">
        <v>76</v>
      </c>
      <c r="AF17" s="54">
        <v>0.06</v>
      </c>
    </row>
    <row r="18" s="1" customFormat="1" ht="15" spans="1:32">
      <c r="B18" s="30" t="s">
        <v>40</v>
      </c>
      <c r="C18" s="32">
        <f>18%+18%+M16+(2-E13)*30%</f>
        <v>0.832</v>
      </c>
      <c r="D18" s="30" t="s">
        <v>41</v>
      </c>
      <c r="E18" s="32">
        <v>0.25</v>
      </c>
      <c r="F18" s="30" t="s">
        <v>42</v>
      </c>
      <c r="G18" s="33"/>
      <c r="H18" s="30" t="s">
        <v>42</v>
      </c>
      <c r="I18" s="33">
        <v>0.44</v>
      </c>
      <c r="J18" s="43"/>
      <c r="K18" s="33"/>
      <c r="L18" s="30" t="s">
        <v>23</v>
      </c>
      <c r="M18" s="33">
        <f>8.1*5%</f>
        <v>0.405</v>
      </c>
      <c r="O18" s="36">
        <v>1</v>
      </c>
      <c r="P18" s="74" t="s">
        <v>77</v>
      </c>
      <c r="Q18" s="43">
        <v>2.7863</v>
      </c>
      <c r="R18" s="53" t="s">
        <v>78</v>
      </c>
      <c r="S18" s="83">
        <f t="shared" si="12"/>
        <v>2586.086</v>
      </c>
      <c r="T18" s="84">
        <f t="shared" si="13"/>
        <v>1.68544755970924</v>
      </c>
      <c r="U18" s="84">
        <f>IF(R18=$C$13,SUM($E$16:$E$21),SUM($E$16:$E$20))-6%</f>
        <v>1.47</v>
      </c>
      <c r="V18" s="85">
        <f t="shared" si="14"/>
        <v>2.5171</v>
      </c>
      <c r="W18" s="86">
        <f t="shared" si="15"/>
        <v>0.25</v>
      </c>
      <c r="X18" s="85">
        <f t="shared" si="11"/>
        <v>0.488431876606684</v>
      </c>
      <c r="Y18" s="76">
        <f t="shared" si="16"/>
        <v>0.8</v>
      </c>
      <c r="Z18" s="87">
        <v>0</v>
      </c>
      <c r="AA18" s="87">
        <v>0</v>
      </c>
      <c r="AB18" s="28">
        <f t="shared" si="5"/>
        <v>0.06</v>
      </c>
      <c r="AC18" s="82">
        <f t="shared" si="17"/>
        <v>23194.1320806232</v>
      </c>
    </row>
    <row r="19" s="1" customFormat="1" ht="15" spans="1:32">
      <c r="B19" s="30" t="s">
        <v>44</v>
      </c>
      <c r="C19" s="44"/>
      <c r="D19" s="30" t="s">
        <v>45</v>
      </c>
      <c r="E19" s="32">
        <v>0.4</v>
      </c>
      <c r="F19" s="30" t="s">
        <v>40</v>
      </c>
      <c r="G19" s="33">
        <f>M18</f>
        <v>0.405</v>
      </c>
      <c r="H19" s="30" t="s">
        <v>40</v>
      </c>
      <c r="I19" s="33">
        <f>M19</f>
        <v>0.81</v>
      </c>
      <c r="J19" s="43"/>
      <c r="K19" s="33"/>
      <c r="L19" s="30" t="s">
        <v>46</v>
      </c>
      <c r="M19" s="32">
        <f>16.2%*5</f>
        <v>0.81</v>
      </c>
      <c r="O19" s="36">
        <v>1</v>
      </c>
      <c r="P19" s="74" t="s">
        <v>79</v>
      </c>
      <c r="Q19" s="43">
        <v>5.5556</v>
      </c>
      <c r="R19" s="53" t="s">
        <v>1</v>
      </c>
      <c r="S19" s="83">
        <f t="shared" si="12"/>
        <v>2586.086</v>
      </c>
      <c r="T19" s="84">
        <f t="shared" si="13"/>
        <v>1.68544755970924</v>
      </c>
      <c r="U19" s="84">
        <f t="shared" ref="U19:U24" si="18">IF(R19=$C$13,SUM($E$16:$E$21),SUM($E$16:$E$20))</f>
        <v>1.976</v>
      </c>
      <c r="V19" s="85">
        <f t="shared" si="14"/>
        <v>2.5171</v>
      </c>
      <c r="W19" s="86">
        <f t="shared" si="15"/>
        <v>0.25</v>
      </c>
      <c r="X19" s="85">
        <f t="shared" si="11"/>
        <v>0.488431876606684</v>
      </c>
      <c r="Y19" s="76">
        <f t="shared" si="16"/>
        <v>0.8</v>
      </c>
      <c r="Z19" s="87">
        <v>0</v>
      </c>
      <c r="AA19" s="87">
        <v>0</v>
      </c>
      <c r="AB19" s="28">
        <f t="shared" si="5"/>
        <v>0.06</v>
      </c>
      <c r="AC19" s="82">
        <f t="shared" si="17"/>
        <v>55720.780853113</v>
      </c>
    </row>
    <row r="20" s="1" customFormat="1" ht="15" spans="1:32">
      <c r="B20" s="30" t="s">
        <v>48</v>
      </c>
      <c r="C20" s="44">
        <v>0.25</v>
      </c>
      <c r="D20" s="30" t="s">
        <v>49</v>
      </c>
      <c r="E20" s="45">
        <f>24%+24%</f>
        <v>0.48</v>
      </c>
      <c r="F20" s="30" t="s">
        <v>50</v>
      </c>
      <c r="G20" s="33">
        <v>0</v>
      </c>
      <c r="H20" s="30" t="s">
        <v>50</v>
      </c>
      <c r="I20" s="33">
        <v>0</v>
      </c>
      <c r="J20" s="43"/>
      <c r="K20" s="33"/>
      <c r="L20" s="30"/>
      <c r="M20" s="31"/>
      <c r="O20" s="36">
        <v>1</v>
      </c>
      <c r="P20" s="74" t="s">
        <v>80</v>
      </c>
      <c r="Q20" s="43">
        <v>3.076</v>
      </c>
      <c r="R20" s="53" t="s">
        <v>1</v>
      </c>
      <c r="S20" s="83">
        <f t="shared" si="12"/>
        <v>2586.086</v>
      </c>
      <c r="T20" s="84">
        <f t="shared" si="13"/>
        <v>1.68544755970924</v>
      </c>
      <c r="U20" s="84">
        <f t="shared" si="18"/>
        <v>1.976</v>
      </c>
      <c r="V20" s="85">
        <f t="shared" si="14"/>
        <v>2.5171</v>
      </c>
      <c r="W20" s="86">
        <f t="shared" si="15"/>
        <v>0.25</v>
      </c>
      <c r="X20" s="85">
        <f t="shared" si="11"/>
        <v>0.488431876606684</v>
      </c>
      <c r="Y20" s="76">
        <f t="shared" si="16"/>
        <v>0.8</v>
      </c>
      <c r="Z20" s="87">
        <v>0</v>
      </c>
      <c r="AA20" s="87">
        <v>0</v>
      </c>
      <c r="AB20" s="28">
        <f t="shared" si="5"/>
        <v>0.06</v>
      </c>
      <c r="AC20" s="82">
        <f t="shared" si="17"/>
        <v>30851.2351328705</v>
      </c>
    </row>
    <row r="21" s="1" customFormat="1" ht="15" spans="1:32">
      <c r="B21" s="30" t="s">
        <v>53</v>
      </c>
      <c r="C21" s="31">
        <v>350</v>
      </c>
      <c r="D21" s="30" t="s">
        <v>54</v>
      </c>
      <c r="E21" s="32">
        <f>36%+M17</f>
        <v>0.446</v>
      </c>
      <c r="F21" s="30" t="s">
        <v>55</v>
      </c>
      <c r="G21" s="33">
        <v>0</v>
      </c>
      <c r="H21" s="30" t="s">
        <v>55</v>
      </c>
      <c r="I21" s="33">
        <v>0.2</v>
      </c>
      <c r="J21" s="43"/>
      <c r="K21" s="33"/>
      <c r="L21" s="30"/>
      <c r="M21" s="31"/>
      <c r="O21" s="36">
        <v>1</v>
      </c>
      <c r="P21" s="74" t="s">
        <v>81</v>
      </c>
      <c r="Q21" s="43">
        <v>12.1672</v>
      </c>
      <c r="R21" s="53" t="s">
        <v>1</v>
      </c>
      <c r="S21" s="83">
        <f t="shared" si="12"/>
        <v>2586.086</v>
      </c>
      <c r="T21" s="84">
        <f t="shared" si="13"/>
        <v>1.68544755970924</v>
      </c>
      <c r="U21" s="84">
        <f t="shared" si="18"/>
        <v>1.976</v>
      </c>
      <c r="V21" s="85">
        <f t="shared" si="14"/>
        <v>2.5171</v>
      </c>
      <c r="W21" s="86">
        <f t="shared" si="15"/>
        <v>0.25</v>
      </c>
      <c r="X21" s="85">
        <f t="shared" si="11"/>
        <v>0.488431876606684</v>
      </c>
      <c r="Y21" s="76">
        <f t="shared" si="16"/>
        <v>0.8</v>
      </c>
      <c r="Z21" s="87">
        <v>0</v>
      </c>
      <c r="AA21" s="87">
        <v>0</v>
      </c>
      <c r="AB21" s="28">
        <f t="shared" si="5"/>
        <v>0.06</v>
      </c>
      <c r="AC21" s="82">
        <f t="shared" si="17"/>
        <v>122032.883000215</v>
      </c>
    </row>
    <row r="22" s="1" customFormat="1" ht="15" spans="1:32">
      <c r="B22" s="47" t="s">
        <v>57</v>
      </c>
      <c r="C22" s="48"/>
      <c r="D22" s="47"/>
      <c r="E22" s="49"/>
      <c r="F22" s="50" t="s">
        <v>58</v>
      </c>
      <c r="G22" s="51">
        <f>MIN(100%,SUM(G16:G21))</f>
        <v>0.778</v>
      </c>
      <c r="H22" s="50" t="s">
        <v>59</v>
      </c>
      <c r="I22" s="51">
        <f>SUM(I16:I21)</f>
        <v>2.95</v>
      </c>
      <c r="J22" s="52"/>
      <c r="K22" s="88"/>
      <c r="L22" s="47"/>
      <c r="M22" s="48"/>
      <c r="O22" s="36">
        <v>1</v>
      </c>
      <c r="P22" s="74" t="s">
        <v>82</v>
      </c>
      <c r="Q22" s="43">
        <v>2.3262</v>
      </c>
      <c r="R22" s="53" t="s">
        <v>78</v>
      </c>
      <c r="S22" s="83">
        <f t="shared" si="12"/>
        <v>2586.086</v>
      </c>
      <c r="T22" s="84">
        <f t="shared" si="13"/>
        <v>1.68544755970924</v>
      </c>
      <c r="U22" s="84">
        <f t="shared" si="18"/>
        <v>1.53</v>
      </c>
      <c r="V22" s="85">
        <f t="shared" si="14"/>
        <v>2.5171</v>
      </c>
      <c r="W22" s="86">
        <f t="shared" si="15"/>
        <v>0.25</v>
      </c>
      <c r="X22" s="85">
        <f t="shared" si="11"/>
        <v>0.488431876606684</v>
      </c>
      <c r="Y22" s="76">
        <f t="shared" si="16"/>
        <v>0.8</v>
      </c>
      <c r="Z22" s="87">
        <v>0</v>
      </c>
      <c r="AA22" s="87">
        <v>0</v>
      </c>
      <c r="AB22" s="28">
        <f t="shared" si="5"/>
        <v>0.06</v>
      </c>
      <c r="AC22" s="82">
        <f t="shared" si="17"/>
        <v>19834.4823401026</v>
      </c>
    </row>
    <row r="23" s="1" customFormat="1" ht="15" spans="1:32">
      <c r="B23" s="53"/>
      <c r="C23" s="53"/>
      <c r="E23" s="54"/>
      <c r="F23" s="16" t="s">
        <v>61</v>
      </c>
      <c r="G23" s="55">
        <f>MAX(0,SUM(G16:G21)-1)</f>
        <v>0</v>
      </c>
      <c r="J23" s="2"/>
      <c r="K23" s="2"/>
      <c r="O23" s="36">
        <v>1</v>
      </c>
      <c r="P23" s="74" t="s">
        <v>83</v>
      </c>
      <c r="Q23" s="43">
        <v>1</v>
      </c>
      <c r="R23" s="53" t="s">
        <v>70</v>
      </c>
      <c r="S23" s="83">
        <f t="shared" si="12"/>
        <v>2586.086</v>
      </c>
      <c r="T23" s="84">
        <f t="shared" si="13"/>
        <v>1.68544755970924</v>
      </c>
      <c r="U23" s="84">
        <f t="shared" si="18"/>
        <v>1.53</v>
      </c>
      <c r="V23" s="85">
        <f t="shared" si="14"/>
        <v>2.5171</v>
      </c>
      <c r="W23" s="86">
        <f t="shared" si="15"/>
        <v>0.25</v>
      </c>
      <c r="X23" s="85">
        <f t="shared" si="11"/>
        <v>0.488431876606684</v>
      </c>
      <c r="Y23" s="76">
        <f t="shared" si="16"/>
        <v>0.8</v>
      </c>
      <c r="Z23" s="87">
        <v>0</v>
      </c>
      <c r="AA23" s="87">
        <v>0</v>
      </c>
      <c r="AB23" s="28">
        <f t="shared" si="5"/>
        <v>0.06</v>
      </c>
      <c r="AC23" s="82">
        <f t="shared" si="17"/>
        <v>8526.55934145929</v>
      </c>
    </row>
    <row r="24" s="1" customFormat="1" ht="15" spans="1:32">
      <c r="B24" s="53"/>
      <c r="C24" s="53"/>
      <c r="E24" s="54"/>
      <c r="J24" s="2"/>
      <c r="K24" s="2"/>
      <c r="O24" s="63">
        <v>1</v>
      </c>
      <c r="P24" s="74" t="s">
        <v>84</v>
      </c>
      <c r="Q24" s="52">
        <v>2.736</v>
      </c>
      <c r="R24" s="89" t="s">
        <v>26</v>
      </c>
      <c r="S24" s="90">
        <f t="shared" si="12"/>
        <v>2586.086</v>
      </c>
      <c r="T24" s="91">
        <f t="shared" si="13"/>
        <v>1.68544755970924</v>
      </c>
      <c r="U24" s="91">
        <f t="shared" si="18"/>
        <v>1.53</v>
      </c>
      <c r="V24" s="92">
        <f t="shared" si="14"/>
        <v>2.5171</v>
      </c>
      <c r="W24" s="93">
        <f t="shared" si="15"/>
        <v>0.25</v>
      </c>
      <c r="X24" s="92">
        <f t="shared" si="11"/>
        <v>0.488431876606684</v>
      </c>
      <c r="Y24" s="76">
        <f t="shared" si="16"/>
        <v>0.8</v>
      </c>
      <c r="Z24" s="94">
        <v>0</v>
      </c>
      <c r="AA24" s="94">
        <v>0</v>
      </c>
      <c r="AB24" s="28">
        <f t="shared" si="5"/>
        <v>0.06</v>
      </c>
      <c r="AC24" s="82">
        <f t="shared" si="17"/>
        <v>23328.6663582326</v>
      </c>
      <c r="AD24" s="56"/>
    </row>
    <row r="25" s="1" customFormat="1" ht="15" spans="1:32">
      <c r="A25" s="95"/>
      <c r="B25" s="96" t="s">
        <v>85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</row>
    <row r="26" s="1" customFormat="1" ht="15" spans="1:32">
      <c r="A26" s="95" t="s">
        <v>86</v>
      </c>
      <c r="B26" s="97" t="s">
        <v>22</v>
      </c>
      <c r="C26" s="98"/>
      <c r="D26" s="97" t="s">
        <v>10</v>
      </c>
      <c r="E26" s="98"/>
      <c r="F26" s="97" t="s">
        <v>23</v>
      </c>
      <c r="G26" s="98"/>
      <c r="H26" s="97" t="s">
        <v>24</v>
      </c>
      <c r="I26" s="98"/>
      <c r="J26" s="97" t="s">
        <v>12</v>
      </c>
      <c r="K26" s="98"/>
      <c r="L26" s="97" t="s">
        <v>87</v>
      </c>
      <c r="M26" s="98"/>
      <c r="O26" s="72">
        <v>0</v>
      </c>
      <c r="P26" s="78" t="s">
        <v>88</v>
      </c>
      <c r="Q26" s="78">
        <v>1.0935</v>
      </c>
      <c r="R26" s="76" t="s">
        <v>89</v>
      </c>
      <c r="S26" s="76">
        <v>10027</v>
      </c>
      <c r="T26" s="78">
        <v>0</v>
      </c>
      <c r="U26" s="78">
        <v>0</v>
      </c>
      <c r="V26" s="79">
        <v>1</v>
      </c>
      <c r="W26" s="80">
        <v>0</v>
      </c>
      <c r="X26" s="79">
        <f t="shared" ref="X26:X30" si="19">$AF$3</f>
        <v>0.488431876606684</v>
      </c>
      <c r="Y26" s="76">
        <f t="shared" ref="Y26:Y30" si="20">$AF$13</f>
        <v>0.8</v>
      </c>
      <c r="Z26" s="81">
        <v>1.2</v>
      </c>
      <c r="AA26" s="81">
        <v>0</v>
      </c>
      <c r="AB26" s="81">
        <v>0.5</v>
      </c>
      <c r="AC26" s="99">
        <f t="shared" ref="AC26:AC30" si="21">Q26*$S$30*(1+T26)*(1+U26)*V26*(1+W26)*X26*Y26*(1+Z26)*(1+AA26)*(1+AB26)*O26</f>
        <v>0</v>
      </c>
    </row>
    <row r="27" s="1" customFormat="1" ht="15" spans="1:32">
      <c r="A27" s="95">
        <v>1357</v>
      </c>
      <c r="B27" s="100" t="s">
        <v>27</v>
      </c>
      <c r="C27" s="101">
        <f>288+337</f>
        <v>625</v>
      </c>
      <c r="D27" s="100" t="s">
        <v>28</v>
      </c>
      <c r="E27" s="46"/>
      <c r="F27" s="100" t="s">
        <v>90</v>
      </c>
      <c r="G27" s="102">
        <v>0.05</v>
      </c>
      <c r="H27" s="100" t="s">
        <v>90</v>
      </c>
      <c r="I27" s="46">
        <v>1.5</v>
      </c>
      <c r="J27" s="103" t="s">
        <v>30</v>
      </c>
      <c r="K27" s="46">
        <v>0.25</v>
      </c>
      <c r="L27" s="100" t="s">
        <v>86</v>
      </c>
      <c r="M27" s="102">
        <f>10.9%*3</f>
        <v>0.327</v>
      </c>
      <c r="O27" s="30">
        <v>0</v>
      </c>
      <c r="P27" s="53" t="s">
        <v>91</v>
      </c>
      <c r="Q27" s="84">
        <v>5.9643</v>
      </c>
      <c r="R27" s="53" t="s">
        <v>89</v>
      </c>
      <c r="S27" s="53">
        <v>10027</v>
      </c>
      <c r="T27" s="84">
        <v>0</v>
      </c>
      <c r="U27" s="84">
        <v>0</v>
      </c>
      <c r="V27" s="85">
        <v>1</v>
      </c>
      <c r="W27" s="86">
        <v>0</v>
      </c>
      <c r="X27" s="85">
        <f t="shared" si="19"/>
        <v>0.488431876606684</v>
      </c>
      <c r="Y27" s="53">
        <f t="shared" si="20"/>
        <v>0.8</v>
      </c>
      <c r="Z27" s="87">
        <v>0</v>
      </c>
      <c r="AA27" s="87">
        <v>0</v>
      </c>
      <c r="AB27" s="87">
        <v>0.5</v>
      </c>
      <c r="AC27" s="104">
        <f t="shared" si="21"/>
        <v>0</v>
      </c>
    </row>
    <row r="28" s="1" customFormat="1" ht="15" spans="1:32">
      <c r="A28" s="105">
        <f>16%+7.6*2%</f>
        <v>0.312</v>
      </c>
      <c r="B28" s="100" t="s">
        <v>92</v>
      </c>
      <c r="C28" s="46"/>
      <c r="D28" s="100" t="s">
        <v>93</v>
      </c>
      <c r="E28" s="46"/>
      <c r="F28" s="100" t="s">
        <v>36</v>
      </c>
      <c r="G28" s="102"/>
      <c r="H28" s="100" t="s">
        <v>94</v>
      </c>
      <c r="I28" s="102">
        <f>M29</f>
        <v>0.486</v>
      </c>
      <c r="J28" s="106" t="s">
        <v>95</v>
      </c>
      <c r="K28" s="102"/>
      <c r="L28" s="100" t="s">
        <v>23</v>
      </c>
      <c r="M28" s="102">
        <f>2*8.1%</f>
        <v>0.162</v>
      </c>
      <c r="O28" s="30">
        <v>0</v>
      </c>
      <c r="P28" s="53" t="s">
        <v>96</v>
      </c>
      <c r="Q28" s="84">
        <v>18.8075</v>
      </c>
      <c r="R28" s="53" t="s">
        <v>89</v>
      </c>
      <c r="S28" s="53">
        <v>10027</v>
      </c>
      <c r="T28" s="84">
        <v>0</v>
      </c>
      <c r="U28" s="84">
        <v>0</v>
      </c>
      <c r="V28" s="85">
        <v>1</v>
      </c>
      <c r="W28" s="86">
        <v>0</v>
      </c>
      <c r="X28" s="85">
        <f t="shared" si="19"/>
        <v>0.488431876606684</v>
      </c>
      <c r="Y28" s="53">
        <f t="shared" si="20"/>
        <v>0.8</v>
      </c>
      <c r="Z28" s="87">
        <v>0</v>
      </c>
      <c r="AA28" s="87">
        <v>0</v>
      </c>
      <c r="AB28" s="87">
        <v>0.5</v>
      </c>
      <c r="AC28" s="104">
        <f t="shared" si="21"/>
        <v>0</v>
      </c>
    </row>
    <row r="29" s="1" customFormat="1" ht="15" spans="1:32">
      <c r="A29" s="105">
        <f>36%+M27</f>
        <v>0.687</v>
      </c>
      <c r="B29" s="100" t="s">
        <v>97</v>
      </c>
      <c r="C29" s="46"/>
      <c r="D29" s="100" t="s">
        <v>98</v>
      </c>
      <c r="E29" s="46"/>
      <c r="F29" s="100" t="s">
        <v>42</v>
      </c>
      <c r="G29" s="102"/>
      <c r="H29" s="100" t="s">
        <v>99</v>
      </c>
      <c r="I29" s="102"/>
      <c r="J29" s="106" t="s">
        <v>100</v>
      </c>
      <c r="K29" s="102"/>
      <c r="L29" s="100" t="s">
        <v>46</v>
      </c>
      <c r="M29" s="102">
        <f>3*16.2%</f>
        <v>0.486</v>
      </c>
      <c r="O29" s="30">
        <v>0</v>
      </c>
      <c r="P29" s="53" t="s">
        <v>101</v>
      </c>
      <c r="Q29" s="84">
        <v>2.9822</v>
      </c>
      <c r="R29" s="53" t="s">
        <v>89</v>
      </c>
      <c r="S29" s="53">
        <v>10027</v>
      </c>
      <c r="T29" s="84">
        <v>0</v>
      </c>
      <c r="U29" s="84">
        <v>0</v>
      </c>
      <c r="V29" s="85">
        <v>1</v>
      </c>
      <c r="W29" s="86">
        <v>0</v>
      </c>
      <c r="X29" s="85">
        <f t="shared" si="19"/>
        <v>0.488431876606684</v>
      </c>
      <c r="Y29" s="53">
        <f t="shared" si="20"/>
        <v>0.8</v>
      </c>
      <c r="Z29" s="87">
        <v>0</v>
      </c>
      <c r="AA29" s="87">
        <v>0</v>
      </c>
      <c r="AB29" s="87">
        <v>0.5</v>
      </c>
      <c r="AC29" s="104">
        <f t="shared" si="21"/>
        <v>0</v>
      </c>
    </row>
    <row r="30" s="1" customFormat="1" ht="15" spans="1:32">
      <c r="A30" s="105">
        <v>0.418</v>
      </c>
      <c r="B30" s="100" t="s">
        <v>94</v>
      </c>
      <c r="C30" s="107">
        <f>25%+15%</f>
        <v>0.4</v>
      </c>
      <c r="D30" s="100" t="s">
        <v>102</v>
      </c>
      <c r="E30" s="46">
        <f>48%</f>
        <v>0.48</v>
      </c>
      <c r="F30" s="100" t="s">
        <v>94</v>
      </c>
      <c r="G30" s="102">
        <f>M28</f>
        <v>0.162</v>
      </c>
      <c r="H30" s="100"/>
      <c r="I30" s="102"/>
      <c r="J30" s="106"/>
      <c r="K30" s="102"/>
      <c r="L30" s="100" t="s">
        <v>103</v>
      </c>
      <c r="M30" s="102">
        <f>8.6%*2</f>
        <v>0.172</v>
      </c>
      <c r="O30" s="47">
        <v>1</v>
      </c>
      <c r="P30" s="89" t="s">
        <v>104</v>
      </c>
      <c r="Q30" s="91">
        <v>16</v>
      </c>
      <c r="R30" s="89" t="s">
        <v>105</v>
      </c>
      <c r="S30" s="89">
        <v>10027</v>
      </c>
      <c r="T30" s="91">
        <v>0</v>
      </c>
      <c r="U30" s="91">
        <v>0</v>
      </c>
      <c r="V30" s="92">
        <v>1</v>
      </c>
      <c r="W30" s="93">
        <v>0</v>
      </c>
      <c r="X30" s="92">
        <f t="shared" si="19"/>
        <v>0.488431876606684</v>
      </c>
      <c r="Y30" s="89">
        <f t="shared" si="20"/>
        <v>0.8</v>
      </c>
      <c r="Z30" s="94">
        <v>0</v>
      </c>
      <c r="AA30" s="94">
        <v>0</v>
      </c>
      <c r="AB30" s="94">
        <v>0.1</v>
      </c>
      <c r="AC30" s="108">
        <f t="shared" si="21"/>
        <v>68956.8904884319</v>
      </c>
      <c r="AD30" s="56"/>
    </row>
    <row r="31" s="1" customFormat="1" spans="1:32">
      <c r="A31" s="109">
        <v>0.2</v>
      </c>
      <c r="B31" s="100" t="s">
        <v>106</v>
      </c>
      <c r="C31" s="107"/>
      <c r="D31" s="100" t="s">
        <v>107</v>
      </c>
      <c r="E31" s="110"/>
      <c r="F31" s="100" t="s">
        <v>108</v>
      </c>
      <c r="G31" s="102"/>
      <c r="H31" s="100"/>
      <c r="I31" s="102"/>
      <c r="J31" s="106"/>
      <c r="K31" s="102"/>
      <c r="L31" s="100"/>
      <c r="M31" s="102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s="1" customFormat="1" ht="15" spans="1:32">
      <c r="A32" s="95"/>
      <c r="B32" s="100" t="s">
        <v>53</v>
      </c>
      <c r="C32" s="101">
        <v>350</v>
      </c>
      <c r="D32" s="100"/>
      <c r="E32" s="46"/>
      <c r="F32" s="111" t="s">
        <v>58</v>
      </c>
      <c r="G32" s="112">
        <f>MIN(100%,SUM(G27:G31))</f>
        <v>0.212</v>
      </c>
      <c r="H32" s="111" t="s">
        <v>59</v>
      </c>
      <c r="I32" s="113">
        <f>SUM(I27:I31)</f>
        <v>1.986</v>
      </c>
      <c r="J32" s="106"/>
      <c r="K32" s="102"/>
      <c r="L32" s="100"/>
      <c r="M32" s="101"/>
      <c r="O32" s="62">
        <v>1</v>
      </c>
      <c r="P32" s="114" t="s">
        <v>109</v>
      </c>
      <c r="Q32" s="75">
        <v>2.0279</v>
      </c>
      <c r="R32" s="76" t="s">
        <v>33</v>
      </c>
      <c r="S32" s="77">
        <f t="shared" ref="S32:S35" si="22">C$34</f>
        <v>1225</v>
      </c>
      <c r="T32" s="78">
        <f t="shared" ref="T32:T35" si="23">S32/$C$27-1</f>
        <v>0.96</v>
      </c>
      <c r="U32" s="78">
        <f t="shared" ref="U32:U35" si="24">E$30</f>
        <v>0.48</v>
      </c>
      <c r="V32" s="79">
        <f t="shared" ref="V32:V35" si="25">1+$G$32*($I$32-1)</f>
        <v>1.209032</v>
      </c>
      <c r="W32" s="80">
        <f t="shared" ref="W32:W37" si="26">K$27</f>
        <v>0.25</v>
      </c>
      <c r="X32" s="79">
        <f t="shared" ref="X32:X37" si="27">$AF$3</f>
        <v>0.488431876606684</v>
      </c>
      <c r="Y32" s="76">
        <f t="shared" ref="Y32:Y37" si="28">$AF$14</f>
        <v>0.8</v>
      </c>
      <c r="Z32" s="81">
        <v>0</v>
      </c>
      <c r="AA32" s="81">
        <v>0</v>
      </c>
      <c r="AB32" s="28">
        <f t="shared" ref="AB32:AB37" si="29">$AF$17</f>
        <v>0.06</v>
      </c>
      <c r="AC32" s="19">
        <f t="shared" ref="AC32:AC35" si="30">Q32*$C$27*(1+T32)*(1+U32)*V32*(1+W32)*X32*Y32*(1+Z32)*(1+AA32)*(1+AB32)*O32</f>
        <v>2301.39942308022</v>
      </c>
    </row>
    <row r="33" s="1" customFormat="1" ht="15" spans="1:29">
      <c r="A33" s="95"/>
      <c r="B33" s="115" t="s">
        <v>57</v>
      </c>
      <c r="C33" s="116"/>
      <c r="D33" s="115" t="s">
        <v>110</v>
      </c>
      <c r="E33" s="117">
        <f>M30</f>
        <v>0.172</v>
      </c>
      <c r="F33" s="115"/>
      <c r="G33" s="118"/>
      <c r="H33" s="115"/>
      <c r="I33" s="116"/>
      <c r="J33" s="119"/>
      <c r="K33" s="118"/>
      <c r="L33" s="115"/>
      <c r="M33" s="116"/>
      <c r="N33" s="120"/>
      <c r="O33" s="121">
        <v>1</v>
      </c>
      <c r="P33" s="114" t="s">
        <v>111</v>
      </c>
      <c r="Q33" s="43">
        <f>22.27%+16.71%*2+23.86%+23.86%+17.9%*4+41.36%+10.34%*6</f>
        <v>2.7841</v>
      </c>
      <c r="R33" s="53" t="s">
        <v>1</v>
      </c>
      <c r="S33" s="83">
        <f t="shared" si="22"/>
        <v>1225</v>
      </c>
      <c r="T33" s="84">
        <f t="shared" si="23"/>
        <v>0.96</v>
      </c>
      <c r="U33" s="84">
        <f t="shared" si="24"/>
        <v>0.48</v>
      </c>
      <c r="V33" s="85">
        <f t="shared" si="25"/>
        <v>1.209032</v>
      </c>
      <c r="W33" s="86">
        <f t="shared" si="26"/>
        <v>0.25</v>
      </c>
      <c r="X33" s="85">
        <f t="shared" si="27"/>
        <v>0.488431876606684</v>
      </c>
      <c r="Y33" s="53">
        <f t="shared" si="28"/>
        <v>0.8</v>
      </c>
      <c r="Z33" s="87">
        <v>0</v>
      </c>
      <c r="AA33" s="87">
        <v>0</v>
      </c>
      <c r="AB33" s="28">
        <f t="shared" si="29"/>
        <v>0.06</v>
      </c>
      <c r="AC33" s="19">
        <f t="shared" si="30"/>
        <v>3159.58683061179</v>
      </c>
    </row>
    <row r="34" s="1" customFormat="1" ht="15" spans="1:29">
      <c r="A34" s="95">
        <f>A27*(1+A28+A29+A30+A31)</f>
        <v>3551.269</v>
      </c>
      <c r="B34" s="122"/>
      <c r="C34" s="122">
        <f>C27*(1+C30)+C32</f>
        <v>1225</v>
      </c>
      <c r="D34" s="122"/>
      <c r="E34" s="122"/>
      <c r="F34" s="122" t="s">
        <v>112</v>
      </c>
      <c r="G34" s="123"/>
      <c r="H34" s="122"/>
      <c r="I34" s="122"/>
      <c r="J34" s="122"/>
      <c r="K34" s="122"/>
      <c r="L34" s="122"/>
      <c r="M34" s="122"/>
      <c r="N34" s="53"/>
      <c r="O34" s="121">
        <v>1</v>
      </c>
      <c r="P34" s="114" t="s">
        <v>113</v>
      </c>
      <c r="Q34" s="43">
        <f>39.77%*4</f>
        <v>1.5908</v>
      </c>
      <c r="R34" s="53" t="s">
        <v>78</v>
      </c>
      <c r="S34" s="83">
        <f t="shared" si="22"/>
        <v>1225</v>
      </c>
      <c r="T34" s="84">
        <f t="shared" si="23"/>
        <v>0.96</v>
      </c>
      <c r="U34" s="84">
        <f t="shared" si="24"/>
        <v>0.48</v>
      </c>
      <c r="V34" s="85">
        <f t="shared" si="25"/>
        <v>1.209032</v>
      </c>
      <c r="W34" s="86">
        <f t="shared" si="26"/>
        <v>0.25</v>
      </c>
      <c r="X34" s="85">
        <f t="shared" si="27"/>
        <v>0.488431876606684</v>
      </c>
      <c r="Y34" s="53">
        <f t="shared" si="28"/>
        <v>0.8</v>
      </c>
      <c r="Z34" s="87">
        <v>0</v>
      </c>
      <c r="AA34" s="87">
        <v>0</v>
      </c>
      <c r="AB34" s="28">
        <f t="shared" si="29"/>
        <v>0.06</v>
      </c>
      <c r="AC34" s="19">
        <f t="shared" si="30"/>
        <v>1805.34848968687</v>
      </c>
    </row>
    <row r="35" s="1" customFormat="1" ht="15" spans="1:29">
      <c r="A35" s="56"/>
      <c r="B35" s="124"/>
      <c r="C35" s="124"/>
      <c r="D35" s="124"/>
      <c r="E35" s="124"/>
      <c r="F35" s="124"/>
      <c r="G35" s="125"/>
      <c r="N35" s="53"/>
      <c r="O35" s="121">
        <v>1</v>
      </c>
      <c r="P35" s="114" t="s">
        <v>114</v>
      </c>
      <c r="Q35" s="43">
        <v>3.51</v>
      </c>
      <c r="R35" s="53" t="s">
        <v>26</v>
      </c>
      <c r="S35" s="83">
        <f t="shared" si="22"/>
        <v>1225</v>
      </c>
      <c r="T35" s="84">
        <f t="shared" si="23"/>
        <v>0.96</v>
      </c>
      <c r="U35" s="84">
        <f t="shared" si="24"/>
        <v>0.48</v>
      </c>
      <c r="V35" s="85">
        <f t="shared" si="25"/>
        <v>1.209032</v>
      </c>
      <c r="W35" s="86">
        <f t="shared" si="26"/>
        <v>0.25</v>
      </c>
      <c r="X35" s="85">
        <f t="shared" si="27"/>
        <v>0.488431876606684</v>
      </c>
      <c r="Y35" s="53">
        <f t="shared" si="28"/>
        <v>0.8</v>
      </c>
      <c r="Z35" s="87">
        <v>0</v>
      </c>
      <c r="AA35" s="87">
        <v>0</v>
      </c>
      <c r="AB35" s="28">
        <f t="shared" si="29"/>
        <v>0.06</v>
      </c>
      <c r="AC35" s="19">
        <f t="shared" si="30"/>
        <v>3983.38772869055</v>
      </c>
    </row>
    <row r="36" s="1" customFormat="1" ht="15" spans="1:29">
      <c r="B36" s="126" t="s">
        <v>115</v>
      </c>
      <c r="G36" s="2"/>
      <c r="N36" s="53"/>
      <c r="O36" s="121">
        <v>1</v>
      </c>
      <c r="P36" s="114" t="s">
        <v>116</v>
      </c>
      <c r="Q36" s="43">
        <v>5.2233</v>
      </c>
      <c r="R36" s="53" t="s">
        <v>75</v>
      </c>
      <c r="S36" s="83">
        <f>A34</f>
        <v>3551.269</v>
      </c>
      <c r="T36" s="84">
        <v>0</v>
      </c>
      <c r="U36" s="84">
        <f>E$30+M30</f>
        <v>0.652</v>
      </c>
      <c r="V36" s="85">
        <f>I32+1.6</f>
        <v>3.586</v>
      </c>
      <c r="W36" s="86">
        <f t="shared" si="26"/>
        <v>0.25</v>
      </c>
      <c r="X36" s="85">
        <f t="shared" si="27"/>
        <v>0.488431876606684</v>
      </c>
      <c r="Y36" s="53">
        <f t="shared" si="28"/>
        <v>0.8</v>
      </c>
      <c r="Z36" s="87">
        <v>0</v>
      </c>
      <c r="AA36" s="87">
        <v>0</v>
      </c>
      <c r="AB36" s="28">
        <f t="shared" si="29"/>
        <v>0.06</v>
      </c>
      <c r="AC36" s="19">
        <f>Q36*$S$36*(1+T36)*(1+U36)*V36*(1+W36)*X36*Y36*(1+Z36)*(1+AA36)*(1+AB36)*O36</f>
        <v>56892.9867262818</v>
      </c>
    </row>
    <row r="37" s="1" customFormat="1" ht="17.5" spans="1:29">
      <c r="B37" s="127" t="s">
        <v>117</v>
      </c>
      <c r="C37" s="128" t="s">
        <v>118</v>
      </c>
      <c r="D37" s="128" t="s">
        <v>119</v>
      </c>
      <c r="E37" s="128" t="s">
        <v>120</v>
      </c>
      <c r="F37" s="128" t="s">
        <v>121</v>
      </c>
      <c r="G37" s="2"/>
      <c r="I37" s="129" t="s">
        <v>122</v>
      </c>
      <c r="J37" s="129" t="s">
        <v>119</v>
      </c>
      <c r="N37" s="53"/>
      <c r="O37" s="130">
        <v>1</v>
      </c>
      <c r="P37" s="114" t="s">
        <v>123</v>
      </c>
      <c r="Q37" s="52">
        <f>258.46%</f>
        <v>2.5846</v>
      </c>
      <c r="R37" s="89" t="s">
        <v>78</v>
      </c>
      <c r="S37" s="90">
        <f>C$34</f>
        <v>1225</v>
      </c>
      <c r="T37" s="91">
        <f>S37/$C$27-1</f>
        <v>0.96</v>
      </c>
      <c r="U37" s="91">
        <f>E$30</f>
        <v>0.48</v>
      </c>
      <c r="V37" s="92">
        <f>1+$G$32*($I$32-1)</f>
        <v>1.209032</v>
      </c>
      <c r="W37" s="93">
        <f t="shared" si="26"/>
        <v>0.25</v>
      </c>
      <c r="X37" s="92">
        <f t="shared" si="27"/>
        <v>0.488431876606684</v>
      </c>
      <c r="Y37" s="89">
        <f t="shared" si="28"/>
        <v>0.8</v>
      </c>
      <c r="Z37" s="94">
        <v>0</v>
      </c>
      <c r="AA37" s="94">
        <v>0</v>
      </c>
      <c r="AB37" s="28">
        <f t="shared" si="29"/>
        <v>0.06</v>
      </c>
      <c r="AC37" s="19">
        <f>Q37*$C$27*(1+T37)*(1+U37)*V37*(1+W37)*X37*Y37*(1+Z37)*(1+AA37)*(1+AB37)*O37</f>
        <v>2933.18060500672</v>
      </c>
    </row>
    <row r="38" s="1" customFormat="1" ht="17.5" spans="1:29">
      <c r="B38" s="4" t="s">
        <v>3</v>
      </c>
      <c r="C38" s="131">
        <f>SUM(AC3:AC15)</f>
        <v>1101207.0529895</v>
      </c>
      <c r="D38" s="131">
        <f t="shared" ref="D38:D41" si="31">C38/$E$38</f>
        <v>44048.2821195799</v>
      </c>
      <c r="E38" s="132">
        <v>25</v>
      </c>
      <c r="F38" s="133">
        <f t="shared" ref="F38:F41" si="32">C38/$C$43</f>
        <v>0.831966198768491</v>
      </c>
      <c r="G38" s="2"/>
      <c r="I38" s="134" t="s">
        <v>124</v>
      </c>
      <c r="J38" s="134">
        <v>79375</v>
      </c>
      <c r="Q38" s="2"/>
      <c r="U38" s="2"/>
      <c r="V38" s="3"/>
      <c r="AB38" s="4"/>
      <c r="AC38" s="4"/>
    </row>
    <row r="39" s="1" customFormat="1" ht="17.5" spans="1:29">
      <c r="B39" s="4" t="s">
        <v>136</v>
      </c>
      <c r="C39" s="131">
        <v>123456</v>
      </c>
      <c r="D39" s="131">
        <f t="shared" si="31"/>
        <v>4938.24</v>
      </c>
      <c r="E39" s="135"/>
      <c r="F39" s="133">
        <f t="shared" si="32"/>
        <v>0.093271486734786</v>
      </c>
      <c r="G39" s="2"/>
      <c r="I39" s="134" t="s">
        <v>125</v>
      </c>
      <c r="J39" s="134">
        <v>83549</v>
      </c>
      <c r="Q39" s="2"/>
      <c r="U39" s="2"/>
      <c r="V39" s="3"/>
      <c r="AB39" s="4"/>
      <c r="AC39" s="4"/>
    </row>
    <row r="40" s="1" customFormat="1" ht="17.5" spans="1:29">
      <c r="B40" s="4" t="s">
        <v>108</v>
      </c>
      <c r="C40" s="131">
        <v>30000</v>
      </c>
      <c r="D40" s="131">
        <f t="shared" si="31"/>
        <v>1200</v>
      </c>
      <c r="E40" s="136"/>
      <c r="F40" s="133">
        <f t="shared" si="32"/>
        <v>0.0226651163332975</v>
      </c>
      <c r="G40" s="2"/>
      <c r="I40" s="134" t="s">
        <v>126</v>
      </c>
      <c r="J40" s="134">
        <v>87722</v>
      </c>
      <c r="Q40" s="2"/>
      <c r="U40" s="2"/>
      <c r="V40" s="3"/>
      <c r="AB40" s="4"/>
      <c r="AC40" s="4"/>
    </row>
    <row r="41" s="1" customFormat="1" ht="17.5" spans="1:29">
      <c r="B41" s="4" t="s">
        <v>104</v>
      </c>
      <c r="C41" s="131">
        <f>AC30</f>
        <v>68956.8904884319</v>
      </c>
      <c r="D41" s="131">
        <f t="shared" si="31"/>
        <v>2758.27561953728</v>
      </c>
      <c r="E41" s="136"/>
      <c r="F41" s="133">
        <f t="shared" si="32"/>
        <v>0.0520971981634256</v>
      </c>
      <c r="G41" s="2"/>
      <c r="I41" s="134" t="s">
        <v>127</v>
      </c>
      <c r="J41" s="134">
        <v>91896</v>
      </c>
      <c r="Q41" s="2"/>
      <c r="U41" s="2"/>
      <c r="V41" s="3"/>
      <c r="AB41" s="4"/>
      <c r="AC41" s="4"/>
    </row>
    <row r="42" s="1" customFormat="1" ht="15" spans="1:29">
      <c r="B42" s="4"/>
      <c r="C42" s="131"/>
      <c r="D42" s="131"/>
      <c r="E42" s="136"/>
      <c r="F42" s="133"/>
      <c r="G42" s="2"/>
      <c r="Q42" s="2"/>
      <c r="U42" s="2"/>
      <c r="V42" s="3"/>
      <c r="AB42" s="4"/>
      <c r="AC42" s="4"/>
    </row>
    <row r="43" s="1" customFormat="1" ht="17.5" spans="1:29">
      <c r="B43" s="4" t="s">
        <v>128</v>
      </c>
      <c r="C43" s="137">
        <f>SUM(C38:C41)</f>
        <v>1323619.94347793</v>
      </c>
      <c r="D43" s="137">
        <f>C43/E38</f>
        <v>52944.7977391172</v>
      </c>
      <c r="E43" s="138"/>
      <c r="F43" s="139"/>
      <c r="G43" s="2"/>
      <c r="I43" s="129" t="s">
        <v>137</v>
      </c>
      <c r="J43" s="129" t="s">
        <v>119</v>
      </c>
      <c r="L43" s="129" t="s">
        <v>135</v>
      </c>
      <c r="M43" s="129" t="s">
        <v>119</v>
      </c>
      <c r="Q43" s="2"/>
      <c r="U43" s="2"/>
      <c r="V43" s="3"/>
      <c r="AB43" s="4"/>
      <c r="AC43" s="4"/>
    </row>
    <row r="44" s="1" customFormat="1" ht="17.5" spans="1:29">
      <c r="B44" s="4"/>
      <c r="C44" s="4"/>
      <c r="D44" s="4"/>
      <c r="G44" s="140"/>
      <c r="I44" s="134" t="s">
        <v>124</v>
      </c>
      <c r="J44" s="134">
        <v>61842</v>
      </c>
      <c r="L44" s="134" t="s">
        <v>124</v>
      </c>
      <c r="M44" s="134">
        <v>76243</v>
      </c>
      <c r="Q44" s="2"/>
      <c r="U44" s="2"/>
      <c r="V44" s="3"/>
      <c r="AB44" s="4"/>
      <c r="AC44" s="4"/>
    </row>
    <row r="45" s="1" customFormat="1" ht="17.5" spans="1:29">
      <c r="B45" s="141" t="s">
        <v>129</v>
      </c>
      <c r="C45" s="142"/>
      <c r="D45" s="142"/>
      <c r="E45" s="142"/>
      <c r="F45" s="143"/>
      <c r="G45" s="2"/>
      <c r="I45" s="134" t="s">
        <v>125</v>
      </c>
      <c r="J45" s="134">
        <v>64829</v>
      </c>
      <c r="L45" s="134" t="s">
        <v>125</v>
      </c>
      <c r="M45" s="134">
        <v>80233</v>
      </c>
      <c r="Q45" s="2"/>
      <c r="U45" s="2"/>
      <c r="V45" s="3"/>
      <c r="AB45" s="4"/>
      <c r="AC45" s="4"/>
    </row>
    <row r="46" s="1" customFormat="1" ht="17.5" spans="1:29">
      <c r="B46" s="144"/>
      <c r="C46" s="145"/>
      <c r="D46" s="145"/>
      <c r="E46" s="145"/>
      <c r="F46" s="146"/>
      <c r="G46" s="2"/>
      <c r="I46" s="134" t="s">
        <v>126</v>
      </c>
      <c r="J46" s="134">
        <v>67815</v>
      </c>
      <c r="L46" s="134" t="s">
        <v>126</v>
      </c>
      <c r="M46" s="134">
        <v>84223</v>
      </c>
      <c r="Q46" s="2"/>
      <c r="U46" s="2"/>
      <c r="V46" s="3"/>
      <c r="AB46" s="4"/>
      <c r="AC46" s="4"/>
    </row>
    <row r="47" s="1" customFormat="1" spans="1:29">
      <c r="B47" s="147"/>
      <c r="C47" s="147"/>
      <c r="D47" s="147"/>
      <c r="E47" s="147"/>
      <c r="F47" s="147"/>
      <c r="Q47" s="2"/>
      <c r="U47" s="2"/>
      <c r="V47" s="3"/>
      <c r="AB47" s="4"/>
      <c r="AC47" s="4"/>
    </row>
    <row r="48" s="1" customFormat="1" ht="17.5" spans="1:29">
      <c r="B48" s="148" t="s">
        <v>130</v>
      </c>
      <c r="C48" s="149" t="s">
        <v>3</v>
      </c>
      <c r="D48" s="149" t="s">
        <v>131</v>
      </c>
      <c r="E48" s="76"/>
      <c r="F48" s="150"/>
      <c r="G48" s="2"/>
      <c r="I48" s="129" t="s">
        <v>138</v>
      </c>
      <c r="J48" s="129" t="s">
        <v>119</v>
      </c>
      <c r="L48" s="129" t="s">
        <v>139</v>
      </c>
      <c r="M48" s="129"/>
      <c r="Q48" s="2"/>
      <c r="U48" s="2"/>
      <c r="V48" s="3"/>
      <c r="AB48" s="4"/>
      <c r="AC48" s="4"/>
    </row>
    <row r="49" s="1" customFormat="1" ht="17.5" spans="2:29">
      <c r="B49" s="151"/>
      <c r="C49" s="136" t="s">
        <v>66</v>
      </c>
      <c r="D49" s="136" t="s">
        <v>132</v>
      </c>
      <c r="F49" s="152"/>
      <c r="G49" s="2"/>
      <c r="I49" s="134" t="s">
        <v>124</v>
      </c>
      <c r="J49" s="134">
        <v>61064</v>
      </c>
      <c r="L49" s="134" t="s">
        <v>124</v>
      </c>
      <c r="M49" s="134">
        <v>52945</v>
      </c>
      <c r="Q49" s="2"/>
      <c r="U49" s="2"/>
      <c r="V49" s="3"/>
      <c r="AB49" s="4"/>
      <c r="AC49" s="4"/>
    </row>
    <row r="50" s="1" customFormat="1" ht="17.5" spans="2:29">
      <c r="B50" s="154"/>
      <c r="C50" s="155" t="s">
        <v>133</v>
      </c>
      <c r="D50" s="155" t="s">
        <v>134</v>
      </c>
      <c r="E50" s="89"/>
      <c r="F50" s="48"/>
      <c r="G50" s="2"/>
      <c r="I50" s="134" t="s">
        <v>125</v>
      </c>
      <c r="J50" s="134">
        <v>63971</v>
      </c>
      <c r="L50" s="134" t="s">
        <v>125</v>
      </c>
      <c r="M50" s="134">
        <v>55438</v>
      </c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F57" s="4"/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G58" s="2"/>
      <c r="Q58" s="2"/>
      <c r="U58" s="2"/>
      <c r="V58" s="3"/>
      <c r="AB58" s="4"/>
      <c r="AC58" s="4"/>
    </row>
    <row r="59" s="1" customFormat="1" spans="2:29">
      <c r="G59" s="2"/>
      <c r="Q59" s="2"/>
      <c r="U59" s="2"/>
      <c r="V59" s="3"/>
      <c r="AB59" s="4"/>
      <c r="AC59" s="4"/>
    </row>
    <row r="60" s="1" customFormat="1" spans="2:29">
      <c r="B60" s="4"/>
      <c r="C60" s="4"/>
      <c r="D60" s="4"/>
      <c r="G60" s="2"/>
      <c r="Q60" s="2"/>
      <c r="U60" s="2"/>
      <c r="V60" s="3"/>
      <c r="AB60" s="4"/>
      <c r="AC60" s="4"/>
    </row>
    <row r="61" s="1" customFormat="1" spans="2:29"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C29" workbookViewId="0">
      <selection activeCell="H52" sqref="H52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9.36363636363636" style="1" customWidth="1"/>
    <col min="10" max="10" width="8.09090909090909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0</v>
      </c>
      <c r="C1" s="5" t="s">
        <v>1</v>
      </c>
      <c r="D1" s="6" t="s">
        <v>2</v>
      </c>
      <c r="E1" s="6">
        <v>1</v>
      </c>
      <c r="Q1" s="2"/>
      <c r="U1" s="2"/>
      <c r="V1" s="3"/>
      <c r="AB1" s="4"/>
      <c r="AC1" s="4"/>
    </row>
    <row r="2" s="1" customFormat="1" ht="1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0" t="s">
        <v>5</v>
      </c>
      <c r="Q2" s="11" t="s">
        <v>6</v>
      </c>
      <c r="R2" s="10" t="s">
        <v>7</v>
      </c>
      <c r="S2" s="10" t="s">
        <v>8</v>
      </c>
      <c r="T2" s="10" t="s">
        <v>9</v>
      </c>
      <c r="U2" s="11" t="s">
        <v>10</v>
      </c>
      <c r="V2" s="12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3" t="s">
        <v>17</v>
      </c>
      <c r="AC2" s="13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18">
        <v>1</v>
      </c>
      <c r="P3" s="19" t="s">
        <v>26</v>
      </c>
      <c r="Q3" s="20">
        <v>1.6102</v>
      </c>
      <c r="R3" s="21" t="s">
        <v>26</v>
      </c>
      <c r="S3" s="22">
        <f t="shared" ref="S3:S15" si="0">$C$4*(1+C$5+C$6+C$7+C$8)+C$9</f>
        <v>3491.6</v>
      </c>
      <c r="T3" s="23">
        <f t="shared" ref="T3:T15" si="1">S3/$C$4-1</f>
        <v>2.32533333333333</v>
      </c>
      <c r="U3" s="23">
        <f>IF(R3=$C$1,SUM($E$4:$E$9),SUM($E$4:$E$8))+60%</f>
        <v>2.4</v>
      </c>
      <c r="V3" s="24">
        <f t="shared" ref="V3:V15" si="2">1+$G$10*($I$10-1)</f>
        <v>2.3615</v>
      </c>
      <c r="W3" s="25">
        <f t="shared" ref="W3:W14" si="3">IF(R3=$C$1,$K$4+$K$5,$K$4)</f>
        <v>0.65</v>
      </c>
      <c r="X3" s="26">
        <f>$AF$3</f>
        <v>0.488431876606684</v>
      </c>
      <c r="Y3" s="21">
        <f t="shared" ref="Y3:Y7" si="4">$AF$14</f>
        <v>0.8</v>
      </c>
      <c r="Z3" s="27">
        <v>0</v>
      </c>
      <c r="AA3" s="27">
        <v>0</v>
      </c>
      <c r="AB3" s="28">
        <f t="shared" ref="AB3:AB24" si="5">$AF$17</f>
        <v>0.18</v>
      </c>
      <c r="AC3" s="19">
        <f t="shared" ref="AC3:AC15" si="6">Q3*$C$4*(1+T3)*(1+U3)*V3*(1+W3)*X3*Y3*(1+Z3)*(1+AA3)*(1+AB3)*O3</f>
        <v>34342.4371580774</v>
      </c>
      <c r="AD3" s="14">
        <v>0</v>
      </c>
      <c r="AE3" s="14">
        <v>0</v>
      </c>
      <c r="AF3" s="15">
        <f t="shared" ref="AF3:AF8" si="7">1520/(1520+(792+8*AG3)*(1-AE3/100))</f>
        <v>0.488431876606684</v>
      </c>
      <c r="AG3" s="29">
        <v>100</v>
      </c>
    </row>
    <row r="4" s="1" customFormat="1" ht="15" spans="2:33">
      <c r="B4" s="30" t="s">
        <v>27</v>
      </c>
      <c r="C4" s="31">
        <f>463+587</f>
        <v>1050</v>
      </c>
      <c r="D4" s="30" t="s">
        <v>28</v>
      </c>
      <c r="E4" s="32">
        <f>E1*30%</f>
        <v>0.3</v>
      </c>
      <c r="F4" s="30" t="s">
        <v>29</v>
      </c>
      <c r="G4" s="33">
        <v>0.13</v>
      </c>
      <c r="H4" s="30" t="s">
        <v>29</v>
      </c>
      <c r="I4" s="33">
        <v>1.5</v>
      </c>
      <c r="J4" s="34" t="s">
        <v>30</v>
      </c>
      <c r="K4" s="35">
        <f>15%+25%+25%</f>
        <v>0.65</v>
      </c>
      <c r="L4" s="30" t="s">
        <v>31</v>
      </c>
      <c r="M4" s="33">
        <f>8.6%*2</f>
        <v>0.172</v>
      </c>
      <c r="O4" s="36">
        <v>1</v>
      </c>
      <c r="P4" s="19" t="s">
        <v>32</v>
      </c>
      <c r="Q4" s="37">
        <f>72.67%*3</f>
        <v>2.1801</v>
      </c>
      <c r="R4" s="38" t="s">
        <v>33</v>
      </c>
      <c r="S4" s="39">
        <f t="shared" si="0"/>
        <v>3491.6</v>
      </c>
      <c r="T4" s="40">
        <f t="shared" si="1"/>
        <v>2.32533333333333</v>
      </c>
      <c r="U4" s="40">
        <f t="shared" ref="U4:U13" si="8">IF(R4=$C$1,SUM($E$4:$E$9),SUM($E$4:$E$8))</f>
        <v>1.8</v>
      </c>
      <c r="V4" s="24">
        <f t="shared" si="2"/>
        <v>2.3615</v>
      </c>
      <c r="W4" s="41">
        <f t="shared" si="3"/>
        <v>0.65</v>
      </c>
      <c r="X4" s="26">
        <f>$AF$3</f>
        <v>0.488431876606684</v>
      </c>
      <c r="Y4" s="38">
        <f t="shared" si="4"/>
        <v>0.8</v>
      </c>
      <c r="Z4" s="42">
        <v>0</v>
      </c>
      <c r="AA4" s="42">
        <v>0</v>
      </c>
      <c r="AB4" s="28">
        <f t="shared" si="5"/>
        <v>0.18</v>
      </c>
      <c r="AC4" s="19">
        <f t="shared" si="6"/>
        <v>38291.8914521596</v>
      </c>
      <c r="AD4" s="14">
        <v>0</v>
      </c>
      <c r="AE4" s="14">
        <v>0</v>
      </c>
      <c r="AF4" s="15">
        <f>1520/(1520+(792+8*AG4)*(1-AE4/100)*(1-AD4/100))</f>
        <v>0.488431876606684</v>
      </c>
      <c r="AG4" s="29">
        <v>100</v>
      </c>
    </row>
    <row r="5" s="1" customFormat="1" ht="15" spans="2:33">
      <c r="B5" s="30" t="s">
        <v>34</v>
      </c>
      <c r="C5" s="32">
        <f>12%+12%+12%</f>
        <v>0.36</v>
      </c>
      <c r="D5" s="30" t="s">
        <v>35</v>
      </c>
      <c r="E5" s="32">
        <v>0.4</v>
      </c>
      <c r="F5" s="30" t="s">
        <v>36</v>
      </c>
      <c r="G5" s="33">
        <v>0.243</v>
      </c>
      <c r="H5" s="30" t="s">
        <v>36</v>
      </c>
      <c r="I5" s="33">
        <v>0</v>
      </c>
      <c r="J5" s="43" t="s">
        <v>37</v>
      </c>
      <c r="K5" s="35"/>
      <c r="L5" s="30" t="s">
        <v>38</v>
      </c>
      <c r="M5" s="33">
        <f>8.6%*2</f>
        <v>0.172</v>
      </c>
      <c r="O5" s="36">
        <v>2</v>
      </c>
      <c r="P5" s="19" t="s">
        <v>39</v>
      </c>
      <c r="Q5" s="37">
        <v>0.5746</v>
      </c>
      <c r="R5" s="38" t="s">
        <v>1</v>
      </c>
      <c r="S5" s="39">
        <f t="shared" si="0"/>
        <v>3491.6</v>
      </c>
      <c r="T5" s="40">
        <f t="shared" si="1"/>
        <v>2.32533333333333</v>
      </c>
      <c r="U5" s="40">
        <f t="shared" si="8"/>
        <v>2.572</v>
      </c>
      <c r="V5" s="24">
        <f t="shared" si="2"/>
        <v>2.3615</v>
      </c>
      <c r="W5" s="41">
        <f t="shared" si="3"/>
        <v>0.65</v>
      </c>
      <c r="X5" s="26">
        <f t="shared" ref="X5:X14" si="9">$AF$4</f>
        <v>0.488431876606684</v>
      </c>
      <c r="Y5" s="38">
        <f t="shared" si="4"/>
        <v>0.8</v>
      </c>
      <c r="Z5" s="42">
        <v>0</v>
      </c>
      <c r="AA5" s="42">
        <v>0</v>
      </c>
      <c r="AB5" s="28">
        <f t="shared" si="5"/>
        <v>0.18</v>
      </c>
      <c r="AC5" s="19">
        <f t="shared" si="6"/>
        <v>25750.1308587036</v>
      </c>
      <c r="AD5" s="14">
        <v>0</v>
      </c>
      <c r="AE5" s="14">
        <v>30</v>
      </c>
      <c r="AF5" s="15">
        <f t="shared" si="7"/>
        <v>0.57698147585788</v>
      </c>
      <c r="AG5" s="29">
        <v>100</v>
      </c>
    </row>
    <row r="6" s="1" customFormat="1" ht="15" spans="2:33">
      <c r="B6" s="30" t="s">
        <v>40</v>
      </c>
      <c r="C6" s="33">
        <f>18%+18%+M4+(2-E1)*30%</f>
        <v>0.832</v>
      </c>
      <c r="D6" s="30" t="s">
        <v>41</v>
      </c>
      <c r="E6" s="32">
        <v>0.12</v>
      </c>
      <c r="F6" s="30" t="s">
        <v>42</v>
      </c>
      <c r="G6" s="33"/>
      <c r="H6" s="30" t="s">
        <v>42</v>
      </c>
      <c r="I6" s="33">
        <v>0</v>
      </c>
      <c r="J6" s="43"/>
      <c r="K6" s="32"/>
      <c r="L6" s="30" t="s">
        <v>23</v>
      </c>
      <c r="M6" s="33">
        <f>8.1*5%</f>
        <v>0.405</v>
      </c>
      <c r="O6" s="36">
        <v>3</v>
      </c>
      <c r="P6" s="19" t="s">
        <v>43</v>
      </c>
      <c r="Q6" s="37">
        <f>50.42%+50.42%</f>
        <v>1.0084</v>
      </c>
      <c r="R6" s="38" t="s">
        <v>1</v>
      </c>
      <c r="S6" s="39">
        <f t="shared" si="0"/>
        <v>3491.6</v>
      </c>
      <c r="T6" s="40">
        <f t="shared" si="1"/>
        <v>2.32533333333333</v>
      </c>
      <c r="U6" s="40">
        <f t="shared" si="8"/>
        <v>2.572</v>
      </c>
      <c r="V6" s="24">
        <f t="shared" si="2"/>
        <v>2.3615</v>
      </c>
      <c r="W6" s="41">
        <f t="shared" si="3"/>
        <v>0.65</v>
      </c>
      <c r="X6" s="26">
        <f t="shared" si="9"/>
        <v>0.488431876606684</v>
      </c>
      <c r="Y6" s="38">
        <f t="shared" ref="Y6:Y15" si="10">$AF$12</f>
        <v>0.8</v>
      </c>
      <c r="Z6" s="42">
        <v>0</v>
      </c>
      <c r="AA6" s="42">
        <v>0</v>
      </c>
      <c r="AB6" s="28">
        <f t="shared" si="5"/>
        <v>0.18</v>
      </c>
      <c r="AC6" s="19">
        <f t="shared" si="6"/>
        <v>67785.6734021495</v>
      </c>
      <c r="AD6" s="14">
        <v>0</v>
      </c>
      <c r="AE6" s="14">
        <v>21.6</v>
      </c>
      <c r="AF6" s="15">
        <f t="shared" si="7"/>
        <v>0.549107555719967</v>
      </c>
      <c r="AG6" s="29">
        <v>100</v>
      </c>
    </row>
    <row r="7" s="1" customFormat="1" ht="15" spans="2:33">
      <c r="B7" s="30" t="s">
        <v>44</v>
      </c>
      <c r="C7" s="33">
        <v>0.25</v>
      </c>
      <c r="D7" s="30" t="s">
        <v>45</v>
      </c>
      <c r="E7" s="32">
        <f>58%+40%</f>
        <v>0.98</v>
      </c>
      <c r="F7" s="30" t="s">
        <v>40</v>
      </c>
      <c r="G7" s="33">
        <f>M6</f>
        <v>0.405</v>
      </c>
      <c r="H7" s="30" t="s">
        <v>40</v>
      </c>
      <c r="I7" s="33">
        <f>M7+44%</f>
        <v>1.25</v>
      </c>
      <c r="J7" s="43"/>
      <c r="K7" s="32"/>
      <c r="L7" s="30" t="s">
        <v>46</v>
      </c>
      <c r="M7" s="32">
        <f>16.2%*5</f>
        <v>0.81</v>
      </c>
      <c r="O7" s="36">
        <v>3</v>
      </c>
      <c r="P7" s="19" t="s">
        <v>47</v>
      </c>
      <c r="Q7" s="37">
        <f>74.92%+74.92%</f>
        <v>1.4984</v>
      </c>
      <c r="R7" s="38" t="s">
        <v>1</v>
      </c>
      <c r="S7" s="39">
        <f t="shared" si="0"/>
        <v>3491.6</v>
      </c>
      <c r="T7" s="40">
        <f t="shared" si="1"/>
        <v>2.32533333333333</v>
      </c>
      <c r="U7" s="40">
        <f t="shared" si="8"/>
        <v>2.572</v>
      </c>
      <c r="V7" s="24">
        <f t="shared" si="2"/>
        <v>2.3615</v>
      </c>
      <c r="W7" s="41">
        <f t="shared" si="3"/>
        <v>0.65</v>
      </c>
      <c r="X7" s="26">
        <f t="shared" si="9"/>
        <v>0.488431876606684</v>
      </c>
      <c r="Y7" s="38">
        <f t="shared" si="4"/>
        <v>0.8</v>
      </c>
      <c r="Z7" s="42">
        <v>0</v>
      </c>
      <c r="AA7" s="42">
        <v>0</v>
      </c>
      <c r="AB7" s="28">
        <f t="shared" si="5"/>
        <v>0.18</v>
      </c>
      <c r="AC7" s="19">
        <f t="shared" si="6"/>
        <v>100723.971663805</v>
      </c>
      <c r="AD7" s="14">
        <v>0</v>
      </c>
      <c r="AE7" s="14">
        <v>28.8</v>
      </c>
      <c r="AF7" s="15">
        <f t="shared" si="7"/>
        <v>0.572827476423627</v>
      </c>
      <c r="AG7" s="29">
        <v>100</v>
      </c>
    </row>
    <row r="8" s="1" customFormat="1" ht="15" spans="2:33">
      <c r="B8" s="30" t="s">
        <v>48</v>
      </c>
      <c r="C8" s="44">
        <f>25%+30%</f>
        <v>0.55</v>
      </c>
      <c r="D8" s="30" t="s">
        <v>49</v>
      </c>
      <c r="E8" s="45"/>
      <c r="F8" s="30" t="s">
        <v>50</v>
      </c>
      <c r="G8" s="33">
        <v>0</v>
      </c>
      <c r="H8" s="30" t="s">
        <v>51</v>
      </c>
      <c r="I8" s="33"/>
      <c r="J8" s="43"/>
      <c r="K8" s="32"/>
      <c r="L8" s="30"/>
      <c r="M8" s="31"/>
      <c r="O8" s="36">
        <v>2</v>
      </c>
      <c r="P8" s="19" t="s">
        <v>52</v>
      </c>
      <c r="Q8" s="37">
        <v>1.5547</v>
      </c>
      <c r="R8" s="38" t="s">
        <v>1</v>
      </c>
      <c r="S8" s="39">
        <f t="shared" si="0"/>
        <v>3491.6</v>
      </c>
      <c r="T8" s="40">
        <f t="shared" si="1"/>
        <v>2.32533333333333</v>
      </c>
      <c r="U8" s="40">
        <f t="shared" si="8"/>
        <v>2.572</v>
      </c>
      <c r="V8" s="24">
        <f t="shared" si="2"/>
        <v>2.3615</v>
      </c>
      <c r="W8" s="41">
        <f t="shared" si="3"/>
        <v>0.65</v>
      </c>
      <c r="X8" s="26">
        <f t="shared" si="9"/>
        <v>0.488431876606684</v>
      </c>
      <c r="Y8" s="38">
        <f t="shared" si="10"/>
        <v>0.8</v>
      </c>
      <c r="Z8" s="42">
        <v>0</v>
      </c>
      <c r="AA8" s="42">
        <v>0</v>
      </c>
      <c r="AB8" s="28">
        <f t="shared" si="5"/>
        <v>0.18</v>
      </c>
      <c r="AC8" s="19">
        <f t="shared" si="6"/>
        <v>69672.3432753681</v>
      </c>
      <c r="AD8" s="14">
        <v>0</v>
      </c>
      <c r="AE8" s="14">
        <v>36</v>
      </c>
      <c r="AF8" s="15">
        <f t="shared" si="7"/>
        <v>0.598689185782707</v>
      </c>
      <c r="AG8" s="29">
        <v>100</v>
      </c>
    </row>
    <row r="9" s="1" customFormat="1" ht="15" spans="2:33">
      <c r="B9" s="30" t="s">
        <v>53</v>
      </c>
      <c r="C9" s="31">
        <v>350</v>
      </c>
      <c r="D9" s="30" t="s">
        <v>54</v>
      </c>
      <c r="E9" s="46">
        <f>M5+12%+24%*2</f>
        <v>0.772</v>
      </c>
      <c r="F9" s="30" t="s">
        <v>55</v>
      </c>
      <c r="G9" s="33"/>
      <c r="H9" s="30" t="s">
        <v>55</v>
      </c>
      <c r="I9" s="33"/>
      <c r="J9" s="43"/>
      <c r="K9" s="32"/>
      <c r="L9" s="30"/>
      <c r="M9" s="31"/>
      <c r="O9" s="36">
        <v>1</v>
      </c>
      <c r="P9" s="19" t="s">
        <v>56</v>
      </c>
      <c r="Q9" s="37">
        <f>26.56%*5+88.53%</f>
        <v>2.2133</v>
      </c>
      <c r="R9" s="38" t="s">
        <v>1</v>
      </c>
      <c r="S9" s="39">
        <f t="shared" si="0"/>
        <v>3491.6</v>
      </c>
      <c r="T9" s="40">
        <f t="shared" si="1"/>
        <v>2.32533333333333</v>
      </c>
      <c r="U9" s="40">
        <f t="shared" si="8"/>
        <v>2.572</v>
      </c>
      <c r="V9" s="24">
        <f t="shared" si="2"/>
        <v>2.3615</v>
      </c>
      <c r="W9" s="41">
        <f t="shared" si="3"/>
        <v>0.65</v>
      </c>
      <c r="X9" s="26">
        <f t="shared" si="9"/>
        <v>0.488431876606684</v>
      </c>
      <c r="Y9" s="38">
        <f>$AF$14</f>
        <v>0.8</v>
      </c>
      <c r="Z9" s="42">
        <v>1.1</v>
      </c>
      <c r="AA9" s="42">
        <v>0</v>
      </c>
      <c r="AB9" s="28">
        <f t="shared" si="5"/>
        <v>0.18</v>
      </c>
      <c r="AC9" s="19">
        <f t="shared" si="6"/>
        <v>104146.193632174</v>
      </c>
    </row>
    <row r="10" s="1" customFormat="1" ht="15" spans="2:33">
      <c r="B10" s="47" t="s">
        <v>57</v>
      </c>
      <c r="C10" s="48"/>
      <c r="D10" s="47"/>
      <c r="E10" s="49"/>
      <c r="F10" s="50" t="s">
        <v>58</v>
      </c>
      <c r="G10" s="51">
        <f>MIN(100%,SUM(G4:G9))</f>
        <v>0.778</v>
      </c>
      <c r="H10" s="50" t="s">
        <v>59</v>
      </c>
      <c r="I10" s="51">
        <f>SUM(I4:I9)</f>
        <v>2.75</v>
      </c>
      <c r="J10" s="52"/>
      <c r="K10" s="49"/>
      <c r="L10" s="47"/>
      <c r="M10" s="48"/>
      <c r="O10" s="36">
        <v>1</v>
      </c>
      <c r="P10" s="19" t="s">
        <v>60</v>
      </c>
      <c r="Q10" s="37">
        <v>2.8773</v>
      </c>
      <c r="R10" s="38" t="s">
        <v>1</v>
      </c>
      <c r="S10" s="39">
        <f t="shared" si="0"/>
        <v>3491.6</v>
      </c>
      <c r="T10" s="40">
        <f t="shared" si="1"/>
        <v>2.32533333333333</v>
      </c>
      <c r="U10" s="40">
        <f t="shared" si="8"/>
        <v>2.572</v>
      </c>
      <c r="V10" s="24">
        <f t="shared" si="2"/>
        <v>2.3615</v>
      </c>
      <c r="W10" s="41">
        <f t="shared" si="3"/>
        <v>0.65</v>
      </c>
      <c r="X10" s="26">
        <f t="shared" si="9"/>
        <v>0.488431876606684</v>
      </c>
      <c r="Y10" s="38">
        <f t="shared" si="10"/>
        <v>0.8</v>
      </c>
      <c r="Z10" s="42">
        <v>1.1</v>
      </c>
      <c r="AA10" s="42">
        <v>0</v>
      </c>
      <c r="AB10" s="28">
        <f t="shared" si="5"/>
        <v>0.18</v>
      </c>
      <c r="AC10" s="19">
        <f t="shared" si="6"/>
        <v>135390.522268944</v>
      </c>
    </row>
    <row r="11" s="1" customFormat="1" ht="15" spans="2:33">
      <c r="B11" s="53"/>
      <c r="C11" s="53"/>
      <c r="E11" s="54"/>
      <c r="F11" s="16" t="s">
        <v>61</v>
      </c>
      <c r="G11" s="55">
        <f>MAX(0,SUM(G4:G9)-1)</f>
        <v>0</v>
      </c>
      <c r="J11" s="2"/>
      <c r="K11" s="2"/>
      <c r="O11" s="36">
        <v>1</v>
      </c>
      <c r="P11" s="19" t="s">
        <v>62</v>
      </c>
      <c r="Q11" s="37">
        <v>3.5411</v>
      </c>
      <c r="R11" s="38" t="s">
        <v>1</v>
      </c>
      <c r="S11" s="39">
        <f t="shared" si="0"/>
        <v>3491.6</v>
      </c>
      <c r="T11" s="40">
        <f t="shared" si="1"/>
        <v>2.32533333333333</v>
      </c>
      <c r="U11" s="40">
        <f t="shared" si="8"/>
        <v>2.572</v>
      </c>
      <c r="V11" s="24">
        <f t="shared" si="2"/>
        <v>2.3615</v>
      </c>
      <c r="W11" s="41">
        <f t="shared" si="3"/>
        <v>0.65</v>
      </c>
      <c r="X11" s="26">
        <f t="shared" si="9"/>
        <v>0.488431876606684</v>
      </c>
      <c r="Y11" s="38">
        <f t="shared" si="10"/>
        <v>0.8</v>
      </c>
      <c r="Z11" s="42">
        <v>1.1</v>
      </c>
      <c r="AA11" s="42">
        <v>0</v>
      </c>
      <c r="AB11" s="28">
        <f t="shared" si="5"/>
        <v>0.18</v>
      </c>
      <c r="AC11" s="19">
        <f t="shared" si="6"/>
        <v>166625.439963354</v>
      </c>
      <c r="AE11" s="56"/>
      <c r="AF11" s="56"/>
    </row>
    <row r="12" s="1" customFormat="1" ht="15" spans="2:33">
      <c r="B12" s="53"/>
      <c r="C12" s="53"/>
      <c r="E12" s="54"/>
      <c r="G12" s="57"/>
      <c r="J12" s="2"/>
      <c r="K12" s="2"/>
      <c r="O12" s="36">
        <v>1</v>
      </c>
      <c r="P12" s="19" t="s">
        <v>63</v>
      </c>
      <c r="Q12" s="37">
        <v>3.069</v>
      </c>
      <c r="R12" s="38" t="s">
        <v>1</v>
      </c>
      <c r="S12" s="39">
        <f t="shared" si="0"/>
        <v>3491.6</v>
      </c>
      <c r="T12" s="40">
        <f t="shared" si="1"/>
        <v>2.32533333333333</v>
      </c>
      <c r="U12" s="40">
        <f t="shared" si="8"/>
        <v>2.572</v>
      </c>
      <c r="V12" s="24">
        <f t="shared" si="2"/>
        <v>2.3615</v>
      </c>
      <c r="W12" s="41">
        <f t="shared" si="3"/>
        <v>0.65</v>
      </c>
      <c r="X12" s="26">
        <f t="shared" si="9"/>
        <v>0.488431876606684</v>
      </c>
      <c r="Y12" s="38">
        <f t="shared" si="10"/>
        <v>0.8</v>
      </c>
      <c r="Z12" s="42">
        <v>1.1</v>
      </c>
      <c r="AA12" s="42">
        <v>0</v>
      </c>
      <c r="AB12" s="28">
        <f t="shared" si="5"/>
        <v>0.18</v>
      </c>
      <c r="AC12" s="19">
        <f t="shared" si="6"/>
        <v>144410.910521457</v>
      </c>
      <c r="AE12" s="58"/>
      <c r="AF12" s="58">
        <v>0.8</v>
      </c>
    </row>
    <row r="13" s="1" customFormat="1" ht="15" spans="2:33">
      <c r="B13" s="5" t="s">
        <v>0</v>
      </c>
      <c r="C13" s="5" t="s">
        <v>1</v>
      </c>
      <c r="D13" s="6" t="s">
        <v>2</v>
      </c>
      <c r="E13" s="6">
        <v>1</v>
      </c>
      <c r="O13" s="36">
        <v>1</v>
      </c>
      <c r="P13" s="19" t="s">
        <v>64</v>
      </c>
      <c r="Q13" s="37">
        <v>1.5345</v>
      </c>
      <c r="R13" s="38" t="s">
        <v>1</v>
      </c>
      <c r="S13" s="39">
        <f t="shared" si="0"/>
        <v>3491.6</v>
      </c>
      <c r="T13" s="40">
        <f t="shared" si="1"/>
        <v>2.32533333333333</v>
      </c>
      <c r="U13" s="40">
        <f t="shared" si="8"/>
        <v>2.572</v>
      </c>
      <c r="V13" s="24">
        <f t="shared" si="2"/>
        <v>2.3615</v>
      </c>
      <c r="W13" s="41">
        <f t="shared" si="3"/>
        <v>0.65</v>
      </c>
      <c r="X13" s="26">
        <f t="shared" si="9"/>
        <v>0.488431876606684</v>
      </c>
      <c r="Y13" s="38">
        <f t="shared" si="10"/>
        <v>0.8</v>
      </c>
      <c r="Z13" s="42">
        <v>1.1</v>
      </c>
      <c r="AA13" s="42">
        <v>0</v>
      </c>
      <c r="AB13" s="28">
        <f t="shared" si="5"/>
        <v>0.18</v>
      </c>
      <c r="AC13" s="19">
        <f t="shared" si="6"/>
        <v>72205.4552607287</v>
      </c>
      <c r="AE13" s="59" t="s">
        <v>65</v>
      </c>
      <c r="AF13" s="59">
        <v>0.8</v>
      </c>
    </row>
    <row r="14" s="1" customFormat="1" ht="15" spans="2:33">
      <c r="B14" s="60" t="s">
        <v>66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O14" s="36">
        <v>1</v>
      </c>
      <c r="P14" s="19" t="s">
        <v>67</v>
      </c>
      <c r="Q14" s="37">
        <f>745.54%+49.71%*5</f>
        <v>9.9409</v>
      </c>
      <c r="R14" s="38" t="s">
        <v>1</v>
      </c>
      <c r="S14" s="39">
        <f t="shared" si="0"/>
        <v>3491.6</v>
      </c>
      <c r="T14" s="40">
        <f t="shared" si="1"/>
        <v>2.32533333333333</v>
      </c>
      <c r="U14" s="40">
        <f>IF(R14=$C$1,SUM($E$4:$E$9),SUM($E$4:$E$8))+40%</f>
        <v>2.972</v>
      </c>
      <c r="V14" s="24">
        <f t="shared" si="2"/>
        <v>2.3615</v>
      </c>
      <c r="W14" s="41">
        <f t="shared" si="3"/>
        <v>0.65</v>
      </c>
      <c r="X14" s="26">
        <f t="shared" si="9"/>
        <v>0.488431876606684</v>
      </c>
      <c r="Y14" s="38">
        <f t="shared" si="10"/>
        <v>0.8</v>
      </c>
      <c r="Z14" s="42">
        <v>0.75</v>
      </c>
      <c r="AA14" s="42">
        <v>0</v>
      </c>
      <c r="AB14" s="28">
        <f t="shared" si="5"/>
        <v>0.18</v>
      </c>
      <c r="AC14" s="19">
        <f t="shared" si="6"/>
        <v>433456.346831126</v>
      </c>
      <c r="AE14" s="61" t="s">
        <v>68</v>
      </c>
      <c r="AF14" s="61">
        <v>0.8</v>
      </c>
    </row>
    <row r="15" s="1" customFormat="1" ht="15" spans="2:33">
      <c r="B15" s="62" t="s">
        <v>22</v>
      </c>
      <c r="C15" s="62"/>
      <c r="D15" s="62" t="s">
        <v>10</v>
      </c>
      <c r="E15" s="62"/>
      <c r="F15" s="62" t="s">
        <v>23</v>
      </c>
      <c r="G15" s="62"/>
      <c r="H15" s="62" t="s">
        <v>24</v>
      </c>
      <c r="I15" s="62"/>
      <c r="J15" s="62" t="s">
        <v>12</v>
      </c>
      <c r="K15" s="62"/>
      <c r="L15" s="62" t="s">
        <v>25</v>
      </c>
      <c r="M15" s="62"/>
      <c r="O15" s="63">
        <v>1</v>
      </c>
      <c r="P15" s="19" t="s">
        <v>69</v>
      </c>
      <c r="Q15" s="64">
        <v>5</v>
      </c>
      <c r="R15" s="65" t="s">
        <v>70</v>
      </c>
      <c r="S15" s="66">
        <f t="shared" si="0"/>
        <v>3491.6</v>
      </c>
      <c r="T15" s="67">
        <f t="shared" si="1"/>
        <v>2.32533333333333</v>
      </c>
      <c r="U15" s="67">
        <f>IF(R15=$C$1,SUM($E$4:$E$9),SUM($E$4:$E$8))+$E$10</f>
        <v>1.8</v>
      </c>
      <c r="V15" s="68">
        <f t="shared" si="2"/>
        <v>2.3615</v>
      </c>
      <c r="W15" s="69">
        <f>IF(R15=$C$1,$K$4+$K$5,$K$4)+$K$6</f>
        <v>0.65</v>
      </c>
      <c r="X15" s="26">
        <f t="shared" ref="X15:X24" si="11">$AF$3</f>
        <v>0.488431876606684</v>
      </c>
      <c r="Y15" s="65">
        <f t="shared" si="10"/>
        <v>0.8</v>
      </c>
      <c r="Z15" s="70">
        <v>0</v>
      </c>
      <c r="AA15" s="70">
        <v>0</v>
      </c>
      <c r="AB15" s="28">
        <f t="shared" si="5"/>
        <v>0.18</v>
      </c>
      <c r="AC15" s="19">
        <f t="shared" si="6"/>
        <v>87821.410605384</v>
      </c>
      <c r="AE15" s="71" t="s">
        <v>71</v>
      </c>
      <c r="AF15" s="71">
        <v>0.8</v>
      </c>
    </row>
    <row r="16" s="1" customFormat="1" ht="15" spans="2:33">
      <c r="B16" s="72" t="s">
        <v>27</v>
      </c>
      <c r="C16" s="31">
        <f>375+588</f>
        <v>963</v>
      </c>
      <c r="D16" s="72" t="s">
        <v>28</v>
      </c>
      <c r="E16" s="35">
        <f>E13*30%</f>
        <v>0.3</v>
      </c>
      <c r="F16" s="72" t="s">
        <v>29</v>
      </c>
      <c r="G16" s="73">
        <v>0.13</v>
      </c>
      <c r="H16" s="72" t="s">
        <v>29</v>
      </c>
      <c r="I16" s="73">
        <v>1.5</v>
      </c>
      <c r="J16" s="34" t="s">
        <v>30</v>
      </c>
      <c r="K16" s="35">
        <f>25%</f>
        <v>0.25</v>
      </c>
      <c r="L16" s="72" t="s">
        <v>31</v>
      </c>
      <c r="M16" s="73">
        <f>8.6%*2</f>
        <v>0.172</v>
      </c>
      <c r="O16" s="18">
        <v>1</v>
      </c>
      <c r="P16" s="74" t="s">
        <v>32</v>
      </c>
      <c r="Q16" s="75">
        <v>2.248</v>
      </c>
      <c r="R16" s="76" t="s">
        <v>33</v>
      </c>
      <c r="S16" s="77">
        <f t="shared" ref="S16:S24" si="12">$C$16*(1+$C$17+$C$18+$C$19+$C$20)+($C$21+$C$22)</f>
        <v>2586.086</v>
      </c>
      <c r="T16" s="78">
        <f t="shared" ref="T16:T24" si="13">($C$17+$C$18+$C$19+$C$20)+($C$21+$C$22)/$C$16</f>
        <v>1.68544755970924</v>
      </c>
      <c r="U16" s="78">
        <f>IF(R16=$C$13,SUM($E$16:$E$21),SUM($E$16:$E$20))-12%</f>
        <v>1.41</v>
      </c>
      <c r="V16" s="79">
        <f t="shared" ref="V16:V24" si="14">1+$G$22*($I$22-1)</f>
        <v>2.3615</v>
      </c>
      <c r="W16" s="80">
        <f t="shared" ref="W16:W24" si="15">IF(R16=$C$1,$K$16+$K$17,$K$16)</f>
        <v>0.25</v>
      </c>
      <c r="X16" s="79">
        <f t="shared" si="11"/>
        <v>0.488431876606684</v>
      </c>
      <c r="Y16" s="76">
        <f t="shared" ref="Y16:Y24" si="16">$AF$15</f>
        <v>0.8</v>
      </c>
      <c r="Z16" s="81">
        <v>0</v>
      </c>
      <c r="AA16" s="81">
        <v>0</v>
      </c>
      <c r="AB16" s="28">
        <f t="shared" si="5"/>
        <v>0.18</v>
      </c>
      <c r="AC16" s="82">
        <f t="shared" ref="AC16:AC24" si="17">Q16*$C$16*(1+T16)*(1+U16)*V16*(1+W16)*X16*Y16*(1+Z16)*(1+AA16)*(1+AB16)*O16</f>
        <v>19069.1032178336</v>
      </c>
    </row>
    <row r="17" s="1" customFormat="1" ht="15" spans="1:32">
      <c r="B17" s="30" t="s">
        <v>34</v>
      </c>
      <c r="C17" s="32">
        <v>0.24</v>
      </c>
      <c r="D17" s="30" t="s">
        <v>35</v>
      </c>
      <c r="E17" s="32">
        <v>0.1</v>
      </c>
      <c r="F17" s="30" t="s">
        <v>36</v>
      </c>
      <c r="G17" s="33">
        <v>0.243</v>
      </c>
      <c r="H17" s="30" t="s">
        <v>36</v>
      </c>
      <c r="I17" s="33">
        <v>0</v>
      </c>
      <c r="J17" s="43" t="s">
        <v>72</v>
      </c>
      <c r="K17" s="32"/>
      <c r="L17" s="30" t="s">
        <v>73</v>
      </c>
      <c r="M17" s="33">
        <f>1*8.6%</f>
        <v>0.086</v>
      </c>
      <c r="O17" s="36">
        <v>1</v>
      </c>
      <c r="P17" s="74" t="s">
        <v>74</v>
      </c>
      <c r="Q17" s="43">
        <v>8.748</v>
      </c>
      <c r="R17" s="53" t="s">
        <v>75</v>
      </c>
      <c r="S17" s="83">
        <f t="shared" si="12"/>
        <v>2586.086</v>
      </c>
      <c r="T17" s="84">
        <f t="shared" si="13"/>
        <v>1.68544755970924</v>
      </c>
      <c r="U17" s="84">
        <f>IF(R17=$C$13,SUM($E$16:$E$21),SUM($E$16:$E$20))-12%</f>
        <v>1.41</v>
      </c>
      <c r="V17" s="85">
        <f t="shared" si="14"/>
        <v>2.3615</v>
      </c>
      <c r="W17" s="86">
        <f t="shared" si="15"/>
        <v>0.25</v>
      </c>
      <c r="X17" s="85">
        <f t="shared" si="11"/>
        <v>0.488431876606684</v>
      </c>
      <c r="Y17" s="76">
        <f t="shared" si="16"/>
        <v>0.8</v>
      </c>
      <c r="Z17" s="87">
        <v>0</v>
      </c>
      <c r="AA17" s="87">
        <v>0</v>
      </c>
      <c r="AB17" s="28">
        <f t="shared" si="5"/>
        <v>0.18</v>
      </c>
      <c r="AC17" s="82">
        <f t="shared" si="17"/>
        <v>74206.6347640605</v>
      </c>
      <c r="AE17" s="1" t="s">
        <v>76</v>
      </c>
      <c r="AF17" s="54">
        <v>0.18</v>
      </c>
    </row>
    <row r="18" s="1" customFormat="1" ht="15" spans="1:32">
      <c r="B18" s="30" t="s">
        <v>40</v>
      </c>
      <c r="C18" s="32">
        <f>18%+18%+M16+(2-E13)*30%</f>
        <v>0.832</v>
      </c>
      <c r="D18" s="30" t="s">
        <v>41</v>
      </c>
      <c r="E18" s="32">
        <v>0.25</v>
      </c>
      <c r="F18" s="30" t="s">
        <v>42</v>
      </c>
      <c r="G18" s="33"/>
      <c r="H18" s="30" t="s">
        <v>42</v>
      </c>
      <c r="I18" s="33">
        <v>0.44</v>
      </c>
      <c r="J18" s="43"/>
      <c r="K18" s="33"/>
      <c r="L18" s="30" t="s">
        <v>23</v>
      </c>
      <c r="M18" s="33">
        <f>8.1*5%</f>
        <v>0.405</v>
      </c>
      <c r="O18" s="36">
        <v>1</v>
      </c>
      <c r="P18" s="74" t="s">
        <v>77</v>
      </c>
      <c r="Q18" s="43">
        <v>2.7863</v>
      </c>
      <c r="R18" s="53" t="s">
        <v>78</v>
      </c>
      <c r="S18" s="83">
        <f t="shared" si="12"/>
        <v>2586.086</v>
      </c>
      <c r="T18" s="84">
        <f t="shared" si="13"/>
        <v>1.68544755970924</v>
      </c>
      <c r="U18" s="84">
        <f>IF(R18=$C$13,SUM($E$16:$E$21),SUM($E$16:$E$20))-6%</f>
        <v>1.47</v>
      </c>
      <c r="V18" s="85">
        <f t="shared" si="14"/>
        <v>2.3615</v>
      </c>
      <c r="W18" s="86">
        <f t="shared" si="15"/>
        <v>0.25</v>
      </c>
      <c r="X18" s="85">
        <f t="shared" si="11"/>
        <v>0.488431876606684</v>
      </c>
      <c r="Y18" s="76">
        <f t="shared" si="16"/>
        <v>0.8</v>
      </c>
      <c r="Z18" s="87">
        <v>0</v>
      </c>
      <c r="AA18" s="87">
        <v>0</v>
      </c>
      <c r="AB18" s="28">
        <f t="shared" si="5"/>
        <v>0.18</v>
      </c>
      <c r="AC18" s="82">
        <f t="shared" si="17"/>
        <v>24223.7707784049</v>
      </c>
    </row>
    <row r="19" s="1" customFormat="1" ht="15" spans="1:32">
      <c r="B19" s="30" t="s">
        <v>44</v>
      </c>
      <c r="C19" s="44"/>
      <c r="D19" s="30" t="s">
        <v>45</v>
      </c>
      <c r="E19" s="32">
        <v>0.4</v>
      </c>
      <c r="F19" s="30" t="s">
        <v>40</v>
      </c>
      <c r="G19" s="33">
        <f>M18</f>
        <v>0.405</v>
      </c>
      <c r="H19" s="30" t="s">
        <v>40</v>
      </c>
      <c r="I19" s="33">
        <f>M19</f>
        <v>0.81</v>
      </c>
      <c r="J19" s="43"/>
      <c r="K19" s="33"/>
      <c r="L19" s="30" t="s">
        <v>46</v>
      </c>
      <c r="M19" s="32">
        <f>16.2%*5</f>
        <v>0.81</v>
      </c>
      <c r="O19" s="36">
        <v>1</v>
      </c>
      <c r="P19" s="74" t="s">
        <v>79</v>
      </c>
      <c r="Q19" s="43">
        <v>5.5556</v>
      </c>
      <c r="R19" s="53" t="s">
        <v>1</v>
      </c>
      <c r="S19" s="83">
        <f t="shared" si="12"/>
        <v>2586.086</v>
      </c>
      <c r="T19" s="84">
        <f t="shared" si="13"/>
        <v>1.68544755970924</v>
      </c>
      <c r="U19" s="84">
        <f t="shared" ref="U19:U24" si="18">IF(R19=$C$13,SUM($E$16:$E$21),SUM($E$16:$E$20))</f>
        <v>1.976</v>
      </c>
      <c r="V19" s="85">
        <f t="shared" si="14"/>
        <v>2.3615</v>
      </c>
      <c r="W19" s="86">
        <f t="shared" si="15"/>
        <v>0.25</v>
      </c>
      <c r="X19" s="85">
        <f t="shared" si="11"/>
        <v>0.488431876606684</v>
      </c>
      <c r="Y19" s="76">
        <f t="shared" si="16"/>
        <v>0.8</v>
      </c>
      <c r="Z19" s="87">
        <v>0</v>
      </c>
      <c r="AA19" s="87">
        <v>0</v>
      </c>
      <c r="AB19" s="28">
        <f t="shared" si="5"/>
        <v>0.18</v>
      </c>
      <c r="AC19" s="82">
        <f t="shared" si="17"/>
        <v>58194.349255567</v>
      </c>
    </row>
    <row r="20" s="1" customFormat="1" ht="15" spans="1:32">
      <c r="B20" s="30" t="s">
        <v>48</v>
      </c>
      <c r="C20" s="44">
        <v>0.25</v>
      </c>
      <c r="D20" s="30" t="s">
        <v>49</v>
      </c>
      <c r="E20" s="45">
        <f>24%+24%</f>
        <v>0.48</v>
      </c>
      <c r="F20" s="30" t="s">
        <v>50</v>
      </c>
      <c r="G20" s="33">
        <v>0</v>
      </c>
      <c r="H20" s="30" t="s">
        <v>50</v>
      </c>
      <c r="I20" s="33">
        <v>0</v>
      </c>
      <c r="J20" s="43"/>
      <c r="K20" s="33"/>
      <c r="L20" s="30"/>
      <c r="M20" s="31"/>
      <c r="O20" s="36">
        <v>1</v>
      </c>
      <c r="P20" s="74" t="s">
        <v>80</v>
      </c>
      <c r="Q20" s="43">
        <v>3.076</v>
      </c>
      <c r="R20" s="53" t="s">
        <v>1</v>
      </c>
      <c r="S20" s="83">
        <f t="shared" si="12"/>
        <v>2586.086</v>
      </c>
      <c r="T20" s="84">
        <f t="shared" si="13"/>
        <v>1.68544755970924</v>
      </c>
      <c r="U20" s="84">
        <f t="shared" si="18"/>
        <v>1.976</v>
      </c>
      <c r="V20" s="85">
        <f t="shared" si="14"/>
        <v>2.3615</v>
      </c>
      <c r="W20" s="86">
        <f t="shared" si="15"/>
        <v>0.25</v>
      </c>
      <c r="X20" s="85">
        <f t="shared" si="11"/>
        <v>0.488431876606684</v>
      </c>
      <c r="Y20" s="76">
        <f t="shared" si="16"/>
        <v>0.8</v>
      </c>
      <c r="Z20" s="87">
        <v>0</v>
      </c>
      <c r="AA20" s="87">
        <v>0</v>
      </c>
      <c r="AB20" s="28">
        <f t="shared" si="5"/>
        <v>0.18</v>
      </c>
      <c r="AC20" s="82">
        <f t="shared" si="17"/>
        <v>32220.7895295061</v>
      </c>
    </row>
    <row r="21" s="1" customFormat="1" ht="15" spans="1:32">
      <c r="B21" s="30" t="s">
        <v>53</v>
      </c>
      <c r="C21" s="31">
        <v>350</v>
      </c>
      <c r="D21" s="30" t="s">
        <v>54</v>
      </c>
      <c r="E21" s="32">
        <f>36%+M17</f>
        <v>0.446</v>
      </c>
      <c r="F21" s="30" t="s">
        <v>55</v>
      </c>
      <c r="G21" s="33"/>
      <c r="H21" s="30" t="s">
        <v>55</v>
      </c>
      <c r="I21" s="33"/>
      <c r="J21" s="43"/>
      <c r="K21" s="33"/>
      <c r="L21" s="30"/>
      <c r="M21" s="31"/>
      <c r="O21" s="36">
        <v>1</v>
      </c>
      <c r="P21" s="74" t="s">
        <v>81</v>
      </c>
      <c r="Q21" s="43">
        <v>12.1672</v>
      </c>
      <c r="R21" s="53" t="s">
        <v>1</v>
      </c>
      <c r="S21" s="83">
        <f t="shared" si="12"/>
        <v>2586.086</v>
      </c>
      <c r="T21" s="84">
        <f t="shared" si="13"/>
        <v>1.68544755970924</v>
      </c>
      <c r="U21" s="84">
        <f t="shared" si="18"/>
        <v>1.976</v>
      </c>
      <c r="V21" s="85">
        <f t="shared" si="14"/>
        <v>2.3615</v>
      </c>
      <c r="W21" s="86">
        <f t="shared" si="15"/>
        <v>0.25</v>
      </c>
      <c r="X21" s="85">
        <f t="shared" si="11"/>
        <v>0.488431876606684</v>
      </c>
      <c r="Y21" s="76">
        <f t="shared" si="16"/>
        <v>0.8</v>
      </c>
      <c r="Z21" s="87">
        <v>0</v>
      </c>
      <c r="AA21" s="87">
        <v>0</v>
      </c>
      <c r="AB21" s="28">
        <f t="shared" si="5"/>
        <v>0.18</v>
      </c>
      <c r="AC21" s="82">
        <f t="shared" si="17"/>
        <v>127450.191925685</v>
      </c>
    </row>
    <row r="22" s="1" customFormat="1" ht="15" spans="1:32">
      <c r="B22" s="47" t="s">
        <v>57</v>
      </c>
      <c r="C22" s="48"/>
      <c r="D22" s="47"/>
      <c r="E22" s="49"/>
      <c r="F22" s="50" t="s">
        <v>58</v>
      </c>
      <c r="G22" s="51">
        <f>MIN(100%,SUM(G16:G21))</f>
        <v>0.778</v>
      </c>
      <c r="H22" s="50" t="s">
        <v>59</v>
      </c>
      <c r="I22" s="51">
        <f>SUM(I16:I21)</f>
        <v>2.75</v>
      </c>
      <c r="J22" s="52"/>
      <c r="K22" s="88"/>
      <c r="L22" s="47"/>
      <c r="M22" s="48"/>
      <c r="O22" s="36">
        <v>1</v>
      </c>
      <c r="P22" s="74" t="s">
        <v>82</v>
      </c>
      <c r="Q22" s="43">
        <v>2.3262</v>
      </c>
      <c r="R22" s="53" t="s">
        <v>78</v>
      </c>
      <c r="S22" s="83">
        <f t="shared" si="12"/>
        <v>2586.086</v>
      </c>
      <c r="T22" s="84">
        <f t="shared" si="13"/>
        <v>1.68544755970924</v>
      </c>
      <c r="U22" s="84">
        <f t="shared" si="18"/>
        <v>1.53</v>
      </c>
      <c r="V22" s="85">
        <f t="shared" si="14"/>
        <v>2.3615</v>
      </c>
      <c r="W22" s="86">
        <f t="shared" si="15"/>
        <v>0.25</v>
      </c>
      <c r="X22" s="85">
        <f t="shared" si="11"/>
        <v>0.488431876606684</v>
      </c>
      <c r="Y22" s="76">
        <f t="shared" si="16"/>
        <v>0.8</v>
      </c>
      <c r="Z22" s="87">
        <v>0</v>
      </c>
      <c r="AA22" s="87">
        <v>0</v>
      </c>
      <c r="AB22" s="28">
        <f t="shared" si="5"/>
        <v>0.18</v>
      </c>
      <c r="AC22" s="82">
        <f t="shared" si="17"/>
        <v>20714.9787732887</v>
      </c>
    </row>
    <row r="23" s="1" customFormat="1" ht="15" spans="1:32">
      <c r="B23" s="53"/>
      <c r="C23" s="53"/>
      <c r="E23" s="54"/>
      <c r="F23" s="16" t="s">
        <v>61</v>
      </c>
      <c r="G23" s="55">
        <f>MAX(0,SUM(G16:G21)-1)</f>
        <v>0</v>
      </c>
      <c r="J23" s="2"/>
      <c r="K23" s="2"/>
      <c r="O23" s="36">
        <v>1</v>
      </c>
      <c r="P23" s="74" t="s">
        <v>83</v>
      </c>
      <c r="Q23" s="43">
        <v>1</v>
      </c>
      <c r="R23" s="53" t="s">
        <v>70</v>
      </c>
      <c r="S23" s="83">
        <f t="shared" si="12"/>
        <v>2586.086</v>
      </c>
      <c r="T23" s="84">
        <f t="shared" si="13"/>
        <v>1.68544755970924</v>
      </c>
      <c r="U23" s="84">
        <f t="shared" si="18"/>
        <v>1.53</v>
      </c>
      <c r="V23" s="85">
        <f t="shared" si="14"/>
        <v>2.3615</v>
      </c>
      <c r="W23" s="86">
        <f t="shared" si="15"/>
        <v>0.25</v>
      </c>
      <c r="X23" s="85">
        <f t="shared" si="11"/>
        <v>0.488431876606684</v>
      </c>
      <c r="Y23" s="76">
        <f t="shared" si="16"/>
        <v>0.8</v>
      </c>
      <c r="Z23" s="87">
        <v>0</v>
      </c>
      <c r="AA23" s="87">
        <v>0</v>
      </c>
      <c r="AB23" s="28">
        <f t="shared" si="5"/>
        <v>0.18</v>
      </c>
      <c r="AC23" s="82">
        <f t="shared" si="17"/>
        <v>8905.07212332934</v>
      </c>
    </row>
    <row r="24" s="1" customFormat="1" ht="15" spans="1:32">
      <c r="B24" s="53"/>
      <c r="C24" s="53"/>
      <c r="E24" s="54"/>
      <c r="J24" s="2"/>
      <c r="K24" s="2"/>
      <c r="O24" s="63">
        <v>1</v>
      </c>
      <c r="P24" s="74" t="s">
        <v>84</v>
      </c>
      <c r="Q24" s="52">
        <v>2.736</v>
      </c>
      <c r="R24" s="89" t="s">
        <v>26</v>
      </c>
      <c r="S24" s="90">
        <f t="shared" si="12"/>
        <v>2586.086</v>
      </c>
      <c r="T24" s="91">
        <f t="shared" si="13"/>
        <v>1.68544755970924</v>
      </c>
      <c r="U24" s="91">
        <f t="shared" si="18"/>
        <v>1.53</v>
      </c>
      <c r="V24" s="92">
        <f t="shared" si="14"/>
        <v>2.3615</v>
      </c>
      <c r="W24" s="93">
        <f t="shared" si="15"/>
        <v>0.25</v>
      </c>
      <c r="X24" s="92">
        <f t="shared" si="11"/>
        <v>0.488431876606684</v>
      </c>
      <c r="Y24" s="76">
        <f t="shared" si="16"/>
        <v>0.8</v>
      </c>
      <c r="Z24" s="94">
        <v>0</v>
      </c>
      <c r="AA24" s="94">
        <v>0</v>
      </c>
      <c r="AB24" s="28">
        <f t="shared" si="5"/>
        <v>0.18</v>
      </c>
      <c r="AC24" s="82">
        <f t="shared" si="17"/>
        <v>24364.2773294291</v>
      </c>
      <c r="AD24" s="56"/>
    </row>
    <row r="25" s="1" customFormat="1" ht="15" spans="1:32">
      <c r="A25" s="95"/>
      <c r="B25" s="96" t="s">
        <v>85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</row>
    <row r="26" s="1" customFormat="1" ht="15" spans="1:32">
      <c r="A26" s="95" t="s">
        <v>86</v>
      </c>
      <c r="B26" s="97" t="s">
        <v>22</v>
      </c>
      <c r="C26" s="98"/>
      <c r="D26" s="97" t="s">
        <v>10</v>
      </c>
      <c r="E26" s="98"/>
      <c r="F26" s="97" t="s">
        <v>23</v>
      </c>
      <c r="G26" s="98"/>
      <c r="H26" s="97" t="s">
        <v>24</v>
      </c>
      <c r="I26" s="98"/>
      <c r="J26" s="97" t="s">
        <v>12</v>
      </c>
      <c r="K26" s="98"/>
      <c r="L26" s="97" t="s">
        <v>87</v>
      </c>
      <c r="M26" s="98"/>
      <c r="O26" s="72">
        <v>0</v>
      </c>
      <c r="P26" s="78" t="s">
        <v>88</v>
      </c>
      <c r="Q26" s="78">
        <v>1.0935</v>
      </c>
      <c r="R26" s="76" t="s">
        <v>89</v>
      </c>
      <c r="S26" s="76">
        <v>10027</v>
      </c>
      <c r="T26" s="78">
        <v>0</v>
      </c>
      <c r="U26" s="78">
        <v>0</v>
      </c>
      <c r="V26" s="79">
        <v>1</v>
      </c>
      <c r="W26" s="80">
        <v>0</v>
      </c>
      <c r="X26" s="79">
        <f t="shared" ref="X26:X30" si="19">$AF$3</f>
        <v>0.488431876606684</v>
      </c>
      <c r="Y26" s="76">
        <f t="shared" ref="Y26:Y30" si="20">$AF$13</f>
        <v>0.8</v>
      </c>
      <c r="Z26" s="81">
        <v>1.2</v>
      </c>
      <c r="AA26" s="81">
        <v>0</v>
      </c>
      <c r="AB26" s="81">
        <v>0.5</v>
      </c>
      <c r="AC26" s="99">
        <f t="shared" ref="AC26:AC30" si="21">Q26*$S$30*(1+T26)*(1+U26)*V26*(1+W26)*X26*Y26*(1+Z26)*(1+AA26)*(1+AB26)*O26</f>
        <v>0</v>
      </c>
    </row>
    <row r="27" s="1" customFormat="1" ht="15" spans="1:32">
      <c r="A27" s="95">
        <v>1357</v>
      </c>
      <c r="B27" s="100" t="s">
        <v>27</v>
      </c>
      <c r="C27" s="101">
        <f>288+337</f>
        <v>625</v>
      </c>
      <c r="D27" s="100" t="s">
        <v>28</v>
      </c>
      <c r="E27" s="46"/>
      <c r="F27" s="100" t="s">
        <v>90</v>
      </c>
      <c r="G27" s="102">
        <v>0.05</v>
      </c>
      <c r="H27" s="100" t="s">
        <v>90</v>
      </c>
      <c r="I27" s="46">
        <v>1.5</v>
      </c>
      <c r="J27" s="103" t="s">
        <v>30</v>
      </c>
      <c r="K27" s="46">
        <v>0.25</v>
      </c>
      <c r="L27" s="100" t="s">
        <v>86</v>
      </c>
      <c r="M27" s="102">
        <f>10.9%*3</f>
        <v>0.327</v>
      </c>
      <c r="O27" s="30">
        <v>0</v>
      </c>
      <c r="P27" s="53" t="s">
        <v>91</v>
      </c>
      <c r="Q27" s="84">
        <v>5.9643</v>
      </c>
      <c r="R27" s="53" t="s">
        <v>89</v>
      </c>
      <c r="S27" s="53">
        <v>10027</v>
      </c>
      <c r="T27" s="84">
        <v>0</v>
      </c>
      <c r="U27" s="84">
        <v>0</v>
      </c>
      <c r="V27" s="85">
        <v>1</v>
      </c>
      <c r="W27" s="86">
        <v>0</v>
      </c>
      <c r="X27" s="85">
        <f t="shared" si="19"/>
        <v>0.488431876606684</v>
      </c>
      <c r="Y27" s="53">
        <f t="shared" si="20"/>
        <v>0.8</v>
      </c>
      <c r="Z27" s="87">
        <v>0</v>
      </c>
      <c r="AA27" s="87">
        <v>0</v>
      </c>
      <c r="AB27" s="87">
        <v>0.5</v>
      </c>
      <c r="AC27" s="104">
        <f t="shared" si="21"/>
        <v>0</v>
      </c>
    </row>
    <row r="28" s="1" customFormat="1" ht="15" spans="1:32">
      <c r="A28" s="105">
        <f>16%+7.6*2%</f>
        <v>0.312</v>
      </c>
      <c r="B28" s="100" t="s">
        <v>92</v>
      </c>
      <c r="C28" s="46"/>
      <c r="D28" s="100" t="s">
        <v>93</v>
      </c>
      <c r="E28" s="46"/>
      <c r="F28" s="100" t="s">
        <v>36</v>
      </c>
      <c r="G28" s="102"/>
      <c r="H28" s="100" t="s">
        <v>94</v>
      </c>
      <c r="I28" s="102">
        <f>M29</f>
        <v>0.486</v>
      </c>
      <c r="J28" s="106" t="s">
        <v>95</v>
      </c>
      <c r="K28" s="102"/>
      <c r="L28" s="100" t="s">
        <v>23</v>
      </c>
      <c r="M28" s="102">
        <f>2*8.1%</f>
        <v>0.162</v>
      </c>
      <c r="O28" s="30">
        <v>0</v>
      </c>
      <c r="P28" s="53" t="s">
        <v>96</v>
      </c>
      <c r="Q28" s="84">
        <v>18.8075</v>
      </c>
      <c r="R28" s="53" t="s">
        <v>89</v>
      </c>
      <c r="S28" s="53">
        <v>10027</v>
      </c>
      <c r="T28" s="84">
        <v>0</v>
      </c>
      <c r="U28" s="84">
        <v>0</v>
      </c>
      <c r="V28" s="85">
        <v>1</v>
      </c>
      <c r="W28" s="86">
        <v>0</v>
      </c>
      <c r="X28" s="85">
        <f t="shared" si="19"/>
        <v>0.488431876606684</v>
      </c>
      <c r="Y28" s="53">
        <f t="shared" si="20"/>
        <v>0.8</v>
      </c>
      <c r="Z28" s="87">
        <v>0</v>
      </c>
      <c r="AA28" s="87">
        <v>0</v>
      </c>
      <c r="AB28" s="87">
        <v>0.5</v>
      </c>
      <c r="AC28" s="104">
        <f t="shared" si="21"/>
        <v>0</v>
      </c>
    </row>
    <row r="29" s="1" customFormat="1" ht="15" spans="1:32">
      <c r="A29" s="105">
        <f>36%+M27</f>
        <v>0.687</v>
      </c>
      <c r="B29" s="100" t="s">
        <v>97</v>
      </c>
      <c r="C29" s="46"/>
      <c r="D29" s="100" t="s">
        <v>98</v>
      </c>
      <c r="E29" s="46"/>
      <c r="F29" s="100" t="s">
        <v>42</v>
      </c>
      <c r="G29" s="102"/>
      <c r="H29" s="100" t="s">
        <v>99</v>
      </c>
      <c r="I29" s="102"/>
      <c r="J29" s="106" t="s">
        <v>100</v>
      </c>
      <c r="K29" s="102"/>
      <c r="L29" s="100" t="s">
        <v>46</v>
      </c>
      <c r="M29" s="102">
        <f>3*16.2%</f>
        <v>0.486</v>
      </c>
      <c r="O29" s="30">
        <v>0</v>
      </c>
      <c r="P29" s="53" t="s">
        <v>101</v>
      </c>
      <c r="Q29" s="84">
        <v>2.9822</v>
      </c>
      <c r="R29" s="53" t="s">
        <v>89</v>
      </c>
      <c r="S29" s="53">
        <v>10027</v>
      </c>
      <c r="T29" s="84">
        <v>0</v>
      </c>
      <c r="U29" s="84">
        <v>0</v>
      </c>
      <c r="V29" s="85">
        <v>1</v>
      </c>
      <c r="W29" s="86">
        <v>0</v>
      </c>
      <c r="X29" s="85">
        <f t="shared" si="19"/>
        <v>0.488431876606684</v>
      </c>
      <c r="Y29" s="53">
        <f t="shared" si="20"/>
        <v>0.8</v>
      </c>
      <c r="Z29" s="87">
        <v>0</v>
      </c>
      <c r="AA29" s="87">
        <v>0</v>
      </c>
      <c r="AB29" s="87">
        <v>0.5</v>
      </c>
      <c r="AC29" s="104">
        <f t="shared" si="21"/>
        <v>0</v>
      </c>
    </row>
    <row r="30" s="1" customFormat="1" ht="15" spans="1:32">
      <c r="A30" s="105">
        <v>0.418</v>
      </c>
      <c r="B30" s="100" t="s">
        <v>94</v>
      </c>
      <c r="C30" s="107">
        <f>25%+15%</f>
        <v>0.4</v>
      </c>
      <c r="D30" s="100" t="s">
        <v>102</v>
      </c>
      <c r="E30" s="46">
        <f>48%+40%</f>
        <v>0.88</v>
      </c>
      <c r="F30" s="100" t="s">
        <v>94</v>
      </c>
      <c r="G30" s="102">
        <f>M28</f>
        <v>0.162</v>
      </c>
      <c r="H30" s="100"/>
      <c r="I30" s="102"/>
      <c r="J30" s="106"/>
      <c r="K30" s="102"/>
      <c r="L30" s="100" t="s">
        <v>103</v>
      </c>
      <c r="M30" s="102">
        <f>8.6%*2</f>
        <v>0.172</v>
      </c>
      <c r="O30" s="47">
        <v>1.5</v>
      </c>
      <c r="P30" s="89" t="s">
        <v>104</v>
      </c>
      <c r="Q30" s="91">
        <v>16</v>
      </c>
      <c r="R30" s="89" t="s">
        <v>105</v>
      </c>
      <c r="S30" s="89">
        <v>10027</v>
      </c>
      <c r="T30" s="91">
        <v>0</v>
      </c>
      <c r="U30" s="91">
        <v>0</v>
      </c>
      <c r="V30" s="92">
        <v>1</v>
      </c>
      <c r="W30" s="93">
        <v>0</v>
      </c>
      <c r="X30" s="92">
        <f t="shared" si="19"/>
        <v>0.488431876606684</v>
      </c>
      <c r="Y30" s="89">
        <f t="shared" si="20"/>
        <v>0.8</v>
      </c>
      <c r="Z30" s="94">
        <v>0</v>
      </c>
      <c r="AA30" s="94">
        <v>0</v>
      </c>
      <c r="AB30" s="94">
        <v>0.5</v>
      </c>
      <c r="AC30" s="108">
        <f t="shared" si="21"/>
        <v>141048.185089974</v>
      </c>
      <c r="AD30" s="56"/>
    </row>
    <row r="31" s="1" customFormat="1" spans="1:32">
      <c r="A31" s="109">
        <v>0.2</v>
      </c>
      <c r="B31" s="100" t="s">
        <v>106</v>
      </c>
      <c r="C31" s="107"/>
      <c r="D31" s="100" t="s">
        <v>107</v>
      </c>
      <c r="E31" s="110"/>
      <c r="F31" s="100" t="s">
        <v>108</v>
      </c>
      <c r="G31" s="102"/>
      <c r="H31" s="100"/>
      <c r="I31" s="102"/>
      <c r="J31" s="106"/>
      <c r="K31" s="102"/>
      <c r="L31" s="100"/>
      <c r="M31" s="102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s="1" customFormat="1" ht="15" spans="1:32">
      <c r="A32" s="95"/>
      <c r="B32" s="100" t="s">
        <v>53</v>
      </c>
      <c r="C32" s="101">
        <v>350</v>
      </c>
      <c r="D32" s="100"/>
      <c r="E32" s="46"/>
      <c r="F32" s="111" t="s">
        <v>58</v>
      </c>
      <c r="G32" s="112">
        <f>MIN(100%,SUM(G27:G31))</f>
        <v>0.212</v>
      </c>
      <c r="H32" s="111" t="s">
        <v>59</v>
      </c>
      <c r="I32" s="113">
        <f>SUM(I27:I31)</f>
        <v>1.986</v>
      </c>
      <c r="J32" s="106"/>
      <c r="K32" s="102"/>
      <c r="L32" s="100"/>
      <c r="M32" s="101"/>
      <c r="O32" s="62">
        <v>1</v>
      </c>
      <c r="P32" s="114" t="s">
        <v>109</v>
      </c>
      <c r="Q32" s="75">
        <v>2.0279</v>
      </c>
      <c r="R32" s="76" t="s">
        <v>33</v>
      </c>
      <c r="S32" s="77">
        <f t="shared" ref="S32:S35" si="22">C$34</f>
        <v>1225</v>
      </c>
      <c r="T32" s="78">
        <f t="shared" ref="T32:T35" si="23">S32/$C$27-1</f>
        <v>0.96</v>
      </c>
      <c r="U32" s="78">
        <f t="shared" ref="U32:U35" si="24">E$30</f>
        <v>0.88</v>
      </c>
      <c r="V32" s="79">
        <f t="shared" ref="V32:V35" si="25">1+$G$32*($I$32-1)</f>
        <v>1.209032</v>
      </c>
      <c r="W32" s="80">
        <f t="shared" ref="W32:W37" si="26">K$27</f>
        <v>0.25</v>
      </c>
      <c r="X32" s="79">
        <f t="shared" ref="X32:X37" si="27">$AF$3</f>
        <v>0.488431876606684</v>
      </c>
      <c r="Y32" s="76">
        <f t="shared" ref="Y32:Y37" si="28">$AF$14</f>
        <v>0.8</v>
      </c>
      <c r="Z32" s="81">
        <v>0</v>
      </c>
      <c r="AA32" s="81">
        <v>0</v>
      </c>
      <c r="AB32" s="28">
        <f t="shared" ref="AB32:AB37" si="29">$AF$17</f>
        <v>0.18</v>
      </c>
      <c r="AC32" s="19">
        <f t="shared" ref="AC32:AC35" si="30">Q32*$C$27*(1+T32)*(1+U32)*V32*(1+W32)*X32*Y32*(1+Z32)*(1+AA32)*(1+AB32)*O32</f>
        <v>3254.3501275887</v>
      </c>
    </row>
    <row r="33" s="1" customFormat="1" ht="15" spans="1:29">
      <c r="A33" s="95"/>
      <c r="B33" s="115" t="s">
        <v>57</v>
      </c>
      <c r="C33" s="116"/>
      <c r="D33" s="115" t="s">
        <v>110</v>
      </c>
      <c r="E33" s="117">
        <f>M30</f>
        <v>0.172</v>
      </c>
      <c r="F33" s="115"/>
      <c r="G33" s="118"/>
      <c r="H33" s="115"/>
      <c r="I33" s="116"/>
      <c r="J33" s="119"/>
      <c r="K33" s="118"/>
      <c r="L33" s="115"/>
      <c r="M33" s="116"/>
      <c r="N33" s="120"/>
      <c r="O33" s="121">
        <v>1</v>
      </c>
      <c r="P33" s="114" t="s">
        <v>111</v>
      </c>
      <c r="Q33" s="43">
        <f>22.27%+16.71%*2+23.86%+23.86%+17.9%*4+41.36%+10.34%*6</f>
        <v>2.7841</v>
      </c>
      <c r="R33" s="53" t="s">
        <v>1</v>
      </c>
      <c r="S33" s="83">
        <f t="shared" si="22"/>
        <v>1225</v>
      </c>
      <c r="T33" s="84">
        <f t="shared" si="23"/>
        <v>0.96</v>
      </c>
      <c r="U33" s="84">
        <f t="shared" si="24"/>
        <v>0.88</v>
      </c>
      <c r="V33" s="85">
        <f t="shared" si="25"/>
        <v>1.209032</v>
      </c>
      <c r="W33" s="86">
        <f t="shared" si="26"/>
        <v>0.25</v>
      </c>
      <c r="X33" s="85">
        <f t="shared" si="27"/>
        <v>0.488431876606684</v>
      </c>
      <c r="Y33" s="53">
        <f t="shared" si="28"/>
        <v>0.8</v>
      </c>
      <c r="Z33" s="87">
        <v>0</v>
      </c>
      <c r="AA33" s="87">
        <v>0</v>
      </c>
      <c r="AB33" s="28">
        <f t="shared" si="29"/>
        <v>0.18</v>
      </c>
      <c r="AC33" s="19">
        <f t="shared" si="30"/>
        <v>4467.8910154444</v>
      </c>
    </row>
    <row r="34" s="1" customFormat="1" ht="15" spans="1:29">
      <c r="A34" s="95">
        <f>A27*(1+A28+A29+A30+A31)</f>
        <v>3551.269</v>
      </c>
      <c r="B34" s="122"/>
      <c r="C34" s="122">
        <f>C27*(1+C30)+C32</f>
        <v>1225</v>
      </c>
      <c r="D34" s="122"/>
      <c r="E34" s="122"/>
      <c r="F34" s="122" t="s">
        <v>112</v>
      </c>
      <c r="G34" s="123"/>
      <c r="H34" s="122"/>
      <c r="I34" s="122"/>
      <c r="J34" s="122"/>
      <c r="K34" s="122"/>
      <c r="L34" s="122"/>
      <c r="M34" s="122"/>
      <c r="N34" s="53"/>
      <c r="O34" s="121">
        <v>1</v>
      </c>
      <c r="P34" s="114" t="s">
        <v>113</v>
      </c>
      <c r="Q34" s="43">
        <f>39.77%*4</f>
        <v>1.5908</v>
      </c>
      <c r="R34" s="53" t="s">
        <v>78</v>
      </c>
      <c r="S34" s="83">
        <f t="shared" si="22"/>
        <v>1225</v>
      </c>
      <c r="T34" s="84">
        <f t="shared" si="23"/>
        <v>0.96</v>
      </c>
      <c r="U34" s="84">
        <f t="shared" si="24"/>
        <v>0.88</v>
      </c>
      <c r="V34" s="85">
        <f t="shared" si="25"/>
        <v>1.209032</v>
      </c>
      <c r="W34" s="86">
        <f t="shared" si="26"/>
        <v>0.25</v>
      </c>
      <c r="X34" s="85">
        <f t="shared" si="27"/>
        <v>0.488431876606684</v>
      </c>
      <c r="Y34" s="53">
        <f t="shared" si="28"/>
        <v>0.8</v>
      </c>
      <c r="Z34" s="87">
        <v>0</v>
      </c>
      <c r="AA34" s="87">
        <v>0</v>
      </c>
      <c r="AB34" s="28">
        <f t="shared" si="29"/>
        <v>0.18</v>
      </c>
      <c r="AC34" s="19">
        <f t="shared" si="30"/>
        <v>2552.89717588052</v>
      </c>
    </row>
    <row r="35" s="1" customFormat="1" ht="15" spans="1:29">
      <c r="A35" s="56"/>
      <c r="B35" s="124"/>
      <c r="C35" s="124"/>
      <c r="D35" s="124"/>
      <c r="E35" s="124"/>
      <c r="F35" s="124"/>
      <c r="G35" s="125"/>
      <c r="N35" s="53"/>
      <c r="O35" s="121">
        <v>1</v>
      </c>
      <c r="P35" s="114" t="s">
        <v>114</v>
      </c>
      <c r="Q35" s="43">
        <v>3.51</v>
      </c>
      <c r="R35" s="53" t="s">
        <v>26</v>
      </c>
      <c r="S35" s="83">
        <f t="shared" si="22"/>
        <v>1225</v>
      </c>
      <c r="T35" s="84">
        <f t="shared" si="23"/>
        <v>0.96</v>
      </c>
      <c r="U35" s="84">
        <f t="shared" si="24"/>
        <v>0.88</v>
      </c>
      <c r="V35" s="85">
        <f t="shared" si="25"/>
        <v>1.209032</v>
      </c>
      <c r="W35" s="86">
        <f t="shared" si="26"/>
        <v>0.25</v>
      </c>
      <c r="X35" s="85">
        <f t="shared" si="27"/>
        <v>0.488431876606684</v>
      </c>
      <c r="Y35" s="53">
        <f t="shared" si="28"/>
        <v>0.8</v>
      </c>
      <c r="Z35" s="87">
        <v>0</v>
      </c>
      <c r="AA35" s="87">
        <v>0</v>
      </c>
      <c r="AB35" s="28">
        <f t="shared" si="29"/>
        <v>0.18</v>
      </c>
      <c r="AC35" s="19">
        <f t="shared" si="30"/>
        <v>5632.80681879597</v>
      </c>
    </row>
    <row r="36" s="1" customFormat="1" ht="15" spans="1:29">
      <c r="B36" s="126" t="s">
        <v>115</v>
      </c>
      <c r="G36" s="2"/>
      <c r="N36" s="53"/>
      <c r="O36" s="121">
        <v>1</v>
      </c>
      <c r="P36" s="114" t="s">
        <v>116</v>
      </c>
      <c r="Q36" s="43">
        <v>5.2233</v>
      </c>
      <c r="R36" s="53" t="s">
        <v>75</v>
      </c>
      <c r="S36" s="83">
        <f>A34</f>
        <v>3551.269</v>
      </c>
      <c r="T36" s="84">
        <v>0</v>
      </c>
      <c r="U36" s="84">
        <f>E$30+M30</f>
        <v>1.052</v>
      </c>
      <c r="V36" s="85">
        <f>I32+1.6</f>
        <v>3.586</v>
      </c>
      <c r="W36" s="86">
        <f t="shared" si="26"/>
        <v>0.25</v>
      </c>
      <c r="X36" s="85">
        <f t="shared" si="27"/>
        <v>0.488431876606684</v>
      </c>
      <c r="Y36" s="53">
        <f t="shared" si="28"/>
        <v>0.8</v>
      </c>
      <c r="Z36" s="87">
        <v>0</v>
      </c>
      <c r="AA36" s="87">
        <v>0</v>
      </c>
      <c r="AB36" s="28">
        <f t="shared" si="29"/>
        <v>0.18</v>
      </c>
      <c r="AC36" s="19">
        <f>Q36*$S$36*(1+T36)*(1+U36)*V36*(1+W36)*X36*Y36*(1+Z36)*(1+AA36)*(1+AB36)*O36</f>
        <v>78668.7390581741</v>
      </c>
    </row>
    <row r="37" s="1" customFormat="1" ht="17.5" spans="1:29">
      <c r="B37" s="127" t="s">
        <v>117</v>
      </c>
      <c r="C37" s="128" t="s">
        <v>118</v>
      </c>
      <c r="D37" s="128" t="s">
        <v>119</v>
      </c>
      <c r="E37" s="128" t="s">
        <v>120</v>
      </c>
      <c r="F37" s="128" t="s">
        <v>121</v>
      </c>
      <c r="G37" s="2"/>
      <c r="I37" s="129" t="s">
        <v>122</v>
      </c>
      <c r="J37" s="129" t="s">
        <v>119</v>
      </c>
      <c r="N37" s="53"/>
      <c r="O37" s="130">
        <v>1</v>
      </c>
      <c r="P37" s="114" t="s">
        <v>123</v>
      </c>
      <c r="Q37" s="52">
        <f>258.46%</f>
        <v>2.5846</v>
      </c>
      <c r="R37" s="89" t="s">
        <v>78</v>
      </c>
      <c r="S37" s="90">
        <f>C$34</f>
        <v>1225</v>
      </c>
      <c r="T37" s="91">
        <f>S37/$C$27-1</f>
        <v>0.96</v>
      </c>
      <c r="U37" s="91">
        <f>E$30</f>
        <v>0.88</v>
      </c>
      <c r="V37" s="92">
        <f>1+$G$32*($I$32-1)</f>
        <v>1.209032</v>
      </c>
      <c r="W37" s="93">
        <f t="shared" si="26"/>
        <v>0.25</v>
      </c>
      <c r="X37" s="92">
        <f t="shared" si="27"/>
        <v>0.488431876606684</v>
      </c>
      <c r="Y37" s="89">
        <f t="shared" si="28"/>
        <v>0.8</v>
      </c>
      <c r="Z37" s="94">
        <v>0</v>
      </c>
      <c r="AA37" s="94">
        <v>0</v>
      </c>
      <c r="AB37" s="28">
        <f t="shared" si="29"/>
        <v>0.18</v>
      </c>
      <c r="AC37" s="19">
        <f>Q37*$C$27*(1+T37)*(1+U37)*V37*(1+W37)*X37*Y37*(1+Z37)*(1+AA37)*(1+AB37)*O37</f>
        <v>4147.73575608549</v>
      </c>
    </row>
    <row r="38" s="1" customFormat="1" ht="17.5" spans="1:29">
      <c r="B38" s="4" t="s">
        <v>3</v>
      </c>
      <c r="C38" s="131">
        <f>SUM(AC3:AC15)</f>
        <v>1480622.72689343</v>
      </c>
      <c r="D38" s="131">
        <f t="shared" ref="D38:D41" si="31">C38/$E$38</f>
        <v>59224.9090757373</v>
      </c>
      <c r="E38" s="132">
        <v>25</v>
      </c>
      <c r="F38" s="133">
        <f t="shared" ref="F38:F41" si="32">C38/$C$43</f>
        <v>0.701801913526192</v>
      </c>
      <c r="G38" s="2"/>
      <c r="I38" s="134" t="s">
        <v>124</v>
      </c>
      <c r="J38" s="134">
        <v>79055</v>
      </c>
      <c r="Q38" s="2"/>
      <c r="U38" s="2"/>
      <c r="V38" s="3"/>
      <c r="AB38" s="4"/>
      <c r="AC38" s="4"/>
    </row>
    <row r="39" s="1" customFormat="1" ht="17.5" spans="1:29">
      <c r="B39" s="4" t="s">
        <v>66</v>
      </c>
      <c r="C39" s="131">
        <f>SUM(AC16:AC24)</f>
        <v>389349.167697104</v>
      </c>
      <c r="D39" s="131">
        <f t="shared" si="31"/>
        <v>15573.9667078842</v>
      </c>
      <c r="E39" s="135"/>
      <c r="F39" s="133">
        <f t="shared" si="32"/>
        <v>0.184548018854856</v>
      </c>
      <c r="G39" s="2"/>
      <c r="I39" s="134" t="s">
        <v>125</v>
      </c>
      <c r="J39" s="134">
        <v>83210</v>
      </c>
      <c r="Q39" s="2"/>
      <c r="U39" s="2"/>
      <c r="V39" s="3"/>
      <c r="AB39" s="4"/>
      <c r="AC39" s="4"/>
    </row>
    <row r="40" s="1" customFormat="1" ht="17.5" spans="1:29">
      <c r="B40" s="4" t="s">
        <v>85</v>
      </c>
      <c r="C40" s="131">
        <f>SUM(AC32:AC37)+AC29</f>
        <v>98724.4199519691</v>
      </c>
      <c r="D40" s="131">
        <f t="shared" si="31"/>
        <v>3948.97679807877</v>
      </c>
      <c r="E40" s="136"/>
      <c r="F40" s="133">
        <f t="shared" si="32"/>
        <v>0.0467944909770672</v>
      </c>
      <c r="G40" s="2"/>
      <c r="I40" s="134" t="s">
        <v>126</v>
      </c>
      <c r="J40" s="134">
        <v>87366</v>
      </c>
      <c r="Q40" s="2"/>
      <c r="U40" s="2"/>
      <c r="V40" s="3"/>
      <c r="AB40" s="4"/>
      <c r="AC40" s="4"/>
    </row>
    <row r="41" s="1" customFormat="1" ht="17.5" spans="1:29">
      <c r="B41" s="4" t="s">
        <v>104</v>
      </c>
      <c r="C41" s="131">
        <f>AC30</f>
        <v>141048.185089974</v>
      </c>
      <c r="D41" s="131">
        <f t="shared" si="31"/>
        <v>5641.92740359897</v>
      </c>
      <c r="E41" s="136"/>
      <c r="F41" s="133">
        <f t="shared" si="32"/>
        <v>0.0668555766418849</v>
      </c>
      <c r="G41" s="2"/>
      <c r="I41" s="134" t="s">
        <v>127</v>
      </c>
      <c r="J41" s="134">
        <v>91521</v>
      </c>
      <c r="Q41" s="2"/>
      <c r="U41" s="2"/>
      <c r="V41" s="3"/>
      <c r="AB41" s="4"/>
      <c r="AC41" s="4"/>
    </row>
    <row r="42" s="1" customFormat="1" ht="15" spans="1:29">
      <c r="B42" s="4"/>
      <c r="C42" s="131"/>
      <c r="D42" s="131"/>
      <c r="E42" s="136"/>
      <c r="F42" s="133"/>
      <c r="G42" s="2"/>
      <c r="Q42" s="2"/>
      <c r="U42" s="2"/>
      <c r="V42" s="3"/>
      <c r="AB42" s="4"/>
      <c r="AC42" s="4"/>
    </row>
    <row r="43" s="1" customFormat="1" ht="15" spans="1:29">
      <c r="B43" s="4" t="s">
        <v>128</v>
      </c>
      <c r="C43" s="137">
        <f>SUM(C38:C41)</f>
        <v>2109744.49963248</v>
      </c>
      <c r="D43" s="137">
        <f>C43/E38</f>
        <v>84389.7799852992</v>
      </c>
      <c r="E43" s="138"/>
      <c r="F43" s="139"/>
      <c r="G43" s="2"/>
      <c r="Q43" s="2"/>
      <c r="U43" s="2"/>
      <c r="V43" s="3"/>
      <c r="AB43" s="4"/>
      <c r="AC43" s="4"/>
    </row>
    <row r="44" s="1" customFormat="1" ht="15" spans="1:29">
      <c r="B44" s="4"/>
      <c r="C44" s="4"/>
      <c r="D44" s="4"/>
      <c r="G44" s="140"/>
      <c r="Q44" s="2"/>
      <c r="U44" s="2"/>
      <c r="V44" s="3"/>
      <c r="AB44" s="4"/>
      <c r="AC44" s="4"/>
    </row>
    <row r="45" s="1" customFormat="1" ht="15" spans="1:29">
      <c r="B45" s="141" t="s">
        <v>129</v>
      </c>
      <c r="C45" s="142"/>
      <c r="D45" s="142"/>
      <c r="E45" s="142"/>
      <c r="F45" s="143"/>
      <c r="G45" s="2"/>
      <c r="Q45" s="2"/>
      <c r="U45" s="2"/>
      <c r="V45" s="3"/>
      <c r="AB45" s="4"/>
      <c r="AC45" s="4"/>
    </row>
    <row r="46" s="1" customFormat="1" ht="15" spans="1:29">
      <c r="B46" s="144"/>
      <c r="C46" s="145"/>
      <c r="D46" s="145"/>
      <c r="E46" s="145"/>
      <c r="F46" s="146"/>
      <c r="G46" s="2"/>
      <c r="H46" s="1" t="s">
        <v>140</v>
      </c>
      <c r="I46" s="2">
        <v>1.26692496905194</v>
      </c>
      <c r="J46" s="2"/>
      <c r="Q46" s="2"/>
      <c r="U46" s="2"/>
      <c r="V46" s="3"/>
      <c r="AB46" s="4"/>
      <c r="AC46" s="4"/>
    </row>
    <row r="47" s="1" customFormat="1" spans="1:29">
      <c r="B47" s="147"/>
      <c r="C47" s="147"/>
      <c r="D47" s="147"/>
      <c r="E47" s="147"/>
      <c r="F47" s="147"/>
      <c r="H47" s="1" t="s">
        <v>141</v>
      </c>
      <c r="I47" s="2">
        <v>1</v>
      </c>
      <c r="J47" s="2"/>
      <c r="Q47" s="2"/>
      <c r="U47" s="2"/>
      <c r="V47" s="3"/>
      <c r="AB47" s="4"/>
      <c r="AC47" s="4"/>
    </row>
    <row r="48" s="1" customFormat="1" ht="15" spans="1:29">
      <c r="B48" s="148" t="s">
        <v>130</v>
      </c>
      <c r="C48" s="149" t="s">
        <v>3</v>
      </c>
      <c r="D48" s="149" t="s">
        <v>131</v>
      </c>
      <c r="E48" s="76"/>
      <c r="F48" s="150"/>
      <c r="G48" s="2"/>
      <c r="H48" s="1" t="s">
        <v>142</v>
      </c>
      <c r="I48" s="2">
        <v>0.864632401408338</v>
      </c>
      <c r="J48" s="2"/>
      <c r="Q48" s="2"/>
      <c r="U48" s="2"/>
      <c r="V48" s="3"/>
      <c r="AB48" s="4"/>
      <c r="AC48" s="4"/>
    </row>
    <row r="49" s="1" customFormat="1" ht="15" spans="2:29">
      <c r="B49" s="151"/>
      <c r="C49" s="136" t="s">
        <v>66</v>
      </c>
      <c r="D49" s="136" t="s">
        <v>132</v>
      </c>
      <c r="F49" s="152"/>
      <c r="G49" s="2"/>
      <c r="H49" s="1" t="s">
        <v>143</v>
      </c>
      <c r="I49" s="2">
        <v>0.952155110046462</v>
      </c>
      <c r="J49" s="2"/>
      <c r="Q49" s="2"/>
      <c r="U49" s="2"/>
      <c r="V49" s="3"/>
      <c r="AB49" s="4"/>
      <c r="AC49" s="4"/>
    </row>
    <row r="50" s="1" customFormat="1" ht="15" spans="2:29">
      <c r="B50" s="154"/>
      <c r="C50" s="155" t="s">
        <v>133</v>
      </c>
      <c r="D50" s="155" t="s">
        <v>134</v>
      </c>
      <c r="E50" s="89"/>
      <c r="F50" s="48"/>
      <c r="G50" s="2"/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F57" s="4"/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G58" s="2"/>
      <c r="Q58" s="2"/>
      <c r="U58" s="2"/>
      <c r="V58" s="3"/>
      <c r="AB58" s="4"/>
      <c r="AC58" s="4"/>
    </row>
    <row r="59" s="1" customFormat="1" spans="2:29">
      <c r="G59" s="2"/>
      <c r="Q59" s="2"/>
      <c r="U59" s="2"/>
      <c r="V59" s="3"/>
      <c r="AB59" s="4"/>
      <c r="AC59" s="4"/>
    </row>
    <row r="60" s="1" customFormat="1" spans="2:29">
      <c r="B60" s="4"/>
      <c r="C60" s="4"/>
      <c r="D60" s="4"/>
      <c r="G60" s="2"/>
      <c r="Q60" s="2"/>
      <c r="U60" s="2"/>
      <c r="V60" s="3"/>
      <c r="AB60" s="4"/>
      <c r="AC60" s="4"/>
    </row>
    <row r="61" s="1" customFormat="1" spans="2:29"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abSelected="1" topLeftCell="D37" workbookViewId="0">
      <selection activeCell="N62" sqref="N62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7.54545454545455" style="1" customWidth="1"/>
    <col min="10" max="10" width="8.54545454545454" style="1" customWidth="1"/>
    <col min="11" max="11" width="12.9090909090909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0</v>
      </c>
      <c r="C1" s="5" t="s">
        <v>1</v>
      </c>
      <c r="D1" s="6" t="s">
        <v>2</v>
      </c>
      <c r="E1" s="6">
        <v>0</v>
      </c>
      <c r="Q1" s="2"/>
      <c r="U1" s="2"/>
      <c r="V1" s="3"/>
      <c r="AB1" s="4"/>
      <c r="AC1" s="4"/>
    </row>
    <row r="2" s="1" customFormat="1" ht="15" spans="2:33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0" t="s">
        <v>5</v>
      </c>
      <c r="Q2" s="11" t="s">
        <v>6</v>
      </c>
      <c r="R2" s="10" t="s">
        <v>7</v>
      </c>
      <c r="S2" s="10" t="s">
        <v>8</v>
      </c>
      <c r="T2" s="10" t="s">
        <v>9</v>
      </c>
      <c r="U2" s="11" t="s">
        <v>10</v>
      </c>
      <c r="V2" s="12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3" t="s">
        <v>17</v>
      </c>
      <c r="AC2" s="13" t="s">
        <v>18</v>
      </c>
      <c r="AD2" s="14" t="s">
        <v>19</v>
      </c>
      <c r="AE2" s="14" t="s">
        <v>20</v>
      </c>
      <c r="AF2" s="15" t="s">
        <v>13</v>
      </c>
      <c r="AG2" s="15" t="s">
        <v>21</v>
      </c>
    </row>
    <row r="3" s="1" customFormat="1" ht="15" spans="2:33">
      <c r="B3" s="16" t="s">
        <v>22</v>
      </c>
      <c r="C3" s="17"/>
      <c r="D3" s="16" t="s">
        <v>10</v>
      </c>
      <c r="E3" s="17"/>
      <c r="F3" s="16" t="s">
        <v>23</v>
      </c>
      <c r="G3" s="17"/>
      <c r="H3" s="16" t="s">
        <v>24</v>
      </c>
      <c r="I3" s="17"/>
      <c r="J3" s="16" t="s">
        <v>12</v>
      </c>
      <c r="K3" s="17"/>
      <c r="L3" s="16" t="s">
        <v>25</v>
      </c>
      <c r="M3" s="17"/>
      <c r="O3" s="18">
        <v>1</v>
      </c>
      <c r="P3" s="19" t="s">
        <v>26</v>
      </c>
      <c r="Q3" s="20">
        <v>1.6102</v>
      </c>
      <c r="R3" s="21" t="s">
        <v>26</v>
      </c>
      <c r="S3" s="22">
        <f t="shared" ref="S3:S15" si="0">$C$4*(1+C$5+C$6+C$7+C$8)+C$9</f>
        <v>3680.6</v>
      </c>
      <c r="T3" s="23">
        <f t="shared" ref="T3:T15" si="1">S3/$C$4-1</f>
        <v>2.50533333333333</v>
      </c>
      <c r="U3" s="23">
        <f>IF(R3=$C$1,SUM($E$4:$E$9),SUM($E$4:$E$8))+60%</f>
        <v>2.5</v>
      </c>
      <c r="V3" s="24">
        <f t="shared" ref="V3:V15" si="2">1+$G$10*($I$10-1)</f>
        <v>2.3615</v>
      </c>
      <c r="W3" s="25">
        <f t="shared" ref="W3:W14" si="3">IF(R3=$C$1,$K$4+$K$5,$K$4)</f>
        <v>0.9</v>
      </c>
      <c r="X3" s="26">
        <f>$AF$3</f>
        <v>0.488431876606684</v>
      </c>
      <c r="Y3" s="21">
        <f t="shared" ref="Y3:Y7" si="4">$AF$14</f>
        <v>0.8</v>
      </c>
      <c r="Z3" s="27">
        <v>0</v>
      </c>
      <c r="AA3" s="27">
        <v>0</v>
      </c>
      <c r="AB3" s="28">
        <f t="shared" ref="AB3:AB24" si="5">$AF$17</f>
        <v>0.18</v>
      </c>
      <c r="AC3" s="19">
        <f t="shared" ref="AC3:AC15" si="6">Q3*$C$4*(1+T3)*(1+U3)*V3*(1+W3)*X3*Y3*(1+Z3)*(1+AA3)*(1+AB3)*O3</f>
        <v>42912.5214217576</v>
      </c>
      <c r="AD3" s="14">
        <v>0</v>
      </c>
      <c r="AE3" s="14">
        <v>0</v>
      </c>
      <c r="AF3" s="15">
        <f t="shared" ref="AF3:AF8" si="7">1520/(1520+(792+8*AG3)*(1-AE3/100))</f>
        <v>0.488431876606684</v>
      </c>
      <c r="AG3" s="29">
        <v>100</v>
      </c>
    </row>
    <row r="4" s="1" customFormat="1" ht="15" spans="2:33">
      <c r="B4" s="30" t="s">
        <v>27</v>
      </c>
      <c r="C4" s="31">
        <f>463+587</f>
        <v>1050</v>
      </c>
      <c r="D4" s="30" t="s">
        <v>28</v>
      </c>
      <c r="E4" s="32">
        <f>E1*30%</f>
        <v>0</v>
      </c>
      <c r="F4" s="30" t="s">
        <v>29</v>
      </c>
      <c r="G4" s="33">
        <v>0.13</v>
      </c>
      <c r="H4" s="30" t="s">
        <v>29</v>
      </c>
      <c r="I4" s="33">
        <v>1.5</v>
      </c>
      <c r="J4" s="34" t="s">
        <v>30</v>
      </c>
      <c r="K4" s="35">
        <f>15%+25%+50%</f>
        <v>0.9</v>
      </c>
      <c r="L4" s="30" t="s">
        <v>31</v>
      </c>
      <c r="M4" s="33">
        <f>8.6%*2</f>
        <v>0.172</v>
      </c>
      <c r="O4" s="36">
        <v>1</v>
      </c>
      <c r="P4" s="19" t="s">
        <v>32</v>
      </c>
      <c r="Q4" s="37">
        <f>72.67%*3</f>
        <v>2.1801</v>
      </c>
      <c r="R4" s="38" t="s">
        <v>33</v>
      </c>
      <c r="S4" s="39">
        <f t="shared" si="0"/>
        <v>3680.6</v>
      </c>
      <c r="T4" s="40">
        <f t="shared" si="1"/>
        <v>2.50533333333333</v>
      </c>
      <c r="U4" s="40">
        <f>IF(R4=$C$1,SUM($E$4:$E$9),SUM($E$4:$E$8))+80%</f>
        <v>2.7</v>
      </c>
      <c r="V4" s="24">
        <f t="shared" si="2"/>
        <v>2.3615</v>
      </c>
      <c r="W4" s="41">
        <f t="shared" si="3"/>
        <v>0.9</v>
      </c>
      <c r="X4" s="26">
        <f>$AF$3</f>
        <v>0.488431876606684</v>
      </c>
      <c r="Y4" s="38">
        <f t="shared" si="4"/>
        <v>0.8</v>
      </c>
      <c r="Z4" s="42">
        <v>0</v>
      </c>
      <c r="AA4" s="42">
        <v>0</v>
      </c>
      <c r="AB4" s="28">
        <f t="shared" si="5"/>
        <v>0.18</v>
      </c>
      <c r="AC4" s="19">
        <f t="shared" si="6"/>
        <v>61420.6354881954</v>
      </c>
      <c r="AD4" s="14">
        <v>10</v>
      </c>
      <c r="AE4" s="14">
        <v>0</v>
      </c>
      <c r="AF4" s="15">
        <f>1520/(1520+(792+8*AG4)*(1-AE4/100)*(1-AD4/100))</f>
        <v>0.514765646166351</v>
      </c>
      <c r="AG4" s="29">
        <v>100</v>
      </c>
    </row>
    <row r="5" s="1" customFormat="1" ht="15" spans="2:33">
      <c r="B5" s="30" t="s">
        <v>34</v>
      </c>
      <c r="C5" s="32">
        <f>12%+12%</f>
        <v>0.24</v>
      </c>
      <c r="D5" s="30" t="s">
        <v>35</v>
      </c>
      <c r="E5" s="32">
        <v>0.4</v>
      </c>
      <c r="F5" s="30" t="s">
        <v>36</v>
      </c>
      <c r="G5" s="33">
        <v>0.243</v>
      </c>
      <c r="H5" s="30" t="s">
        <v>36</v>
      </c>
      <c r="I5" s="33">
        <v>0</v>
      </c>
      <c r="J5" s="43" t="s">
        <v>37</v>
      </c>
      <c r="K5" s="35">
        <v>0.2</v>
      </c>
      <c r="L5" s="30" t="s">
        <v>38</v>
      </c>
      <c r="M5" s="33">
        <f>8.6%*2</f>
        <v>0.172</v>
      </c>
      <c r="O5" s="36">
        <v>2</v>
      </c>
      <c r="P5" s="19" t="s">
        <v>39</v>
      </c>
      <c r="Q5" s="37">
        <v>0.5746</v>
      </c>
      <c r="R5" s="38" t="s">
        <v>1</v>
      </c>
      <c r="S5" s="39">
        <f t="shared" si="0"/>
        <v>3680.6</v>
      </c>
      <c r="T5" s="40">
        <f t="shared" si="1"/>
        <v>2.50533333333333</v>
      </c>
      <c r="U5" s="40">
        <f>IF(R5=$C$1,SUM($E$4:$E$9),SUM($E$4:$E$8))+1.5</f>
        <v>3.692</v>
      </c>
      <c r="V5" s="24">
        <f t="shared" si="2"/>
        <v>2.3615</v>
      </c>
      <c r="W5" s="41">
        <f t="shared" si="3"/>
        <v>1.1</v>
      </c>
      <c r="X5" s="26">
        <f t="shared" ref="X5:X14" si="8">$AF$4</f>
        <v>0.514765646166351</v>
      </c>
      <c r="Y5" s="38">
        <f t="shared" si="4"/>
        <v>0.8</v>
      </c>
      <c r="Z5" s="42">
        <v>0</v>
      </c>
      <c r="AA5" s="42">
        <v>0</v>
      </c>
      <c r="AB5" s="28">
        <f t="shared" si="5"/>
        <v>0.18</v>
      </c>
      <c r="AC5" s="19">
        <f t="shared" si="6"/>
        <v>47825.6671790987</v>
      </c>
      <c r="AD5" s="14">
        <v>0</v>
      </c>
      <c r="AE5" s="14">
        <v>30</v>
      </c>
      <c r="AF5" s="15">
        <f t="shared" si="7"/>
        <v>0.57698147585788</v>
      </c>
      <c r="AG5" s="29">
        <v>100</v>
      </c>
    </row>
    <row r="6" s="1" customFormat="1" ht="15" spans="2:33">
      <c r="B6" s="30" t="s">
        <v>40</v>
      </c>
      <c r="C6" s="33">
        <f>18%+18%+M4+(2-E1)*30%</f>
        <v>1.132</v>
      </c>
      <c r="D6" s="30" t="s">
        <v>41</v>
      </c>
      <c r="E6" s="32">
        <v>0.12</v>
      </c>
      <c r="F6" s="30" t="s">
        <v>42</v>
      </c>
      <c r="G6" s="33"/>
      <c r="H6" s="30" t="s">
        <v>42</v>
      </c>
      <c r="I6" s="33">
        <v>0</v>
      </c>
      <c r="J6" s="43"/>
      <c r="K6" s="32"/>
      <c r="L6" s="30" t="s">
        <v>23</v>
      </c>
      <c r="M6" s="33">
        <f>8.1*5%</f>
        <v>0.405</v>
      </c>
      <c r="O6" s="36">
        <v>3</v>
      </c>
      <c r="P6" s="19" t="s">
        <v>43</v>
      </c>
      <c r="Q6" s="37">
        <f>50.42%+50.42%</f>
        <v>1.0084</v>
      </c>
      <c r="R6" s="38" t="s">
        <v>1</v>
      </c>
      <c r="S6" s="39">
        <f t="shared" si="0"/>
        <v>3680.6</v>
      </c>
      <c r="T6" s="40">
        <f t="shared" si="1"/>
        <v>2.50533333333333</v>
      </c>
      <c r="U6" s="40">
        <f>IF(R6=$C$1,SUM($E$4:$E$9),SUM($E$4:$E$8))+1.5</f>
        <v>3.692</v>
      </c>
      <c r="V6" s="24">
        <f t="shared" si="2"/>
        <v>2.3615</v>
      </c>
      <c r="W6" s="41">
        <f t="shared" si="3"/>
        <v>1.1</v>
      </c>
      <c r="X6" s="26">
        <f t="shared" si="8"/>
        <v>0.514765646166351</v>
      </c>
      <c r="Y6" s="38">
        <f t="shared" ref="Y6:Y15" si="9">$AF$12</f>
        <v>0.8</v>
      </c>
      <c r="Z6" s="42">
        <v>0</v>
      </c>
      <c r="AA6" s="42">
        <v>0</v>
      </c>
      <c r="AB6" s="28">
        <f t="shared" si="5"/>
        <v>0.18</v>
      </c>
      <c r="AC6" s="19">
        <f t="shared" si="6"/>
        <v>125898.197311355</v>
      </c>
      <c r="AD6" s="14">
        <v>0</v>
      </c>
      <c r="AE6" s="14">
        <v>21.6</v>
      </c>
      <c r="AF6" s="15">
        <f t="shared" si="7"/>
        <v>0.549107555719967</v>
      </c>
      <c r="AG6" s="29">
        <v>100</v>
      </c>
    </row>
    <row r="7" s="1" customFormat="1" ht="15" spans="2:33">
      <c r="B7" s="30" t="s">
        <v>44</v>
      </c>
      <c r="C7" s="33">
        <v>0.25</v>
      </c>
      <c r="D7" s="30" t="s">
        <v>45</v>
      </c>
      <c r="E7" s="32">
        <f>58%+40%</f>
        <v>0.98</v>
      </c>
      <c r="F7" s="30" t="s">
        <v>40</v>
      </c>
      <c r="G7" s="33">
        <f>M6</f>
        <v>0.405</v>
      </c>
      <c r="H7" s="30" t="s">
        <v>40</v>
      </c>
      <c r="I7" s="33">
        <f>M7+44%</f>
        <v>1.25</v>
      </c>
      <c r="J7" s="43"/>
      <c r="K7" s="32"/>
      <c r="L7" s="30" t="s">
        <v>46</v>
      </c>
      <c r="M7" s="32">
        <f>16.2%*5</f>
        <v>0.81</v>
      </c>
      <c r="O7" s="36">
        <v>3</v>
      </c>
      <c r="P7" s="19" t="s">
        <v>47</v>
      </c>
      <c r="Q7" s="37">
        <f>74.92%+74.92%</f>
        <v>1.4984</v>
      </c>
      <c r="R7" s="38" t="s">
        <v>1</v>
      </c>
      <c r="S7" s="39">
        <f t="shared" si="0"/>
        <v>3680.6</v>
      </c>
      <c r="T7" s="40">
        <f t="shared" si="1"/>
        <v>2.50533333333333</v>
      </c>
      <c r="U7" s="40">
        <f>IF(R7=$C$1,SUM($E$4:$E$9),SUM($E$4:$E$8))+1.5</f>
        <v>3.692</v>
      </c>
      <c r="V7" s="24">
        <f t="shared" si="2"/>
        <v>2.3615</v>
      </c>
      <c r="W7" s="41">
        <f t="shared" si="3"/>
        <v>1.1</v>
      </c>
      <c r="X7" s="26">
        <f t="shared" si="8"/>
        <v>0.514765646166351</v>
      </c>
      <c r="Y7" s="38">
        <f t="shared" si="4"/>
        <v>0.8</v>
      </c>
      <c r="Z7" s="42">
        <v>0</v>
      </c>
      <c r="AA7" s="42">
        <v>0</v>
      </c>
      <c r="AB7" s="28">
        <f t="shared" si="5"/>
        <v>0.18</v>
      </c>
      <c r="AC7" s="19">
        <f t="shared" si="6"/>
        <v>187074.433609019</v>
      </c>
      <c r="AD7" s="14">
        <v>0</v>
      </c>
      <c r="AE7" s="14">
        <v>28.8</v>
      </c>
      <c r="AF7" s="15">
        <f t="shared" si="7"/>
        <v>0.572827476423627</v>
      </c>
      <c r="AG7" s="29">
        <v>100</v>
      </c>
    </row>
    <row r="8" s="1" customFormat="1" ht="15" spans="2:33">
      <c r="B8" s="30" t="s">
        <v>48</v>
      </c>
      <c r="C8" s="44">
        <f>25%+30%</f>
        <v>0.55</v>
      </c>
      <c r="D8" s="30" t="s">
        <v>49</v>
      </c>
      <c r="E8" s="45">
        <f>20%+20%</f>
        <v>0.4</v>
      </c>
      <c r="F8" s="30" t="s">
        <v>50</v>
      </c>
      <c r="G8" s="33">
        <v>0</v>
      </c>
      <c r="H8" s="30" t="s">
        <v>51</v>
      </c>
      <c r="I8" s="33"/>
      <c r="J8" s="43"/>
      <c r="K8" s="32"/>
      <c r="L8" s="30"/>
      <c r="M8" s="31"/>
      <c r="O8" s="36">
        <v>2</v>
      </c>
      <c r="P8" s="19" t="s">
        <v>52</v>
      </c>
      <c r="Q8" s="37">
        <v>1.5547</v>
      </c>
      <c r="R8" s="38" t="s">
        <v>1</v>
      </c>
      <c r="S8" s="39">
        <f t="shared" si="0"/>
        <v>3680.6</v>
      </c>
      <c r="T8" s="40">
        <f t="shared" si="1"/>
        <v>2.50533333333333</v>
      </c>
      <c r="U8" s="40">
        <f t="shared" ref="U4:U13" si="10">IF(R8=$C$1,SUM($E$4:$E$9),SUM($E$4:$E$8))</f>
        <v>2.192</v>
      </c>
      <c r="V8" s="24">
        <f t="shared" si="2"/>
        <v>2.3615</v>
      </c>
      <c r="W8" s="41">
        <f t="shared" si="3"/>
        <v>1.1</v>
      </c>
      <c r="X8" s="26">
        <f t="shared" si="8"/>
        <v>0.514765646166351</v>
      </c>
      <c r="Y8" s="38">
        <f t="shared" si="9"/>
        <v>0.8</v>
      </c>
      <c r="Z8" s="42">
        <v>0</v>
      </c>
      <c r="AA8" s="42">
        <v>0</v>
      </c>
      <c r="AB8" s="28">
        <f t="shared" si="5"/>
        <v>0.18</v>
      </c>
      <c r="AC8" s="19">
        <f t="shared" si="6"/>
        <v>88033.2820298417</v>
      </c>
      <c r="AD8" s="14">
        <v>0</v>
      </c>
      <c r="AE8" s="14">
        <v>36</v>
      </c>
      <c r="AF8" s="15">
        <f t="shared" si="7"/>
        <v>0.598689185782707</v>
      </c>
      <c r="AG8" s="29">
        <v>100</v>
      </c>
    </row>
    <row r="9" s="1" customFormat="1" ht="15" spans="2:33">
      <c r="B9" s="30" t="s">
        <v>53</v>
      </c>
      <c r="C9" s="31">
        <v>350</v>
      </c>
      <c r="D9" s="30" t="s">
        <v>54</v>
      </c>
      <c r="E9" s="46">
        <f>M5+12%</f>
        <v>0.292</v>
      </c>
      <c r="F9" s="30" t="s">
        <v>55</v>
      </c>
      <c r="G9" s="33"/>
      <c r="H9" s="30" t="s">
        <v>55</v>
      </c>
      <c r="I9" s="33"/>
      <c r="J9" s="43"/>
      <c r="K9" s="32"/>
      <c r="L9" s="30"/>
      <c r="M9" s="31"/>
      <c r="O9" s="36">
        <v>1</v>
      </c>
      <c r="P9" s="19" t="s">
        <v>56</v>
      </c>
      <c r="Q9" s="37">
        <f>26.56%*5+88.53%</f>
        <v>2.2133</v>
      </c>
      <c r="R9" s="38" t="s">
        <v>1</v>
      </c>
      <c r="S9" s="39">
        <f t="shared" si="0"/>
        <v>3680.6</v>
      </c>
      <c r="T9" s="40">
        <f t="shared" si="1"/>
        <v>2.50533333333333</v>
      </c>
      <c r="U9" s="40">
        <f t="shared" si="10"/>
        <v>2.192</v>
      </c>
      <c r="V9" s="24">
        <f t="shared" si="2"/>
        <v>2.3615</v>
      </c>
      <c r="W9" s="41">
        <f t="shared" si="3"/>
        <v>1.1</v>
      </c>
      <c r="X9" s="26">
        <f t="shared" si="8"/>
        <v>0.514765646166351</v>
      </c>
      <c r="Y9" s="38">
        <f>$AF$14</f>
        <v>0.8</v>
      </c>
      <c r="Z9" s="42">
        <v>2.46</v>
      </c>
      <c r="AA9" s="42">
        <v>0.3</v>
      </c>
      <c r="AB9" s="28">
        <f t="shared" si="5"/>
        <v>0.18</v>
      </c>
      <c r="AC9" s="19">
        <f t="shared" si="6"/>
        <v>281857.784749047</v>
      </c>
    </row>
    <row r="10" s="1" customFormat="1" ht="15" spans="2:33">
      <c r="B10" s="47" t="s">
        <v>57</v>
      </c>
      <c r="C10" s="48"/>
      <c r="D10" s="47"/>
      <c r="E10" s="49"/>
      <c r="F10" s="50" t="s">
        <v>58</v>
      </c>
      <c r="G10" s="51">
        <f>MIN(100%,SUM(G4:G9))</f>
        <v>0.778</v>
      </c>
      <c r="H10" s="50" t="s">
        <v>59</v>
      </c>
      <c r="I10" s="51">
        <f>SUM(I4:I9)</f>
        <v>2.75</v>
      </c>
      <c r="J10" s="52"/>
      <c r="K10" s="49"/>
      <c r="L10" s="47"/>
      <c r="M10" s="48"/>
      <c r="O10" s="36">
        <v>1</v>
      </c>
      <c r="P10" s="19" t="s">
        <v>60</v>
      </c>
      <c r="Q10" s="37">
        <v>2.8773</v>
      </c>
      <c r="R10" s="38" t="s">
        <v>1</v>
      </c>
      <c r="S10" s="39">
        <f t="shared" si="0"/>
        <v>3680.6</v>
      </c>
      <c r="T10" s="40">
        <f t="shared" si="1"/>
        <v>2.50533333333333</v>
      </c>
      <c r="U10" s="40">
        <f t="shared" si="10"/>
        <v>2.192</v>
      </c>
      <c r="V10" s="24">
        <f t="shared" si="2"/>
        <v>2.3615</v>
      </c>
      <c r="W10" s="41">
        <f t="shared" si="3"/>
        <v>1.1</v>
      </c>
      <c r="X10" s="26">
        <f t="shared" si="8"/>
        <v>0.514765646166351</v>
      </c>
      <c r="Y10" s="38">
        <f t="shared" si="9"/>
        <v>0.8</v>
      </c>
      <c r="Z10" s="42">
        <v>2.46</v>
      </c>
      <c r="AA10" s="42">
        <v>0.3</v>
      </c>
      <c r="AB10" s="28">
        <f t="shared" si="5"/>
        <v>0.18</v>
      </c>
      <c r="AC10" s="19">
        <f t="shared" si="6"/>
        <v>366416.393646786</v>
      </c>
    </row>
    <row r="11" s="1" customFormat="1" ht="15" spans="2:33">
      <c r="B11" s="53"/>
      <c r="C11" s="53"/>
      <c r="E11" s="54"/>
      <c r="F11" s="16" t="s">
        <v>61</v>
      </c>
      <c r="G11" s="55">
        <f>MAX(0,SUM(G4:G9)-1)</f>
        <v>0</v>
      </c>
      <c r="J11" s="2"/>
      <c r="K11" s="2"/>
      <c r="O11" s="36">
        <v>1</v>
      </c>
      <c r="P11" s="19" t="s">
        <v>62</v>
      </c>
      <c r="Q11" s="37">
        <v>3.5411</v>
      </c>
      <c r="R11" s="38" t="s">
        <v>1</v>
      </c>
      <c r="S11" s="39">
        <f t="shared" si="0"/>
        <v>3680.6</v>
      </c>
      <c r="T11" s="40">
        <f t="shared" si="1"/>
        <v>2.50533333333333</v>
      </c>
      <c r="U11" s="40">
        <f t="shared" si="10"/>
        <v>2.192</v>
      </c>
      <c r="V11" s="24">
        <f t="shared" si="2"/>
        <v>2.3615</v>
      </c>
      <c r="W11" s="41">
        <f t="shared" si="3"/>
        <v>1.1</v>
      </c>
      <c r="X11" s="26">
        <f t="shared" si="8"/>
        <v>0.514765646166351</v>
      </c>
      <c r="Y11" s="38">
        <f t="shared" si="9"/>
        <v>0.8</v>
      </c>
      <c r="Z11" s="42">
        <v>2.46</v>
      </c>
      <c r="AA11" s="42">
        <v>0.3</v>
      </c>
      <c r="AB11" s="28">
        <f t="shared" si="5"/>
        <v>0.18</v>
      </c>
      <c r="AC11" s="19">
        <f t="shared" si="6"/>
        <v>450949.533084014</v>
      </c>
      <c r="AE11" s="56"/>
      <c r="AF11" s="56"/>
    </row>
    <row r="12" s="1" customFormat="1" ht="15" spans="2:33">
      <c r="B12" s="53"/>
      <c r="C12" s="53"/>
      <c r="E12" s="54"/>
      <c r="G12" s="57"/>
      <c r="J12" s="2"/>
      <c r="K12" s="2"/>
      <c r="O12" s="36">
        <v>1</v>
      </c>
      <c r="P12" s="19" t="s">
        <v>63</v>
      </c>
      <c r="Q12" s="37">
        <v>3.069</v>
      </c>
      <c r="R12" s="38" t="s">
        <v>1</v>
      </c>
      <c r="S12" s="39">
        <f t="shared" si="0"/>
        <v>3680.6</v>
      </c>
      <c r="T12" s="40">
        <f t="shared" si="1"/>
        <v>2.50533333333333</v>
      </c>
      <c r="U12" s="40">
        <f>IF(R12=$C$1,SUM($E$4:$E$9),SUM($E$4:$E$8))+1.5</f>
        <v>3.692</v>
      </c>
      <c r="V12" s="24">
        <f t="shared" si="2"/>
        <v>2.3615</v>
      </c>
      <c r="W12" s="41">
        <f t="shared" si="3"/>
        <v>1.1</v>
      </c>
      <c r="X12" s="26">
        <f t="shared" si="8"/>
        <v>0.514765646166351</v>
      </c>
      <c r="Y12" s="38">
        <f t="shared" si="9"/>
        <v>0.8</v>
      </c>
      <c r="Z12" s="42">
        <v>2.46</v>
      </c>
      <c r="AA12" s="42">
        <v>0.3</v>
      </c>
      <c r="AB12" s="28">
        <f t="shared" si="5"/>
        <v>0.18</v>
      </c>
      <c r="AC12" s="19">
        <f t="shared" si="6"/>
        <v>574489.05554455</v>
      </c>
      <c r="AE12" s="58"/>
      <c r="AF12" s="58">
        <v>0.8</v>
      </c>
    </row>
    <row r="13" s="1" customFormat="1" ht="15" spans="2:33">
      <c r="B13" s="5" t="s">
        <v>0</v>
      </c>
      <c r="C13" s="5" t="s">
        <v>1</v>
      </c>
      <c r="D13" s="6" t="s">
        <v>2</v>
      </c>
      <c r="E13" s="6">
        <v>1</v>
      </c>
      <c r="O13" s="36">
        <v>1</v>
      </c>
      <c r="P13" s="19" t="s">
        <v>64</v>
      </c>
      <c r="Q13" s="37">
        <v>1.5345</v>
      </c>
      <c r="R13" s="38" t="s">
        <v>1</v>
      </c>
      <c r="S13" s="39">
        <f t="shared" si="0"/>
        <v>3680.6</v>
      </c>
      <c r="T13" s="40">
        <f t="shared" si="1"/>
        <v>2.50533333333333</v>
      </c>
      <c r="U13" s="40">
        <f t="shared" si="10"/>
        <v>2.192</v>
      </c>
      <c r="V13" s="24">
        <f t="shared" si="2"/>
        <v>2.3615</v>
      </c>
      <c r="W13" s="41">
        <f t="shared" si="3"/>
        <v>1.1</v>
      </c>
      <c r="X13" s="26">
        <f t="shared" si="8"/>
        <v>0.514765646166351</v>
      </c>
      <c r="Y13" s="38">
        <f t="shared" si="9"/>
        <v>0.8</v>
      </c>
      <c r="Z13" s="42">
        <v>2.46</v>
      </c>
      <c r="AA13" s="42">
        <v>0.3</v>
      </c>
      <c r="AB13" s="28">
        <f t="shared" si="5"/>
        <v>0.18</v>
      </c>
      <c r="AC13" s="19">
        <f t="shared" si="6"/>
        <v>195414.435773466</v>
      </c>
      <c r="AE13" s="59" t="s">
        <v>65</v>
      </c>
      <c r="AF13" s="59">
        <v>0.8</v>
      </c>
    </row>
    <row r="14" s="1" customFormat="1" ht="15" spans="2:33">
      <c r="B14" s="60" t="s">
        <v>66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O14" s="36">
        <v>1</v>
      </c>
      <c r="P14" s="19" t="s">
        <v>67</v>
      </c>
      <c r="Q14" s="37">
        <f>745.54%+49.71%*5</f>
        <v>9.9409</v>
      </c>
      <c r="R14" s="38" t="s">
        <v>1</v>
      </c>
      <c r="S14" s="39">
        <f t="shared" si="0"/>
        <v>3680.6</v>
      </c>
      <c r="T14" s="40">
        <f t="shared" si="1"/>
        <v>2.50533333333333</v>
      </c>
      <c r="U14" s="40">
        <f>IF(R14=$C$1,SUM($E$4:$E$9),SUM($E$4:$E$8))+40%+120%</f>
        <v>3.792</v>
      </c>
      <c r="V14" s="24">
        <f t="shared" si="2"/>
        <v>2.3615</v>
      </c>
      <c r="W14" s="41">
        <f t="shared" si="3"/>
        <v>1.1</v>
      </c>
      <c r="X14" s="26">
        <f t="shared" si="8"/>
        <v>0.514765646166351</v>
      </c>
      <c r="Y14" s="38">
        <f t="shared" si="9"/>
        <v>0.8</v>
      </c>
      <c r="Z14" s="42">
        <f>75%+60%</f>
        <v>1.35</v>
      </c>
      <c r="AA14" s="42">
        <v>0</v>
      </c>
      <c r="AB14" s="28">
        <f t="shared" si="5"/>
        <v>0.18</v>
      </c>
      <c r="AC14" s="19">
        <f t="shared" si="6"/>
        <v>992928.081097622</v>
      </c>
      <c r="AE14" s="61" t="s">
        <v>68</v>
      </c>
      <c r="AF14" s="61">
        <v>0.8</v>
      </c>
    </row>
    <row r="15" s="1" customFormat="1" ht="15" spans="2:33">
      <c r="B15" s="62" t="s">
        <v>22</v>
      </c>
      <c r="C15" s="62"/>
      <c r="D15" s="62" t="s">
        <v>10</v>
      </c>
      <c r="E15" s="62"/>
      <c r="F15" s="62" t="s">
        <v>23</v>
      </c>
      <c r="G15" s="62"/>
      <c r="H15" s="62" t="s">
        <v>24</v>
      </c>
      <c r="I15" s="62"/>
      <c r="J15" s="62" t="s">
        <v>12</v>
      </c>
      <c r="K15" s="62"/>
      <c r="L15" s="62" t="s">
        <v>25</v>
      </c>
      <c r="M15" s="62"/>
      <c r="O15" s="63">
        <v>1</v>
      </c>
      <c r="P15" s="19" t="s">
        <v>69</v>
      </c>
      <c r="Q15" s="64">
        <v>5</v>
      </c>
      <c r="R15" s="65" t="s">
        <v>70</v>
      </c>
      <c r="S15" s="66">
        <f t="shared" si="0"/>
        <v>3680.6</v>
      </c>
      <c r="T15" s="67">
        <f t="shared" si="1"/>
        <v>2.50533333333333</v>
      </c>
      <c r="U15" s="67">
        <f>IF(R15=$C$1,SUM($E$4:$E$9),SUM($E$4:$E$8))+$E$10+80%</f>
        <v>2.7</v>
      </c>
      <c r="V15" s="68">
        <f t="shared" si="2"/>
        <v>2.3615</v>
      </c>
      <c r="W15" s="69">
        <f>IF(R15=$C$1,$K$4+$K$5,$K$4)+$K$6</f>
        <v>0.9</v>
      </c>
      <c r="X15" s="26">
        <f t="shared" ref="X15:X24" si="11">$AF$3</f>
        <v>0.488431876606684</v>
      </c>
      <c r="Y15" s="65">
        <f t="shared" si="9"/>
        <v>0.8</v>
      </c>
      <c r="Z15" s="70">
        <v>0</v>
      </c>
      <c r="AA15" s="70">
        <v>0</v>
      </c>
      <c r="AB15" s="28">
        <f t="shared" si="5"/>
        <v>0.18</v>
      </c>
      <c r="AC15" s="19">
        <f t="shared" si="6"/>
        <v>140866.555406163</v>
      </c>
      <c r="AE15" s="71" t="s">
        <v>71</v>
      </c>
      <c r="AF15" s="71">
        <v>0.8</v>
      </c>
    </row>
    <row r="16" s="1" customFormat="1" ht="15" spans="2:33">
      <c r="B16" s="72" t="s">
        <v>27</v>
      </c>
      <c r="C16" s="31">
        <f>375+588</f>
        <v>963</v>
      </c>
      <c r="D16" s="72" t="s">
        <v>28</v>
      </c>
      <c r="E16" s="35">
        <f>E13*30%</f>
        <v>0.3</v>
      </c>
      <c r="F16" s="72" t="s">
        <v>29</v>
      </c>
      <c r="G16" s="73">
        <v>0.13</v>
      </c>
      <c r="H16" s="72" t="s">
        <v>29</v>
      </c>
      <c r="I16" s="73">
        <v>1.5</v>
      </c>
      <c r="J16" s="34" t="s">
        <v>30</v>
      </c>
      <c r="K16" s="35">
        <f>25%</f>
        <v>0.25</v>
      </c>
      <c r="L16" s="72" t="s">
        <v>31</v>
      </c>
      <c r="M16" s="73">
        <f>8.6%*2</f>
        <v>0.172</v>
      </c>
      <c r="O16" s="18">
        <v>1</v>
      </c>
      <c r="P16" s="74" t="s">
        <v>32</v>
      </c>
      <c r="Q16" s="75">
        <v>2.248</v>
      </c>
      <c r="R16" s="76" t="s">
        <v>33</v>
      </c>
      <c r="S16" s="77">
        <f t="shared" ref="S16:S24" si="12">$C$16*(1+$C$17+$C$18+$C$19+$C$20)+($C$21+$C$22)</f>
        <v>2586.086</v>
      </c>
      <c r="T16" s="78">
        <f t="shared" ref="T16:T24" si="13">($C$17+$C$18+$C$19+$C$20)+($C$21+$C$22)/$C$16</f>
        <v>1.68544755970924</v>
      </c>
      <c r="U16" s="78">
        <f>IF(R16=$C$13,SUM($E$16:$E$21),SUM($E$16:$E$20))-12%</f>
        <v>1.61</v>
      </c>
      <c r="V16" s="79">
        <f t="shared" ref="V16:V24" si="14">1+$G$22*($I$22-1)</f>
        <v>2.3615</v>
      </c>
      <c r="W16" s="80">
        <f t="shared" ref="W16:W24" si="15">IF(R16=$C$1,$K$16+$K$17,$K$16)</f>
        <v>0.25</v>
      </c>
      <c r="X16" s="79">
        <f t="shared" si="11"/>
        <v>0.488431876606684</v>
      </c>
      <c r="Y16" s="76">
        <f t="shared" ref="Y16:Y24" si="16">$AF$15</f>
        <v>0.8</v>
      </c>
      <c r="Z16" s="81">
        <v>0</v>
      </c>
      <c r="AA16" s="81">
        <v>0</v>
      </c>
      <c r="AB16" s="28">
        <f t="shared" si="5"/>
        <v>0.18</v>
      </c>
      <c r="AC16" s="82">
        <f t="shared" ref="AC16:AC24" si="17">Q16*$C$16*(1+T16)*(1+U16)*V16*(1+W16)*X16*Y16*(1+Z16)*(1+AA16)*(1+AB16)*O16</f>
        <v>20651.6014101849</v>
      </c>
    </row>
    <row r="17" s="1" customFormat="1" ht="15" spans="1:32">
      <c r="B17" s="30" t="s">
        <v>34</v>
      </c>
      <c r="C17" s="32">
        <v>0.24</v>
      </c>
      <c r="D17" s="30" t="s">
        <v>35</v>
      </c>
      <c r="E17" s="32">
        <v>0.1</v>
      </c>
      <c r="F17" s="30" t="s">
        <v>36</v>
      </c>
      <c r="G17" s="33">
        <v>0.243</v>
      </c>
      <c r="H17" s="30" t="s">
        <v>36</v>
      </c>
      <c r="I17" s="33">
        <v>0</v>
      </c>
      <c r="J17" s="43" t="s">
        <v>72</v>
      </c>
      <c r="K17" s="32"/>
      <c r="L17" s="30" t="s">
        <v>73</v>
      </c>
      <c r="M17" s="33">
        <f>1*8.6%</f>
        <v>0.086</v>
      </c>
      <c r="O17" s="36">
        <v>1</v>
      </c>
      <c r="P17" s="74" t="s">
        <v>74</v>
      </c>
      <c r="Q17" s="43">
        <v>8.748</v>
      </c>
      <c r="R17" s="53" t="s">
        <v>75</v>
      </c>
      <c r="S17" s="83">
        <f t="shared" si="12"/>
        <v>2586.086</v>
      </c>
      <c r="T17" s="84">
        <f t="shared" si="13"/>
        <v>1.68544755970924</v>
      </c>
      <c r="U17" s="84">
        <f>IF(R17=$C$13,SUM($E$16:$E$21),SUM($E$16:$E$20))-12%</f>
        <v>1.61</v>
      </c>
      <c r="V17" s="85">
        <f t="shared" si="14"/>
        <v>2.3615</v>
      </c>
      <c r="W17" s="86">
        <f t="shared" si="15"/>
        <v>0.25</v>
      </c>
      <c r="X17" s="85">
        <f t="shared" si="11"/>
        <v>0.488431876606684</v>
      </c>
      <c r="Y17" s="76">
        <f t="shared" si="16"/>
        <v>0.8</v>
      </c>
      <c r="Z17" s="87">
        <v>0</v>
      </c>
      <c r="AA17" s="87">
        <v>0</v>
      </c>
      <c r="AB17" s="28">
        <f t="shared" si="5"/>
        <v>0.18</v>
      </c>
      <c r="AC17" s="82">
        <f t="shared" si="17"/>
        <v>80364.8617154348</v>
      </c>
      <c r="AE17" s="1" t="s">
        <v>76</v>
      </c>
      <c r="AF17" s="54">
        <v>0.18</v>
      </c>
    </row>
    <row r="18" s="1" customFormat="1" ht="15" spans="1:32">
      <c r="B18" s="30" t="s">
        <v>40</v>
      </c>
      <c r="C18" s="32">
        <f>18%+18%+M16+(2-E13)*30%</f>
        <v>0.832</v>
      </c>
      <c r="D18" s="30" t="s">
        <v>41</v>
      </c>
      <c r="E18" s="32">
        <v>0.25</v>
      </c>
      <c r="F18" s="30" t="s">
        <v>42</v>
      </c>
      <c r="G18" s="33"/>
      <c r="H18" s="30" t="s">
        <v>42</v>
      </c>
      <c r="I18" s="33">
        <v>0.44</v>
      </c>
      <c r="J18" s="43"/>
      <c r="K18" s="33"/>
      <c r="L18" s="30" t="s">
        <v>23</v>
      </c>
      <c r="M18" s="33">
        <f>8.1*5%</f>
        <v>0.405</v>
      </c>
      <c r="O18" s="36">
        <v>1</v>
      </c>
      <c r="P18" s="74" t="s">
        <v>77</v>
      </c>
      <c r="Q18" s="43">
        <v>2.7863</v>
      </c>
      <c r="R18" s="53" t="s">
        <v>78</v>
      </c>
      <c r="S18" s="83">
        <f t="shared" si="12"/>
        <v>2586.086</v>
      </c>
      <c r="T18" s="84">
        <f t="shared" si="13"/>
        <v>1.68544755970924</v>
      </c>
      <c r="U18" s="84">
        <f>IF(R18=$C$13,SUM($E$16:$E$21),SUM($E$16:$E$20))-6%</f>
        <v>1.67</v>
      </c>
      <c r="V18" s="85">
        <f t="shared" si="14"/>
        <v>2.3615</v>
      </c>
      <c r="W18" s="86">
        <f t="shared" si="15"/>
        <v>0.25</v>
      </c>
      <c r="X18" s="85">
        <f t="shared" si="11"/>
        <v>0.488431876606684</v>
      </c>
      <c r="Y18" s="76">
        <f t="shared" si="16"/>
        <v>0.8</v>
      </c>
      <c r="Z18" s="87">
        <v>0</v>
      </c>
      <c r="AA18" s="87">
        <v>0</v>
      </c>
      <c r="AB18" s="28">
        <f t="shared" si="5"/>
        <v>0.18</v>
      </c>
      <c r="AC18" s="82">
        <f t="shared" si="17"/>
        <v>26185.2097078304</v>
      </c>
    </row>
    <row r="19" s="1" customFormat="1" ht="15" spans="1:32">
      <c r="B19" s="30" t="s">
        <v>44</v>
      </c>
      <c r="C19" s="44"/>
      <c r="D19" s="30" t="s">
        <v>45</v>
      </c>
      <c r="E19" s="32">
        <v>0.4</v>
      </c>
      <c r="F19" s="30" t="s">
        <v>40</v>
      </c>
      <c r="G19" s="33">
        <f>M18</f>
        <v>0.405</v>
      </c>
      <c r="H19" s="30" t="s">
        <v>40</v>
      </c>
      <c r="I19" s="33">
        <f>M19</f>
        <v>0.81</v>
      </c>
      <c r="J19" s="43"/>
      <c r="K19" s="33"/>
      <c r="L19" s="30" t="s">
        <v>46</v>
      </c>
      <c r="M19" s="32">
        <f>16.2%*5</f>
        <v>0.81</v>
      </c>
      <c r="O19" s="36">
        <v>1</v>
      </c>
      <c r="P19" s="74" t="s">
        <v>79</v>
      </c>
      <c r="Q19" s="43">
        <v>5.5556</v>
      </c>
      <c r="R19" s="53" t="s">
        <v>1</v>
      </c>
      <c r="S19" s="83">
        <f t="shared" si="12"/>
        <v>2586.086</v>
      </c>
      <c r="T19" s="84">
        <f t="shared" si="13"/>
        <v>1.68544755970924</v>
      </c>
      <c r="U19" s="84">
        <f t="shared" ref="U19:U24" si="18">IF(R19=$C$13,SUM($E$16:$E$21),SUM($E$16:$E$20))</f>
        <v>2.176</v>
      </c>
      <c r="V19" s="85">
        <f t="shared" si="14"/>
        <v>2.3615</v>
      </c>
      <c r="W19" s="86">
        <f t="shared" si="15"/>
        <v>0.25</v>
      </c>
      <c r="X19" s="85">
        <f t="shared" si="11"/>
        <v>0.488431876606684</v>
      </c>
      <c r="Y19" s="76">
        <f t="shared" si="16"/>
        <v>0.8</v>
      </c>
      <c r="Z19" s="87">
        <v>0</v>
      </c>
      <c r="AA19" s="87">
        <v>0</v>
      </c>
      <c r="AB19" s="28">
        <f t="shared" si="5"/>
        <v>0.18</v>
      </c>
      <c r="AC19" s="82">
        <f t="shared" si="17"/>
        <v>62105.2598238175</v>
      </c>
    </row>
    <row r="20" s="1" customFormat="1" ht="15" spans="1:32">
      <c r="B20" s="30" t="s">
        <v>48</v>
      </c>
      <c r="C20" s="44">
        <v>0.25</v>
      </c>
      <c r="D20" s="30" t="s">
        <v>49</v>
      </c>
      <c r="E20" s="45">
        <f>24%+24%+20%</f>
        <v>0.68</v>
      </c>
      <c r="F20" s="30" t="s">
        <v>50</v>
      </c>
      <c r="G20" s="33">
        <v>0</v>
      </c>
      <c r="H20" s="30" t="s">
        <v>50</v>
      </c>
      <c r="I20" s="33">
        <v>0</v>
      </c>
      <c r="J20" s="43"/>
      <c r="K20" s="33"/>
      <c r="L20" s="30"/>
      <c r="M20" s="31"/>
      <c r="O20" s="36">
        <v>1</v>
      </c>
      <c r="P20" s="74" t="s">
        <v>80</v>
      </c>
      <c r="Q20" s="43">
        <v>3.076</v>
      </c>
      <c r="R20" s="53" t="s">
        <v>1</v>
      </c>
      <c r="S20" s="83">
        <f t="shared" si="12"/>
        <v>2586.086</v>
      </c>
      <c r="T20" s="84">
        <f t="shared" si="13"/>
        <v>1.68544755970924</v>
      </c>
      <c r="U20" s="84">
        <f t="shared" si="18"/>
        <v>2.176</v>
      </c>
      <c r="V20" s="85">
        <f t="shared" si="14"/>
        <v>2.3615</v>
      </c>
      <c r="W20" s="86">
        <f t="shared" si="15"/>
        <v>0.25</v>
      </c>
      <c r="X20" s="85">
        <f t="shared" si="11"/>
        <v>0.488431876606684</v>
      </c>
      <c r="Y20" s="76">
        <f t="shared" si="16"/>
        <v>0.8</v>
      </c>
      <c r="Z20" s="87">
        <v>0</v>
      </c>
      <c r="AA20" s="87">
        <v>0</v>
      </c>
      <c r="AB20" s="28">
        <f t="shared" si="5"/>
        <v>0.18</v>
      </c>
      <c r="AC20" s="82">
        <f t="shared" si="17"/>
        <v>34386.1651699299</v>
      </c>
    </row>
    <row r="21" s="1" customFormat="1" ht="15" spans="1:32">
      <c r="B21" s="30" t="s">
        <v>53</v>
      </c>
      <c r="C21" s="31">
        <v>350</v>
      </c>
      <c r="D21" s="30" t="s">
        <v>54</v>
      </c>
      <c r="E21" s="32">
        <f>36%+M17</f>
        <v>0.446</v>
      </c>
      <c r="F21" s="30" t="s">
        <v>55</v>
      </c>
      <c r="G21" s="33"/>
      <c r="H21" s="30" t="s">
        <v>55</v>
      </c>
      <c r="I21" s="33"/>
      <c r="J21" s="43"/>
      <c r="K21" s="33"/>
      <c r="L21" s="30"/>
      <c r="M21" s="31"/>
      <c r="O21" s="36">
        <v>1</v>
      </c>
      <c r="P21" s="74" t="s">
        <v>81</v>
      </c>
      <c r="Q21" s="43">
        <v>12.1672</v>
      </c>
      <c r="R21" s="53" t="s">
        <v>1</v>
      </c>
      <c r="S21" s="83">
        <f t="shared" si="12"/>
        <v>2586.086</v>
      </c>
      <c r="T21" s="84">
        <f t="shared" si="13"/>
        <v>1.68544755970924</v>
      </c>
      <c r="U21" s="84">
        <f t="shared" si="18"/>
        <v>2.176</v>
      </c>
      <c r="V21" s="85">
        <f t="shared" si="14"/>
        <v>2.3615</v>
      </c>
      <c r="W21" s="86">
        <f t="shared" si="15"/>
        <v>0.25</v>
      </c>
      <c r="X21" s="85">
        <f t="shared" si="11"/>
        <v>0.488431876606684</v>
      </c>
      <c r="Y21" s="76">
        <f t="shared" si="16"/>
        <v>0.8</v>
      </c>
      <c r="Z21" s="87">
        <v>0</v>
      </c>
      <c r="AA21" s="87">
        <v>0</v>
      </c>
      <c r="AB21" s="28">
        <f t="shared" si="5"/>
        <v>0.18</v>
      </c>
      <c r="AC21" s="82">
        <f t="shared" si="17"/>
        <v>136015.392995959</v>
      </c>
    </row>
    <row r="22" s="1" customFormat="1" ht="15" spans="1:32">
      <c r="B22" s="47" t="s">
        <v>57</v>
      </c>
      <c r="C22" s="48"/>
      <c r="D22" s="47"/>
      <c r="E22" s="49"/>
      <c r="F22" s="50" t="s">
        <v>58</v>
      </c>
      <c r="G22" s="51">
        <f>MIN(100%,SUM(G16:G21))</f>
        <v>0.778</v>
      </c>
      <c r="H22" s="50" t="s">
        <v>59</v>
      </c>
      <c r="I22" s="51">
        <f>SUM(I16:I21)</f>
        <v>2.75</v>
      </c>
      <c r="J22" s="52"/>
      <c r="K22" s="88"/>
      <c r="L22" s="47"/>
      <c r="M22" s="48"/>
      <c r="O22" s="36">
        <v>1</v>
      </c>
      <c r="P22" s="74" t="s">
        <v>82</v>
      </c>
      <c r="Q22" s="43">
        <v>2.3262</v>
      </c>
      <c r="R22" s="53" t="s">
        <v>78</v>
      </c>
      <c r="S22" s="83">
        <f t="shared" si="12"/>
        <v>2586.086</v>
      </c>
      <c r="T22" s="84">
        <f t="shared" si="13"/>
        <v>1.68544755970924</v>
      </c>
      <c r="U22" s="84">
        <f t="shared" si="18"/>
        <v>1.73</v>
      </c>
      <c r="V22" s="85">
        <f t="shared" si="14"/>
        <v>2.3615</v>
      </c>
      <c r="W22" s="86">
        <f t="shared" si="15"/>
        <v>0.25</v>
      </c>
      <c r="X22" s="85">
        <f t="shared" si="11"/>
        <v>0.488431876606684</v>
      </c>
      <c r="Y22" s="76">
        <f t="shared" si="16"/>
        <v>0.8</v>
      </c>
      <c r="Z22" s="87">
        <v>0</v>
      </c>
      <c r="AA22" s="87">
        <v>0</v>
      </c>
      <c r="AB22" s="28">
        <f t="shared" si="5"/>
        <v>0.18</v>
      </c>
      <c r="AC22" s="82">
        <f t="shared" si="17"/>
        <v>22352.5265024024</v>
      </c>
    </row>
    <row r="23" s="1" customFormat="1" ht="15" spans="1:32">
      <c r="B23" s="53"/>
      <c r="C23" s="53"/>
      <c r="E23" s="54"/>
      <c r="F23" s="16" t="s">
        <v>61</v>
      </c>
      <c r="G23" s="55">
        <f>MAX(0,SUM(G16:G21)-1)</f>
        <v>0</v>
      </c>
      <c r="J23" s="2"/>
      <c r="K23" s="2"/>
      <c r="O23" s="36">
        <v>1</v>
      </c>
      <c r="P23" s="74" t="s">
        <v>83</v>
      </c>
      <c r="Q23" s="43">
        <v>1</v>
      </c>
      <c r="R23" s="53" t="s">
        <v>70</v>
      </c>
      <c r="S23" s="83">
        <f t="shared" si="12"/>
        <v>2586.086</v>
      </c>
      <c r="T23" s="84">
        <f t="shared" si="13"/>
        <v>1.68544755970924</v>
      </c>
      <c r="U23" s="84">
        <f t="shared" si="18"/>
        <v>1.73</v>
      </c>
      <c r="V23" s="85">
        <f t="shared" si="14"/>
        <v>2.3615</v>
      </c>
      <c r="W23" s="86">
        <f t="shared" si="15"/>
        <v>0.25</v>
      </c>
      <c r="X23" s="85">
        <f t="shared" si="11"/>
        <v>0.488431876606684</v>
      </c>
      <c r="Y23" s="76">
        <f t="shared" si="16"/>
        <v>0.8</v>
      </c>
      <c r="Z23" s="87">
        <v>0</v>
      </c>
      <c r="AA23" s="87">
        <v>0</v>
      </c>
      <c r="AB23" s="28">
        <f t="shared" si="5"/>
        <v>0.18</v>
      </c>
      <c r="AC23" s="82">
        <f t="shared" si="17"/>
        <v>9609.03039394826</v>
      </c>
    </row>
    <row r="24" s="1" customFormat="1" ht="15" spans="1:32">
      <c r="B24" s="53"/>
      <c r="C24" s="53"/>
      <c r="E24" s="54"/>
      <c r="J24" s="2"/>
      <c r="K24" s="2"/>
      <c r="O24" s="63">
        <v>1</v>
      </c>
      <c r="P24" s="74" t="s">
        <v>84</v>
      </c>
      <c r="Q24" s="52">
        <v>2.736</v>
      </c>
      <c r="R24" s="89" t="s">
        <v>26</v>
      </c>
      <c r="S24" s="90">
        <f t="shared" si="12"/>
        <v>2586.086</v>
      </c>
      <c r="T24" s="91">
        <f t="shared" si="13"/>
        <v>1.68544755970924</v>
      </c>
      <c r="U24" s="91">
        <f t="shared" si="18"/>
        <v>1.73</v>
      </c>
      <c r="V24" s="92">
        <f t="shared" si="14"/>
        <v>2.3615</v>
      </c>
      <c r="W24" s="93">
        <f t="shared" si="15"/>
        <v>0.25</v>
      </c>
      <c r="X24" s="92">
        <f t="shared" si="11"/>
        <v>0.488431876606684</v>
      </c>
      <c r="Y24" s="76">
        <f t="shared" si="16"/>
        <v>0.8</v>
      </c>
      <c r="Z24" s="94">
        <v>0</v>
      </c>
      <c r="AA24" s="94">
        <v>0</v>
      </c>
      <c r="AB24" s="28">
        <f t="shared" si="5"/>
        <v>0.18</v>
      </c>
      <c r="AC24" s="82">
        <f t="shared" si="17"/>
        <v>26290.3071578424</v>
      </c>
      <c r="AD24" s="56"/>
    </row>
    <row r="25" s="1" customFormat="1" ht="15" spans="1:32">
      <c r="A25" s="95"/>
      <c r="B25" s="96" t="s">
        <v>85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</row>
    <row r="26" s="1" customFormat="1" ht="15" spans="1:32">
      <c r="A26" s="95" t="s">
        <v>86</v>
      </c>
      <c r="B26" s="97" t="s">
        <v>22</v>
      </c>
      <c r="C26" s="98"/>
      <c r="D26" s="97" t="s">
        <v>10</v>
      </c>
      <c r="E26" s="98"/>
      <c r="F26" s="97" t="s">
        <v>23</v>
      </c>
      <c r="G26" s="98"/>
      <c r="H26" s="97" t="s">
        <v>24</v>
      </c>
      <c r="I26" s="98"/>
      <c r="J26" s="97" t="s">
        <v>12</v>
      </c>
      <c r="K26" s="98"/>
      <c r="L26" s="97" t="s">
        <v>87</v>
      </c>
      <c r="M26" s="98"/>
      <c r="O26" s="72">
        <v>0</v>
      </c>
      <c r="P26" s="78" t="s">
        <v>88</v>
      </c>
      <c r="Q26" s="78">
        <v>1.0935</v>
      </c>
      <c r="R26" s="76" t="s">
        <v>89</v>
      </c>
      <c r="S26" s="76">
        <v>10027</v>
      </c>
      <c r="T26" s="78">
        <v>0</v>
      </c>
      <c r="U26" s="78">
        <v>0</v>
      </c>
      <c r="V26" s="79">
        <v>1</v>
      </c>
      <c r="W26" s="80">
        <v>0</v>
      </c>
      <c r="X26" s="79">
        <f t="shared" ref="X26:X30" si="19">$AF$3</f>
        <v>0.488431876606684</v>
      </c>
      <c r="Y26" s="76">
        <f t="shared" ref="Y26:Y30" si="20">$AF$13</f>
        <v>0.8</v>
      </c>
      <c r="Z26" s="81">
        <v>1.2</v>
      </c>
      <c r="AA26" s="81">
        <v>0</v>
      </c>
      <c r="AB26" s="81">
        <v>0.5</v>
      </c>
      <c r="AC26" s="99">
        <f t="shared" ref="AC26:AC30" si="21">Q26*$S$30*(1+T26)*(1+U26)*V26*(1+W26)*X26*Y26*(1+Z26)*(1+AA26)*(1+AB26)*O26</f>
        <v>0</v>
      </c>
    </row>
    <row r="27" s="1" customFormat="1" ht="15" spans="1:32">
      <c r="A27" s="95">
        <v>1357</v>
      </c>
      <c r="B27" s="100" t="s">
        <v>27</v>
      </c>
      <c r="C27" s="101">
        <f>288+337</f>
        <v>625</v>
      </c>
      <c r="D27" s="100" t="s">
        <v>28</v>
      </c>
      <c r="E27" s="46"/>
      <c r="F27" s="100" t="s">
        <v>90</v>
      </c>
      <c r="G27" s="102">
        <v>0.05</v>
      </c>
      <c r="H27" s="100" t="s">
        <v>90</v>
      </c>
      <c r="I27" s="46">
        <v>1.5</v>
      </c>
      <c r="J27" s="103" t="s">
        <v>30</v>
      </c>
      <c r="K27" s="46">
        <v>0.25</v>
      </c>
      <c r="L27" s="100" t="s">
        <v>86</v>
      </c>
      <c r="M27" s="102">
        <f>10.9%*3</f>
        <v>0.327</v>
      </c>
      <c r="O27" s="30">
        <v>0</v>
      </c>
      <c r="P27" s="53" t="s">
        <v>91</v>
      </c>
      <c r="Q27" s="84">
        <v>5.9643</v>
      </c>
      <c r="R27" s="53" t="s">
        <v>89</v>
      </c>
      <c r="S27" s="53">
        <v>10027</v>
      </c>
      <c r="T27" s="84">
        <v>0</v>
      </c>
      <c r="U27" s="84">
        <v>0</v>
      </c>
      <c r="V27" s="85">
        <v>1</v>
      </c>
      <c r="W27" s="86">
        <v>0</v>
      </c>
      <c r="X27" s="85">
        <f t="shared" si="19"/>
        <v>0.488431876606684</v>
      </c>
      <c r="Y27" s="53">
        <f t="shared" si="20"/>
        <v>0.8</v>
      </c>
      <c r="Z27" s="87">
        <v>0</v>
      </c>
      <c r="AA27" s="87">
        <v>0</v>
      </c>
      <c r="AB27" s="87">
        <v>0.5</v>
      </c>
      <c r="AC27" s="104">
        <f t="shared" si="21"/>
        <v>0</v>
      </c>
    </row>
    <row r="28" s="1" customFormat="1" ht="15" spans="1:32">
      <c r="A28" s="105">
        <f>16%+7.6*2%</f>
        <v>0.312</v>
      </c>
      <c r="B28" s="100" t="s">
        <v>92</v>
      </c>
      <c r="C28" s="46"/>
      <c r="D28" s="100" t="s">
        <v>93</v>
      </c>
      <c r="E28" s="46"/>
      <c r="F28" s="100" t="s">
        <v>36</v>
      </c>
      <c r="G28" s="102"/>
      <c r="H28" s="100" t="s">
        <v>94</v>
      </c>
      <c r="I28" s="102">
        <f>M29</f>
        <v>0.486</v>
      </c>
      <c r="J28" s="106" t="s">
        <v>95</v>
      </c>
      <c r="K28" s="102"/>
      <c r="L28" s="100" t="s">
        <v>23</v>
      </c>
      <c r="M28" s="102">
        <f>2*8.1%</f>
        <v>0.162</v>
      </c>
      <c r="O28" s="30">
        <v>0</v>
      </c>
      <c r="P28" s="53" t="s">
        <v>96</v>
      </c>
      <c r="Q28" s="84">
        <v>18.8075</v>
      </c>
      <c r="R28" s="53" t="s">
        <v>89</v>
      </c>
      <c r="S28" s="53">
        <v>10027</v>
      </c>
      <c r="T28" s="84">
        <v>0</v>
      </c>
      <c r="U28" s="84">
        <v>0</v>
      </c>
      <c r="V28" s="85">
        <v>1</v>
      </c>
      <c r="W28" s="86">
        <v>0</v>
      </c>
      <c r="X28" s="85">
        <f t="shared" si="19"/>
        <v>0.488431876606684</v>
      </c>
      <c r="Y28" s="53">
        <f t="shared" si="20"/>
        <v>0.8</v>
      </c>
      <c r="Z28" s="87">
        <v>0</v>
      </c>
      <c r="AA28" s="87">
        <v>0</v>
      </c>
      <c r="AB28" s="87">
        <v>0.5</v>
      </c>
      <c r="AC28" s="104">
        <f t="shared" si="21"/>
        <v>0</v>
      </c>
    </row>
    <row r="29" s="1" customFormat="1" ht="15" spans="1:32">
      <c r="A29" s="105">
        <f>36%+M27</f>
        <v>0.687</v>
      </c>
      <c r="B29" s="100" t="s">
        <v>97</v>
      </c>
      <c r="C29" s="46"/>
      <c r="D29" s="100" t="s">
        <v>98</v>
      </c>
      <c r="E29" s="46"/>
      <c r="F29" s="100" t="s">
        <v>42</v>
      </c>
      <c r="G29" s="102"/>
      <c r="H29" s="100" t="s">
        <v>99</v>
      </c>
      <c r="I29" s="102"/>
      <c r="J29" s="106" t="s">
        <v>100</v>
      </c>
      <c r="K29" s="102"/>
      <c r="L29" s="100" t="s">
        <v>46</v>
      </c>
      <c r="M29" s="102">
        <f>3*16.2%</f>
        <v>0.486</v>
      </c>
      <c r="O29" s="30">
        <v>0</v>
      </c>
      <c r="P29" s="53" t="s">
        <v>101</v>
      </c>
      <c r="Q29" s="84">
        <v>2.9822</v>
      </c>
      <c r="R29" s="53" t="s">
        <v>89</v>
      </c>
      <c r="S29" s="53">
        <v>10027</v>
      </c>
      <c r="T29" s="84">
        <v>0</v>
      </c>
      <c r="U29" s="84">
        <v>0</v>
      </c>
      <c r="V29" s="85">
        <v>1</v>
      </c>
      <c r="W29" s="86">
        <v>0</v>
      </c>
      <c r="X29" s="85">
        <f t="shared" si="19"/>
        <v>0.488431876606684</v>
      </c>
      <c r="Y29" s="53">
        <f t="shared" si="20"/>
        <v>0.8</v>
      </c>
      <c r="Z29" s="87">
        <v>0</v>
      </c>
      <c r="AA29" s="87">
        <v>0</v>
      </c>
      <c r="AB29" s="87">
        <v>0.5</v>
      </c>
      <c r="AC29" s="104">
        <f t="shared" si="21"/>
        <v>0</v>
      </c>
    </row>
    <row r="30" s="1" customFormat="1" ht="15" spans="1:32">
      <c r="A30" s="105">
        <v>0.418</v>
      </c>
      <c r="B30" s="100" t="s">
        <v>94</v>
      </c>
      <c r="C30" s="107">
        <f>25%+15%</f>
        <v>0.4</v>
      </c>
      <c r="D30" s="100" t="s">
        <v>102</v>
      </c>
      <c r="E30" s="46">
        <f>48%+40%+20%</f>
        <v>1.08</v>
      </c>
      <c r="F30" s="100" t="s">
        <v>94</v>
      </c>
      <c r="G30" s="102">
        <f>M28</f>
        <v>0.162</v>
      </c>
      <c r="H30" s="100"/>
      <c r="I30" s="102"/>
      <c r="J30" s="106"/>
      <c r="K30" s="102"/>
      <c r="L30" s="100" t="s">
        <v>103</v>
      </c>
      <c r="M30" s="102">
        <f>8.6%*2</f>
        <v>0.172</v>
      </c>
      <c r="O30" s="47">
        <v>1.5</v>
      </c>
      <c r="P30" s="89" t="s">
        <v>104</v>
      </c>
      <c r="Q30" s="91">
        <v>16</v>
      </c>
      <c r="R30" s="89" t="s">
        <v>105</v>
      </c>
      <c r="S30" s="89">
        <v>10027</v>
      </c>
      <c r="T30" s="91">
        <v>0</v>
      </c>
      <c r="U30" s="91">
        <v>0</v>
      </c>
      <c r="V30" s="92">
        <v>1</v>
      </c>
      <c r="W30" s="93">
        <v>0</v>
      </c>
      <c r="X30" s="92">
        <f t="shared" si="19"/>
        <v>0.488431876606684</v>
      </c>
      <c r="Y30" s="89">
        <f t="shared" si="20"/>
        <v>0.8</v>
      </c>
      <c r="Z30" s="94">
        <v>0</v>
      </c>
      <c r="AA30" s="94">
        <v>0</v>
      </c>
      <c r="AB30" s="94">
        <v>0.5</v>
      </c>
      <c r="AC30" s="108">
        <f t="shared" si="21"/>
        <v>141048.185089974</v>
      </c>
      <c r="AD30" s="56"/>
    </row>
    <row r="31" s="1" customFormat="1" spans="1:32">
      <c r="A31" s="109">
        <v>0.2</v>
      </c>
      <c r="B31" s="100" t="s">
        <v>106</v>
      </c>
      <c r="C31" s="107"/>
      <c r="D31" s="100" t="s">
        <v>107</v>
      </c>
      <c r="E31" s="110"/>
      <c r="F31" s="100" t="s">
        <v>108</v>
      </c>
      <c r="G31" s="102"/>
      <c r="H31" s="100"/>
      <c r="I31" s="102"/>
      <c r="J31" s="106"/>
      <c r="K31" s="102"/>
      <c r="L31" s="100"/>
      <c r="M31" s="102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s="1" customFormat="1" ht="15" spans="1:32">
      <c r="A32" s="95"/>
      <c r="B32" s="100" t="s">
        <v>53</v>
      </c>
      <c r="C32" s="101">
        <v>350</v>
      </c>
      <c r="D32" s="100"/>
      <c r="E32" s="46"/>
      <c r="F32" s="111" t="s">
        <v>58</v>
      </c>
      <c r="G32" s="112">
        <f>MIN(100%,SUM(G27:G31))</f>
        <v>0.212</v>
      </c>
      <c r="H32" s="111" t="s">
        <v>59</v>
      </c>
      <c r="I32" s="113">
        <f>SUM(I27:I31)</f>
        <v>1.986</v>
      </c>
      <c r="J32" s="106"/>
      <c r="K32" s="102"/>
      <c r="L32" s="100"/>
      <c r="M32" s="101"/>
      <c r="O32" s="62">
        <v>1</v>
      </c>
      <c r="P32" s="114" t="s">
        <v>109</v>
      </c>
      <c r="Q32" s="75">
        <v>2.0279</v>
      </c>
      <c r="R32" s="76" t="s">
        <v>33</v>
      </c>
      <c r="S32" s="77">
        <f t="shared" ref="S32:S35" si="22">C$34</f>
        <v>1225</v>
      </c>
      <c r="T32" s="78">
        <f t="shared" ref="T32:T35" si="23">S32/$C$27-1</f>
        <v>0.96</v>
      </c>
      <c r="U32" s="78">
        <f t="shared" ref="U32:U35" si="24">E$30</f>
        <v>1.08</v>
      </c>
      <c r="V32" s="79">
        <f t="shared" ref="V32:V35" si="25">1+$G$32*($I$32-1)</f>
        <v>1.209032</v>
      </c>
      <c r="W32" s="80">
        <f t="shared" ref="W32:W37" si="26">K$27</f>
        <v>0.25</v>
      </c>
      <c r="X32" s="79">
        <f t="shared" ref="X32:X37" si="27">$AF$3</f>
        <v>0.488431876606684</v>
      </c>
      <c r="Y32" s="76">
        <f t="shared" ref="Y32:Y37" si="28">$AF$14</f>
        <v>0.8</v>
      </c>
      <c r="Z32" s="81">
        <v>0</v>
      </c>
      <c r="AA32" s="81">
        <v>0</v>
      </c>
      <c r="AB32" s="28">
        <f t="shared" ref="AB32:AB37" si="29">$AF$17</f>
        <v>0.18</v>
      </c>
      <c r="AC32" s="19">
        <f t="shared" ref="AC32:AC35" si="30">Q32*$C$27*(1+T32)*(1+U32)*V32*(1+W32)*X32*Y32*(1+Z32)*(1+AA32)*(1+AB32)*O32</f>
        <v>3600.55758797048</v>
      </c>
    </row>
    <row r="33" s="1" customFormat="1" ht="15" spans="1:29">
      <c r="A33" s="95"/>
      <c r="B33" s="115" t="s">
        <v>57</v>
      </c>
      <c r="C33" s="116"/>
      <c r="D33" s="115" t="s">
        <v>110</v>
      </c>
      <c r="E33" s="117">
        <f>M30</f>
        <v>0.172</v>
      </c>
      <c r="F33" s="115"/>
      <c r="G33" s="118"/>
      <c r="H33" s="115"/>
      <c r="I33" s="116"/>
      <c r="J33" s="119"/>
      <c r="K33" s="118"/>
      <c r="L33" s="115"/>
      <c r="M33" s="116"/>
      <c r="N33" s="120"/>
      <c r="O33" s="121">
        <v>1</v>
      </c>
      <c r="P33" s="114" t="s">
        <v>111</v>
      </c>
      <c r="Q33" s="43">
        <f>22.27%+16.71%*2+23.86%+23.86%+17.9%*4+41.36%+10.34%*6</f>
        <v>2.7841</v>
      </c>
      <c r="R33" s="53" t="s">
        <v>1</v>
      </c>
      <c r="S33" s="83">
        <f t="shared" si="22"/>
        <v>1225</v>
      </c>
      <c r="T33" s="84">
        <f t="shared" si="23"/>
        <v>0.96</v>
      </c>
      <c r="U33" s="84">
        <f t="shared" si="24"/>
        <v>1.08</v>
      </c>
      <c r="V33" s="85">
        <f t="shared" si="25"/>
        <v>1.209032</v>
      </c>
      <c r="W33" s="86">
        <f t="shared" si="26"/>
        <v>0.25</v>
      </c>
      <c r="X33" s="85">
        <f t="shared" si="27"/>
        <v>0.488431876606684</v>
      </c>
      <c r="Y33" s="53">
        <f t="shared" si="28"/>
        <v>0.8</v>
      </c>
      <c r="Z33" s="87">
        <v>0</v>
      </c>
      <c r="AA33" s="87">
        <v>0</v>
      </c>
      <c r="AB33" s="28">
        <f t="shared" si="29"/>
        <v>0.18</v>
      </c>
      <c r="AC33" s="19">
        <f t="shared" si="30"/>
        <v>4943.19857027891</v>
      </c>
    </row>
    <row r="34" s="1" customFormat="1" ht="15" spans="1:29">
      <c r="A34" s="95">
        <f>A27*(1+A28+A29+A30+A31)</f>
        <v>3551.269</v>
      </c>
      <c r="B34" s="122"/>
      <c r="C34" s="122">
        <f>C27*(1+C30)+C32</f>
        <v>1225</v>
      </c>
      <c r="D34" s="122"/>
      <c r="E34" s="122"/>
      <c r="F34" s="122" t="s">
        <v>112</v>
      </c>
      <c r="G34" s="123"/>
      <c r="H34" s="122"/>
      <c r="I34" s="122"/>
      <c r="J34" s="122"/>
      <c r="K34" s="122"/>
      <c r="L34" s="122"/>
      <c r="M34" s="122"/>
      <c r="N34" s="53"/>
      <c r="O34" s="121">
        <v>1</v>
      </c>
      <c r="P34" s="114" t="s">
        <v>113</v>
      </c>
      <c r="Q34" s="43">
        <f>39.77%*4</f>
        <v>1.5908</v>
      </c>
      <c r="R34" s="53" t="s">
        <v>78</v>
      </c>
      <c r="S34" s="83">
        <f t="shared" si="22"/>
        <v>1225</v>
      </c>
      <c r="T34" s="84">
        <f t="shared" si="23"/>
        <v>0.96</v>
      </c>
      <c r="U34" s="84">
        <f t="shared" si="24"/>
        <v>1.08</v>
      </c>
      <c r="V34" s="85">
        <f t="shared" si="25"/>
        <v>1.209032</v>
      </c>
      <c r="W34" s="86">
        <f t="shared" si="26"/>
        <v>0.25</v>
      </c>
      <c r="X34" s="85">
        <f t="shared" si="27"/>
        <v>0.488431876606684</v>
      </c>
      <c r="Y34" s="53">
        <f t="shared" si="28"/>
        <v>0.8</v>
      </c>
      <c r="Z34" s="87">
        <v>0</v>
      </c>
      <c r="AA34" s="87">
        <v>0</v>
      </c>
      <c r="AB34" s="28">
        <f t="shared" si="29"/>
        <v>0.18</v>
      </c>
      <c r="AC34" s="19">
        <f t="shared" si="30"/>
        <v>2824.48198182526</v>
      </c>
    </row>
    <row r="35" s="1" customFormat="1" ht="15" spans="1:29">
      <c r="A35" s="56"/>
      <c r="B35" s="124"/>
      <c r="C35" s="124"/>
      <c r="D35" s="124"/>
      <c r="E35" s="124"/>
      <c r="F35" s="124"/>
      <c r="G35" s="125"/>
      <c r="N35" s="53"/>
      <c r="O35" s="121">
        <v>1</v>
      </c>
      <c r="P35" s="114" t="s">
        <v>114</v>
      </c>
      <c r="Q35" s="43">
        <v>3.51</v>
      </c>
      <c r="R35" s="53" t="s">
        <v>26</v>
      </c>
      <c r="S35" s="83">
        <f t="shared" si="22"/>
        <v>1225</v>
      </c>
      <c r="T35" s="84">
        <f t="shared" si="23"/>
        <v>0.96</v>
      </c>
      <c r="U35" s="84">
        <f t="shared" si="24"/>
        <v>1.08</v>
      </c>
      <c r="V35" s="85">
        <f t="shared" si="25"/>
        <v>1.209032</v>
      </c>
      <c r="W35" s="86">
        <f t="shared" si="26"/>
        <v>0.25</v>
      </c>
      <c r="X35" s="85">
        <f t="shared" si="27"/>
        <v>0.488431876606684</v>
      </c>
      <c r="Y35" s="53">
        <f t="shared" si="28"/>
        <v>0.8</v>
      </c>
      <c r="Z35" s="87">
        <v>0</v>
      </c>
      <c r="AA35" s="87">
        <v>0</v>
      </c>
      <c r="AB35" s="28">
        <f t="shared" si="29"/>
        <v>0.18</v>
      </c>
      <c r="AC35" s="19">
        <f t="shared" si="30"/>
        <v>6232.04158675299</v>
      </c>
    </row>
    <row r="36" s="1" customFormat="1" ht="15" spans="1:29">
      <c r="B36" s="126" t="s">
        <v>115</v>
      </c>
      <c r="G36" s="2"/>
      <c r="N36" s="53"/>
      <c r="O36" s="121">
        <v>1</v>
      </c>
      <c r="P36" s="114" t="s">
        <v>116</v>
      </c>
      <c r="Q36" s="43">
        <v>5.2233</v>
      </c>
      <c r="R36" s="53" t="s">
        <v>75</v>
      </c>
      <c r="S36" s="83">
        <f>A34</f>
        <v>3551.269</v>
      </c>
      <c r="T36" s="84">
        <v>0</v>
      </c>
      <c r="U36" s="84">
        <f>E$30+M30</f>
        <v>1.252</v>
      </c>
      <c r="V36" s="85">
        <f>I32+1.6</f>
        <v>3.586</v>
      </c>
      <c r="W36" s="86">
        <f t="shared" si="26"/>
        <v>0.25</v>
      </c>
      <c r="X36" s="85">
        <f t="shared" si="27"/>
        <v>0.488431876606684</v>
      </c>
      <c r="Y36" s="53">
        <f t="shared" si="28"/>
        <v>0.8</v>
      </c>
      <c r="Z36" s="87">
        <v>0</v>
      </c>
      <c r="AA36" s="87">
        <v>0</v>
      </c>
      <c r="AB36" s="28">
        <f t="shared" si="29"/>
        <v>0.18</v>
      </c>
      <c r="AC36" s="19">
        <f>Q36*$S$36*(1+T36)*(1+U36)*V36*(1+W36)*X36*Y36*(1+Z36)*(1+AA36)*(1+AB36)*O36</f>
        <v>86336.2574848966</v>
      </c>
    </row>
    <row r="37" s="1" customFormat="1" ht="17.5" spans="1:29">
      <c r="B37" s="127" t="s">
        <v>117</v>
      </c>
      <c r="C37" s="128" t="s">
        <v>118</v>
      </c>
      <c r="D37" s="128" t="s">
        <v>119</v>
      </c>
      <c r="E37" s="128" t="s">
        <v>120</v>
      </c>
      <c r="F37" s="128" t="s">
        <v>121</v>
      </c>
      <c r="G37" s="2"/>
      <c r="I37" s="129" t="s">
        <v>122</v>
      </c>
      <c r="J37" s="129" t="s">
        <v>119</v>
      </c>
      <c r="N37" s="53"/>
      <c r="O37" s="130">
        <v>1</v>
      </c>
      <c r="P37" s="114" t="s">
        <v>123</v>
      </c>
      <c r="Q37" s="52">
        <f>258.46%</f>
        <v>2.5846</v>
      </c>
      <c r="R37" s="89" t="s">
        <v>78</v>
      </c>
      <c r="S37" s="90">
        <f>C$34</f>
        <v>1225</v>
      </c>
      <c r="T37" s="91">
        <f>S37/$C$27-1</f>
        <v>0.96</v>
      </c>
      <c r="U37" s="91">
        <f>E$30</f>
        <v>1.08</v>
      </c>
      <c r="V37" s="92">
        <f>1+$G$32*($I$32-1)</f>
        <v>1.209032</v>
      </c>
      <c r="W37" s="93">
        <f t="shared" si="26"/>
        <v>0.25</v>
      </c>
      <c r="X37" s="92">
        <f t="shared" si="27"/>
        <v>0.488431876606684</v>
      </c>
      <c r="Y37" s="89">
        <f t="shared" si="28"/>
        <v>0.8</v>
      </c>
      <c r="Z37" s="94">
        <v>0</v>
      </c>
      <c r="AA37" s="94">
        <v>0</v>
      </c>
      <c r="AB37" s="28">
        <f t="shared" si="29"/>
        <v>0.18</v>
      </c>
      <c r="AC37" s="19">
        <f>Q37*$C$27*(1+T37)*(1+U37)*V37*(1+W37)*X37*Y37*(1+Z37)*(1+AA37)*(1+AB37)*O37</f>
        <v>4588.98424077543</v>
      </c>
    </row>
    <row r="38" s="1" customFormat="1" ht="17.5" spans="1:29">
      <c r="B38" s="4" t="s">
        <v>3</v>
      </c>
      <c r="C38" s="131">
        <f>SUM(AC3:AC15)*1.3/1.18</f>
        <v>3917722.49935864</v>
      </c>
      <c r="D38" s="131">
        <f t="shared" ref="D38:D41" si="31">C38/$E$38</f>
        <v>156708.899974345</v>
      </c>
      <c r="E38" s="132">
        <v>25</v>
      </c>
      <c r="F38" s="133">
        <f t="shared" ref="F38:F41" si="32">C38/$C$43</f>
        <v>0.854417293215433</v>
      </c>
      <c r="G38" s="2"/>
      <c r="I38" s="134" t="s">
        <v>124</v>
      </c>
      <c r="J38" s="134">
        <v>79055</v>
      </c>
      <c r="Q38" s="2"/>
      <c r="U38" s="2"/>
      <c r="V38" s="3"/>
      <c r="AB38" s="4"/>
      <c r="AC38" s="4"/>
    </row>
    <row r="39" s="1" customFormat="1" ht="17.5" spans="1:29">
      <c r="B39" s="4" t="s">
        <v>66</v>
      </c>
      <c r="C39" s="131">
        <f>SUM(AC16:AC24)</f>
        <v>417960.35487735</v>
      </c>
      <c r="D39" s="131">
        <f t="shared" si="31"/>
        <v>16718.414195094</v>
      </c>
      <c r="E39" s="135"/>
      <c r="F39" s="133">
        <f t="shared" si="32"/>
        <v>0.0911531011050756</v>
      </c>
      <c r="G39" s="2"/>
      <c r="I39" s="134" t="s">
        <v>125</v>
      </c>
      <c r="J39" s="134">
        <v>83210</v>
      </c>
      <c r="Q39" s="2"/>
      <c r="U39" s="2"/>
      <c r="V39" s="3"/>
      <c r="AB39" s="4"/>
      <c r="AC39" s="4"/>
    </row>
    <row r="40" s="1" customFormat="1" ht="17.5" spans="1:29">
      <c r="B40" s="4" t="s">
        <v>85</v>
      </c>
      <c r="C40" s="131">
        <f>SUM(AC32:AC37)+AC29</f>
        <v>108525.5214525</v>
      </c>
      <c r="D40" s="131">
        <f t="shared" si="31"/>
        <v>4341.02085809999</v>
      </c>
      <c r="E40" s="136"/>
      <c r="F40" s="133">
        <f t="shared" si="32"/>
        <v>0.0236683640302288</v>
      </c>
      <c r="G40" s="2"/>
      <c r="I40" s="134" t="s">
        <v>126</v>
      </c>
      <c r="J40" s="134">
        <v>87366</v>
      </c>
      <c r="Q40" s="2"/>
      <c r="U40" s="2"/>
      <c r="V40" s="3"/>
      <c r="AB40" s="4"/>
      <c r="AC40" s="4"/>
    </row>
    <row r="41" s="1" customFormat="1" ht="17.5" spans="1:29">
      <c r="B41" s="4" t="s">
        <v>104</v>
      </c>
      <c r="C41" s="131">
        <f>AC30</f>
        <v>141048.185089974</v>
      </c>
      <c r="D41" s="131">
        <f t="shared" si="31"/>
        <v>5641.92740359897</v>
      </c>
      <c r="E41" s="136"/>
      <c r="F41" s="133">
        <f t="shared" si="32"/>
        <v>0.0307612416492629</v>
      </c>
      <c r="G41" s="2"/>
      <c r="I41" s="134" t="s">
        <v>127</v>
      </c>
      <c r="J41" s="134">
        <v>91521</v>
      </c>
      <c r="Q41" s="2"/>
      <c r="U41" s="2"/>
      <c r="V41" s="3"/>
      <c r="AB41" s="4"/>
      <c r="AC41" s="4"/>
    </row>
    <row r="42" s="1" customFormat="1" ht="15" spans="1:29">
      <c r="B42" s="4"/>
      <c r="C42" s="131"/>
      <c r="D42" s="131"/>
      <c r="E42" s="136"/>
      <c r="F42" s="133"/>
      <c r="G42" s="2"/>
      <c r="Q42" s="2"/>
      <c r="U42" s="2"/>
      <c r="V42" s="3"/>
      <c r="AB42" s="4"/>
      <c r="AC42" s="4"/>
    </row>
    <row r="43" s="1" customFormat="1" ht="15" spans="1:29">
      <c r="B43" s="4" t="s">
        <v>128</v>
      </c>
      <c r="C43" s="137">
        <f>SUM(C38:C41)</f>
        <v>4585256.56077846</v>
      </c>
      <c r="D43" s="137">
        <f>C43/E38</f>
        <v>183410.262431138</v>
      </c>
      <c r="E43" s="138"/>
      <c r="F43" s="139"/>
      <c r="G43" s="2"/>
      <c r="Q43" s="2"/>
      <c r="U43" s="2"/>
      <c r="V43" s="3"/>
      <c r="AB43" s="4"/>
      <c r="AC43" s="4"/>
    </row>
    <row r="44" s="1" customFormat="1" ht="15" spans="1:29">
      <c r="B44" s="4"/>
      <c r="C44" s="4"/>
      <c r="D44" s="4"/>
      <c r="G44" s="140"/>
      <c r="Q44" s="2"/>
      <c r="U44" s="2"/>
      <c r="V44" s="3"/>
      <c r="AB44" s="4"/>
      <c r="AC44" s="4"/>
    </row>
    <row r="45" s="1" customFormat="1" ht="15" spans="1:29">
      <c r="B45" s="141" t="s">
        <v>129</v>
      </c>
      <c r="C45" s="142"/>
      <c r="D45" s="142"/>
      <c r="E45" s="142"/>
      <c r="F45" s="143"/>
      <c r="G45" s="2"/>
      <c r="Q45" s="2"/>
      <c r="U45" s="2"/>
      <c r="V45" s="3"/>
      <c r="AB45" s="4"/>
      <c r="AC45" s="4"/>
    </row>
    <row r="46" s="1" customFormat="1" ht="15" spans="1:29">
      <c r="B46" s="144"/>
      <c r="C46" s="145"/>
      <c r="D46" s="145"/>
      <c r="E46" s="145"/>
      <c r="F46" s="146"/>
      <c r="G46" s="2"/>
      <c r="Q46" s="2"/>
      <c r="U46" s="2"/>
      <c r="V46" s="3"/>
      <c r="AB46" s="4"/>
      <c r="AC46" s="4"/>
    </row>
    <row r="47" s="1" customFormat="1" spans="1:29">
      <c r="B47" s="147"/>
      <c r="C47" s="147"/>
      <c r="D47" s="147"/>
      <c r="E47" s="147"/>
      <c r="F47" s="147"/>
      <c r="Q47" s="2"/>
      <c r="U47" s="2"/>
      <c r="V47" s="3"/>
      <c r="AB47" s="4"/>
      <c r="AC47" s="4"/>
    </row>
    <row r="48" s="1" customFormat="1" ht="15" spans="1:29">
      <c r="B48" s="148" t="s">
        <v>130</v>
      </c>
      <c r="C48" s="149" t="s">
        <v>3</v>
      </c>
      <c r="D48" s="149" t="s">
        <v>131</v>
      </c>
      <c r="E48" s="76"/>
      <c r="F48" s="150"/>
      <c r="G48" s="2"/>
      <c r="Q48" s="2"/>
      <c r="U48" s="2"/>
      <c r="V48" s="3"/>
      <c r="AB48" s="4"/>
      <c r="AC48" s="4"/>
    </row>
    <row r="49" s="1" customFormat="1" ht="15" spans="2:29">
      <c r="B49" s="151"/>
      <c r="C49" s="136" t="s">
        <v>66</v>
      </c>
      <c r="D49" s="136" t="s">
        <v>132</v>
      </c>
      <c r="F49" s="152"/>
      <c r="G49" s="2"/>
      <c r="I49" s="153" t="s">
        <v>122</v>
      </c>
      <c r="J49" s="153" t="s">
        <v>144</v>
      </c>
      <c r="K49" s="153" t="s">
        <v>145</v>
      </c>
      <c r="Q49" s="2"/>
      <c r="U49" s="2"/>
      <c r="V49" s="3"/>
      <c r="AB49" s="4"/>
      <c r="AC49" s="4"/>
    </row>
    <row r="50" s="1" customFormat="1" ht="15" spans="2:29">
      <c r="B50" s="154"/>
      <c r="C50" s="155" t="s">
        <v>133</v>
      </c>
      <c r="D50" s="155" t="s">
        <v>134</v>
      </c>
      <c r="E50" s="89"/>
      <c r="F50" s="48"/>
      <c r="G50" s="2"/>
      <c r="I50" s="163" t="s">
        <v>146</v>
      </c>
      <c r="J50" s="157">
        <v>87366</v>
      </c>
      <c r="K50" s="157"/>
      <c r="Q50" s="2"/>
      <c r="U50" s="2"/>
      <c r="V50" s="3"/>
      <c r="AB50" s="4"/>
      <c r="AC50" s="4"/>
    </row>
    <row r="51" s="1" customFormat="1" ht="15" spans="2:29">
      <c r="B51" s="4"/>
      <c r="C51" s="4"/>
      <c r="D51" s="4"/>
      <c r="F51" s="4"/>
      <c r="G51" s="2"/>
      <c r="I51" s="158">
        <v>11</v>
      </c>
      <c r="J51" s="159">
        <v>93845</v>
      </c>
      <c r="K51" s="160">
        <f>J51/J50-1</f>
        <v>0.0741592839319645</v>
      </c>
      <c r="Q51" s="2"/>
      <c r="U51" s="2"/>
      <c r="V51" s="3"/>
      <c r="AB51" s="4"/>
      <c r="AC51" s="4"/>
    </row>
    <row r="52" s="1" customFormat="1" ht="15" spans="2:29">
      <c r="B52" s="4"/>
      <c r="C52" s="4"/>
      <c r="D52" s="4"/>
      <c r="F52" s="4"/>
      <c r="G52" s="2"/>
      <c r="I52" s="156">
        <v>21</v>
      </c>
      <c r="J52" s="157">
        <v>110379</v>
      </c>
      <c r="K52" s="161">
        <f>J52/J51-1</f>
        <v>0.176184133411476</v>
      </c>
      <c r="Q52" s="2"/>
      <c r="U52" s="2"/>
      <c r="V52" s="3"/>
      <c r="AB52" s="4"/>
      <c r="AC52" s="4"/>
    </row>
    <row r="53" s="1" customFormat="1" ht="15" spans="2:29">
      <c r="G53" s="2"/>
      <c r="I53" s="158">
        <v>31</v>
      </c>
      <c r="J53" s="159">
        <v>131634</v>
      </c>
      <c r="K53" s="160">
        <f>J53/J52-1</f>
        <v>0.19256380289729</v>
      </c>
      <c r="Q53" s="2"/>
      <c r="U53" s="2"/>
      <c r="V53" s="3"/>
      <c r="AB53" s="4"/>
      <c r="AC53" s="4"/>
    </row>
    <row r="54" s="1" customFormat="1" ht="15" spans="2:29">
      <c r="B54" s="4"/>
      <c r="C54" s="4"/>
      <c r="D54" s="4"/>
      <c r="F54" s="4"/>
      <c r="G54" s="2"/>
      <c r="I54" s="156">
        <v>41</v>
      </c>
      <c r="J54" s="157">
        <v>138911</v>
      </c>
      <c r="K54" s="161">
        <f>J54/J53-1</f>
        <v>0.0552820699819196</v>
      </c>
      <c r="Q54" s="2"/>
      <c r="U54" s="2"/>
      <c r="V54" s="3"/>
      <c r="AB54" s="4"/>
      <c r="AC54" s="4"/>
    </row>
    <row r="55" s="1" customFormat="1" ht="15" spans="2:29">
      <c r="B55" s="4"/>
      <c r="C55" s="4"/>
      <c r="D55" s="4"/>
      <c r="F55" s="4"/>
      <c r="G55" s="2"/>
      <c r="I55" s="158">
        <v>51</v>
      </c>
      <c r="J55" s="159">
        <v>141745</v>
      </c>
      <c r="K55" s="160">
        <f>J55/J54-1</f>
        <v>0.0204015520729099</v>
      </c>
      <c r="Q55" s="2"/>
      <c r="U55" s="2"/>
      <c r="V55" s="3"/>
      <c r="AB55" s="4"/>
      <c r="AC55" s="4"/>
    </row>
    <row r="56" s="1" customFormat="1" ht="15" spans="2:29">
      <c r="G56" s="2"/>
      <c r="I56" s="156">
        <v>61</v>
      </c>
      <c r="J56" s="157">
        <v>183410</v>
      </c>
      <c r="K56" s="161">
        <f>J56/J55-1</f>
        <v>0.293943348971745</v>
      </c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F57" s="4"/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G58" s="2"/>
      <c r="Q58" s="2"/>
      <c r="U58" s="2"/>
      <c r="V58" s="3"/>
      <c r="AB58" s="4"/>
      <c r="AC58" s="4"/>
    </row>
    <row r="59" s="1" customFormat="1" spans="2:29">
      <c r="G59" s="2"/>
      <c r="Q59" s="2"/>
      <c r="U59" s="2"/>
      <c r="V59" s="3"/>
      <c r="AB59" s="4"/>
      <c r="AC59" s="4"/>
    </row>
    <row r="60" s="1" customFormat="1" spans="2:29">
      <c r="B60" s="4"/>
      <c r="C60" s="4"/>
      <c r="D60" s="4"/>
      <c r="G60" s="2"/>
      <c r="Q60" s="2"/>
      <c r="U60" s="2"/>
      <c r="V60" s="3"/>
      <c r="AB60" s="4"/>
      <c r="AC60" s="4"/>
    </row>
    <row r="61" s="1" customFormat="1" spans="2:29"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conditionalFormatting sqref="K51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{5ac49000-105a-4a98-be7f-9e9c0d0da00e}</x14:id>
        </ext>
      </extLst>
    </cfRule>
  </conditionalFormatting>
  <conditionalFormatting sqref="K53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{8bb7fa06-455f-4653-81b1-12f025aa4aa9}</x14:id>
        </ext>
      </extLst>
    </cfRule>
  </conditionalFormatting>
  <conditionalFormatting sqref="K5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{75c5c2a7-a4f7-4fe4-97e1-91fea18cbff7}</x14:id>
        </ext>
      </extLst>
    </cfRule>
  </conditionalFormatting>
  <conditionalFormatting sqref="K51:K5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{e3358331-d900-4fbe-b5cf-241dae23944d}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c49000-105a-4a98-be7f-9e9c0d0da0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K51</xm:sqref>
        </x14:conditionalFormatting>
        <x14:conditionalFormatting xmlns:xm="http://schemas.microsoft.com/office/excel/2006/main">
          <x14:cfRule type="dataBar" id="{8bb7fa06-455f-4653-81b1-12f025aa4a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K53</xm:sqref>
        </x14:conditionalFormatting>
        <x14:conditionalFormatting xmlns:xm="http://schemas.microsoft.com/office/excel/2006/main">
          <x14:cfRule type="dataBar" id="{75c5c2a7-a4f7-4fe4-97e1-91fea18cbf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K55</xm:sqref>
        </x14:conditionalFormatting>
        <x14:conditionalFormatting xmlns:xm="http://schemas.microsoft.com/office/excel/2006/main">
          <x14:cfRule type="dataBar" id="{e3358331-d900-4fbe-b5cf-241dae2394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K51:K56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陆琳莫</vt:lpstr>
      <vt:lpstr>陆琳守</vt:lpstr>
      <vt:lpstr>陆散莫</vt:lpstr>
      <vt:lpstr>陆散守</vt:lpstr>
      <vt:lpstr>陆散维</vt:lpstr>
      <vt:lpstr>00</vt:lpstr>
      <vt:lpstr>共鸣链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2026-02-25T16:32:00Z</dcterms:created>
  <dcterms:modified xsi:type="dcterms:W3CDTF">2026-02-25T17:38:17Z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6AF3E1D0B0B04325BDF507BA4300C546_11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