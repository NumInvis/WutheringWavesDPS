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300" windowHeight="110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<sst xmlns="http://schemas.openxmlformats.org/spreadsheetml/2006/main" count="202" uniqueCount="83">
  <si>
    <t>角色主类型</t>
  </si>
  <si>
    <t>a</t>
  </si>
  <si>
    <t>3C属伤数</t>
  </si>
  <si>
    <t>一号位</t>
  </si>
  <si>
    <t>次数</t>
  </si>
  <si>
    <t>动作</t>
  </si>
  <si>
    <t>倍率</t>
  </si>
  <si>
    <t>类型</t>
  </si>
  <si>
    <t>面板攻击</t>
  </si>
  <si>
    <t>攻击区</t>
  </si>
  <si>
    <t>加成区</t>
  </si>
  <si>
    <t>双爆区</t>
  </si>
  <si>
    <t>加深区</t>
  </si>
  <si>
    <t>防御区</t>
  </si>
  <si>
    <t>抗性区</t>
  </si>
  <si>
    <t>倍率提升</t>
  </si>
  <si>
    <t>易伤区</t>
  </si>
  <si>
    <t>独立乘区</t>
  </si>
  <si>
    <t>伤害</t>
  </si>
  <si>
    <t>计数1</t>
  </si>
  <si>
    <t>计数2</t>
  </si>
  <si>
    <t>无视防御</t>
  </si>
  <si>
    <t>减防</t>
  </si>
  <si>
    <t>怪物等级</t>
  </si>
  <si>
    <t>攻击</t>
  </si>
  <si>
    <t>暴击</t>
  </si>
  <si>
    <t>暴击伤害</t>
  </si>
  <si>
    <t>副词条</t>
  </si>
  <si>
    <t>白值</t>
  </si>
  <si>
    <t>3C声骸</t>
  </si>
  <si>
    <t>基础与固有</t>
  </si>
  <si>
    <t>全加深</t>
  </si>
  <si>
    <t>大攻击</t>
  </si>
  <si>
    <t>固有武器</t>
  </si>
  <si>
    <t>套装首位</t>
  </si>
  <si>
    <t>武器</t>
  </si>
  <si>
    <t>主类型加深</t>
  </si>
  <si>
    <t>共技伤害</t>
  </si>
  <si>
    <t>a123</t>
  </si>
  <si>
    <t>主副词条</t>
  </si>
  <si>
    <t>自拐属伤</t>
  </si>
  <si>
    <t>套装</t>
  </si>
  <si>
    <t>z</t>
  </si>
  <si>
    <t xml:space="preserve">自拐攻击 </t>
  </si>
  <si>
    <t>被拐属伤</t>
  </si>
  <si>
    <t>爆伤</t>
  </si>
  <si>
    <t>被拐攻击</t>
  </si>
  <si>
    <t>其他属伤</t>
  </si>
  <si>
    <t>共鸣链</t>
  </si>
  <si>
    <t>声骸固定攻击</t>
  </si>
  <si>
    <t>主类型加成</t>
  </si>
  <si>
    <t>队友</t>
  </si>
  <si>
    <t>额外固定攻击</t>
  </si>
  <si>
    <t>面板暴击率</t>
  </si>
  <si>
    <t>面板暴击伤害</t>
  </si>
  <si>
    <t>溢出暴击</t>
  </si>
  <si>
    <t>光抗</t>
  </si>
  <si>
    <t>暗抗</t>
  </si>
  <si>
    <t>风抗</t>
  </si>
  <si>
    <t>二号位</t>
  </si>
  <si>
    <t>雷抗</t>
  </si>
  <si>
    <t>冰抗</t>
  </si>
  <si>
    <t>火抗</t>
  </si>
  <si>
    <t>物抗</t>
  </si>
  <si>
    <t>三号位</t>
  </si>
  <si>
    <t>琳奈震谐</t>
  </si>
  <si>
    <t>震谐</t>
  </si>
  <si>
    <t>莫宁震谐</t>
  </si>
  <si>
    <t>20抗100级怪</t>
  </si>
  <si>
    <t>爱弥斯震谐</t>
  </si>
  <si>
    <t>总伤</t>
  </si>
  <si>
    <t>dps</t>
  </si>
  <si>
    <t>秒数</t>
  </si>
  <si>
    <t>占比</t>
  </si>
  <si>
    <t>谐度破坏</t>
  </si>
  <si>
    <t>谐破</t>
  </si>
  <si>
    <t>层数</t>
  </si>
  <si>
    <t>风蚀</t>
  </si>
  <si>
    <t>效应</t>
  </si>
  <si>
    <t>光躁</t>
  </si>
  <si>
    <t>霜渐</t>
  </si>
  <si>
    <t>聚爆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</si>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</sst>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  <numFmt numFmtId="178" formatCode="0.0000_ "/>
    <numFmt numFmtId="179" formatCode="0.000%"/>
  </numFmts>
  <fonts count="27">
    <font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  <scheme val="minor"/>
    </font>
    <font>
      <b/>
      <i/>
      <sz val="12"/>
      <color theme="5" tint="-0.5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6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5" borderId="18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6" borderId="21" applyNumberFormat="0" applyAlignment="0" applyProtection="0">
      <alignment vertical="center"/>
    </xf>
    <xf numFmtId="0" fontId="17" fillId="17" borderId="22" applyNumberFormat="0" applyAlignment="0" applyProtection="0">
      <alignment vertical="center"/>
    </xf>
    <xf numFmtId="0" fontId="18" fillId="17" borderId="21" applyNumberFormat="0" applyAlignment="0" applyProtection="0">
      <alignment vertical="center"/>
    </xf>
    <xf numFmtId="0" fontId="19" fillId="18" borderId="23" applyNumberFormat="0" applyAlignment="0" applyProtection="0">
      <alignment vertical="center"/>
    </xf>
    <xf numFmtId="0" fontId="20" fillId="0" borderId="24" applyNumberFormat="0" applyFill="0" applyAlignment="0" applyProtection="0">
      <alignment vertical="center"/>
    </xf>
    <xf numFmtId="0" fontId="21" fillId="0" borderId="25" applyNumberFormat="0" applyFill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  <xf numFmtId="0" fontId="25" fillId="41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6" fillId="43" borderId="0" applyNumberFormat="0" applyBorder="0" applyAlignment="0" applyProtection="0">
      <alignment vertical="center"/>
    </xf>
    <xf numFmtId="0" fontId="26" fillId="44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</cellStyleXfs>
  <cellXfs count="156">
    <xf numFmtId="0" fontId="0" fillId="0" borderId="0" xfId="0">
      <alignment vertical="center"/>
    </xf>
    <xf numFmtId="0" fontId="0" fillId="0" borderId="0" xfId="0" applyFill="1" applyAlignment="1">
      <alignment horizontal="center" vertical="center"/>
    </xf>
    <xf numFmtId="10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177" fontId="0" fillId="0" borderId="0" xfId="0" applyNumberFormat="1" applyFill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0" fontId="2" fillId="0" borderId="5" xfId="0" applyNumberFormat="1" applyFont="1" applyFill="1" applyBorder="1" applyAlignment="1">
      <alignment horizontal="center" vertical="center"/>
    </xf>
    <xf numFmtId="178" fontId="2" fillId="0" borderId="5" xfId="0" applyNumberFormat="1" applyFont="1" applyFill="1" applyBorder="1" applyAlignment="1">
      <alignment horizontal="center" vertical="center"/>
    </xf>
    <xf numFmtId="177" fontId="2" fillId="0" borderId="5" xfId="0" applyNumberFormat="1" applyFont="1" applyFill="1" applyBorder="1" applyAlignment="1">
      <alignment horizontal="center" vertical="center"/>
    </xf>
    <xf numFmtId="177" fontId="2" fillId="0" borderId="6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178" fontId="0" fillId="6" borderId="0" xfId="0" applyNumberFormat="1" applyFill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177" fontId="4" fillId="6" borderId="10" xfId="0" applyNumberFormat="1" applyFont="1" applyFill="1" applyBorder="1" applyAlignment="1">
      <alignment horizontal="center" vertical="center"/>
    </xf>
    <xf numFmtId="10" fontId="3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178" fontId="3" fillId="0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9" fontId="3" fillId="0" borderId="0" xfId="0" applyNumberFormat="1" applyFont="1" applyFill="1" applyBorder="1" applyAlignment="1">
      <alignment horizontal="center" vertical="center"/>
    </xf>
    <xf numFmtId="177" fontId="3" fillId="0" borderId="0" xfId="0" applyNumberFormat="1" applyFont="1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7" fontId="0" fillId="6" borderId="0" xfId="0" applyNumberFormat="1" applyFill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9" fontId="0" fillId="0" borderId="11" xfId="0" applyNumberFormat="1" applyFill="1" applyBorder="1" applyAlignment="1">
      <alignment horizontal="center" vertical="center"/>
    </xf>
    <xf numFmtId="10" fontId="0" fillId="0" borderId="11" xfId="0" applyNumberFormat="1" applyFill="1" applyBorder="1" applyAlignment="1">
      <alignment horizontal="center" vertical="center"/>
    </xf>
    <xf numFmtId="9" fontId="0" fillId="0" borderId="9" xfId="0" applyNumberFormat="1" applyFill="1" applyBorder="1" applyAlignment="1">
      <alignment horizontal="center" vertical="center"/>
    </xf>
    <xf numFmtId="177" fontId="4" fillId="6" borderId="12" xfId="0" applyNumberFormat="1" applyFont="1" applyFill="1" applyBorder="1" applyAlignment="1">
      <alignment horizontal="center" vertical="center"/>
    </xf>
    <xf numFmtId="10" fontId="0" fillId="0" borderId="9" xfId="0" applyNumberFormat="1" applyFill="1" applyBorder="1" applyAlignment="1">
      <alignment horizontal="center" vertical="center"/>
    </xf>
    <xf numFmtId="179" fontId="0" fillId="0" borderId="11" xfId="0" applyNumberFormat="1" applyFill="1" applyBorder="1" applyAlignment="1">
      <alignment horizontal="center" vertical="center"/>
    </xf>
    <xf numFmtId="0" fontId="0" fillId="0" borderId="11" xfId="0" applyNumberFormat="1" applyFont="1" applyFill="1" applyBorder="1" applyAlignment="1" applyProtection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9" fontId="0" fillId="0" borderId="14" xfId="0" applyNumberFormat="1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10" fontId="0" fillId="7" borderId="14" xfId="0" applyNumberFormat="1" applyFill="1" applyBorder="1" applyAlignment="1">
      <alignment horizontal="center" vertical="center"/>
    </xf>
    <xf numFmtId="10" fontId="0" fillId="0" borderId="13" xfId="0" applyNumberFormat="1" applyFill="1" applyBorder="1" applyAlignment="1">
      <alignment horizontal="center" vertical="center"/>
    </xf>
    <xf numFmtId="10" fontId="0" fillId="0" borderId="14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10" fontId="0" fillId="0" borderId="8" xfId="0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0" fontId="0" fillId="0" borderId="0" xfId="0" applyNumberFormat="1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177" fontId="4" fillId="6" borderId="15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9" fontId="0" fillId="0" borderId="3" xfId="0" applyNumberFormat="1" applyFill="1" applyBorder="1" applyAlignment="1">
      <alignment horizontal="center" vertical="center"/>
    </xf>
    <xf numFmtId="10" fontId="0" fillId="0" borderId="3" xfId="0" applyNumberForma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177" fontId="2" fillId="11" borderId="12" xfId="0" applyNumberFormat="1" applyFont="1" applyFill="1" applyBorder="1" applyAlignment="1">
      <alignment horizontal="center" vertical="center"/>
    </xf>
    <xf numFmtId="10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7" fontId="0" fillId="0" borderId="2" xfId="0" applyNumberFormat="1" applyFill="1" applyBorder="1" applyAlignment="1">
      <alignment horizontal="center" vertical="center"/>
    </xf>
    <xf numFmtId="178" fontId="0" fillId="0" borderId="2" xfId="0" applyNumberFormat="1" applyFill="1" applyBorder="1" applyAlignment="1">
      <alignment horizontal="center" vertical="center"/>
    </xf>
    <xf numFmtId="0" fontId="0" fillId="0" borderId="2" xfId="0" applyNumberFormat="1" applyFont="1" applyFill="1" applyBorder="1" applyAlignment="1" applyProtection="1">
      <alignment horizontal="center" vertical="center"/>
    </xf>
    <xf numFmtId="9" fontId="0" fillId="0" borderId="2" xfId="0" applyNumberForma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10" fontId="0" fillId="0" borderId="0" xfId="0" applyNumberFormat="1" applyFill="1" applyBorder="1" applyAlignment="1">
      <alignment horizontal="center" vertical="center"/>
    </xf>
    <xf numFmtId="177" fontId="0" fillId="0" borderId="0" xfId="0" applyNumberFormat="1" applyFill="1" applyBorder="1" applyAlignment="1">
      <alignment horizontal="center" vertical="center"/>
    </xf>
    <xf numFmtId="178" fontId="0" fillId="0" borderId="0" xfId="0" applyNumberFormat="1" applyFill="1" applyBorder="1" applyAlignment="1">
      <alignment horizontal="center" vertical="center"/>
    </xf>
    <xf numFmtId="9" fontId="0" fillId="0" borderId="0" xfId="0" applyNumberFormat="1" applyFill="1" applyBorder="1" applyAlignment="1">
      <alignment horizontal="center" vertical="center"/>
    </xf>
    <xf numFmtId="10" fontId="0" fillId="0" borderId="16" xfId="0" applyNumberFormat="1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178" fontId="0" fillId="0" borderId="16" xfId="0" applyNumberFormat="1" applyFill="1" applyBorder="1" applyAlignment="1">
      <alignment horizontal="center" vertical="center"/>
    </xf>
    <xf numFmtId="9" fontId="0" fillId="0" borderId="16" xfId="0" applyNumberFormat="1" applyFill="1" applyBorder="1" applyAlignment="1">
      <alignment horizontal="center" vertical="center"/>
    </xf>
    <xf numFmtId="177" fontId="0" fillId="0" borderId="16" xfId="0" applyNumberForma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177" fontId="2" fillId="13" borderId="1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177" fontId="0" fillId="0" borderId="2" xfId="0" applyNumberFormat="1" applyFont="1" applyFill="1" applyBorder="1" applyAlignment="1">
      <alignment horizontal="center" vertical="center"/>
    </xf>
    <xf numFmtId="10" fontId="0" fillId="0" borderId="2" xfId="0" applyNumberFormat="1" applyFont="1" applyFill="1" applyBorder="1" applyAlignment="1">
      <alignment horizontal="center" vertical="center"/>
    </xf>
    <xf numFmtId="178" fontId="0" fillId="0" borderId="2" xfId="0" applyNumberFormat="1" applyFont="1" applyFill="1" applyBorder="1" applyAlignment="1">
      <alignment horizontal="center" vertical="center"/>
    </xf>
    <xf numFmtId="9" fontId="0" fillId="0" borderId="2" xfId="0" applyNumberFormat="1" applyFont="1" applyFill="1" applyBorder="1" applyAlignment="1">
      <alignment horizontal="center" vertical="center"/>
    </xf>
    <xf numFmtId="0" fontId="0" fillId="0" borderId="9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177" fontId="0" fillId="0" borderId="0" xfId="0" applyNumberFormat="1" applyFont="1" applyFill="1" applyBorder="1" applyAlignment="1">
      <alignment horizontal="center" vertical="center"/>
    </xf>
    <xf numFmtId="10" fontId="0" fillId="0" borderId="0" xfId="0" applyNumberFormat="1" applyFont="1" applyFill="1" applyBorder="1" applyAlignment="1">
      <alignment horizontal="center" vertical="center"/>
    </xf>
    <xf numFmtId="178" fontId="0" fillId="0" borderId="0" xfId="0" applyNumberFormat="1" applyFont="1" applyFill="1" applyBorder="1" applyAlignment="1">
      <alignment horizontal="center" vertical="center"/>
    </xf>
    <xf numFmtId="9" fontId="0" fillId="0" borderId="0" xfId="0" applyNumberFormat="1" applyFont="1" applyFill="1" applyBorder="1" applyAlignment="1">
      <alignment horizontal="center" vertical="center"/>
    </xf>
    <xf numFmtId="0" fontId="2" fillId="13" borderId="0" xfId="0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10" fontId="0" fillId="0" borderId="16" xfId="0" applyNumberFormat="1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176" fontId="0" fillId="0" borderId="16" xfId="0" applyNumberFormat="1" applyFont="1" applyFill="1" applyBorder="1" applyAlignment="1">
      <alignment horizontal="center" vertical="center"/>
    </xf>
    <xf numFmtId="177" fontId="0" fillId="0" borderId="16" xfId="0" applyNumberFormat="1" applyFont="1" applyFill="1" applyBorder="1" applyAlignment="1">
      <alignment horizontal="center" vertical="center"/>
    </xf>
    <xf numFmtId="177" fontId="2" fillId="8" borderId="12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5" fillId="0" borderId="0" xfId="0" applyFont="1" applyFill="1" applyAlignment="1">
      <alignment horizontal="center" vertical="center"/>
    </xf>
    <xf numFmtId="177" fontId="2" fillId="8" borderId="15" xfId="0" applyNumberFormat="1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0" fontId="0" fillId="12" borderId="0" xfId="0" applyFont="1" applyFill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10" fontId="0" fillId="0" borderId="17" xfId="0" applyNumberFormat="1" applyFill="1" applyBorder="1" applyAlignment="1">
      <alignment horizontal="center" vertical="center"/>
    </xf>
    <xf numFmtId="178" fontId="0" fillId="0" borderId="17" xfId="0" applyNumberFormat="1" applyFill="1" applyBorder="1" applyAlignment="1">
      <alignment horizontal="center" vertical="center"/>
    </xf>
    <xf numFmtId="0" fontId="0" fillId="0" borderId="17" xfId="0" applyNumberFormat="1" applyFont="1" applyFill="1" applyBorder="1" applyAlignment="1" applyProtection="1">
      <alignment horizontal="center" vertical="center"/>
    </xf>
    <xf numFmtId="9" fontId="0" fillId="0" borderId="17" xfId="0" applyNumberFormat="1" applyFill="1" applyBorder="1" applyAlignment="1">
      <alignment horizontal="center" vertical="center"/>
    </xf>
    <xf numFmtId="9" fontId="0" fillId="0" borderId="8" xfId="0" applyNumberFormat="1" applyFill="1" applyBorder="1" applyAlignment="1">
      <alignment horizontal="center" vertical="center"/>
    </xf>
    <xf numFmtId="177" fontId="2" fillId="14" borderId="12" xfId="0" applyNumberFormat="1" applyFont="1" applyFill="1" applyBorder="1" applyAlignment="1">
      <alignment horizontal="center" vertical="center"/>
    </xf>
    <xf numFmtId="177" fontId="7" fillId="0" borderId="0" xfId="0" applyNumberFormat="1" applyFont="1" applyFill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10" fontId="7" fillId="0" borderId="0" xfId="0" applyNumberFormat="1" applyFont="1" applyFill="1" applyBorder="1" applyAlignment="1">
      <alignment horizontal="center" vertical="center"/>
    </xf>
    <xf numFmtId="10" fontId="7" fillId="0" borderId="0" xfId="0" applyNumberFormat="1" applyFont="1" applyFill="1" applyAlignment="1">
      <alignment horizontal="center" vertical="center"/>
    </xf>
    <xf numFmtId="176" fontId="0" fillId="0" borderId="2" xfId="0" applyNumberFormat="1" applyFont="1" applyFill="1" applyBorder="1" applyAlignment="1">
      <alignment horizontal="center" vertical="center"/>
    </xf>
    <xf numFmtId="177" fontId="0" fillId="0" borderId="3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0" fillId="9" borderId="0" xfId="0" applyFill="1" applyBorder="1" applyAlignment="1">
      <alignment horizontal="center" vertical="center"/>
    </xf>
    <xf numFmtId="10" fontId="0" fillId="9" borderId="0" xfId="0" applyNumberFormat="1" applyFill="1" applyBorder="1" applyAlignment="1">
      <alignment horizontal="center" vertical="center" wrapText="1"/>
    </xf>
    <xf numFmtId="177" fontId="0" fillId="9" borderId="0" xfId="0" applyNumberFormat="1" applyFill="1" applyBorder="1" applyAlignment="1">
      <alignment horizontal="center" vertical="center"/>
    </xf>
    <xf numFmtId="10" fontId="0" fillId="9" borderId="0" xfId="0" applyNumberFormat="1" applyFill="1" applyBorder="1" applyAlignment="1">
      <alignment horizontal="center" vertical="center"/>
    </xf>
    <xf numFmtId="178" fontId="0" fillId="9" borderId="0" xfId="0" applyNumberFormat="1" applyFill="1" applyBorder="1" applyAlignment="1">
      <alignment horizontal="center" vertical="center"/>
    </xf>
    <xf numFmtId="0" fontId="0" fillId="9" borderId="0" xfId="0" applyNumberFormat="1" applyFont="1" applyFill="1" applyBorder="1" applyAlignment="1" applyProtection="1">
      <alignment horizontal="center" vertical="center"/>
    </xf>
    <xf numFmtId="9" fontId="0" fillId="9" borderId="0" xfId="0" applyNumberFormat="1" applyFill="1" applyBorder="1" applyAlignment="1">
      <alignment horizontal="center" vertical="center"/>
    </xf>
    <xf numFmtId="177" fontId="2" fillId="9" borderId="11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0" fontId="0" fillId="3" borderId="0" xfId="0" applyNumberFormat="1" applyFill="1" applyBorder="1" applyAlignment="1">
      <alignment horizontal="center" vertical="center" wrapText="1"/>
    </xf>
    <xf numFmtId="177" fontId="0" fillId="3" borderId="0" xfId="0" applyNumberFormat="1" applyFill="1" applyBorder="1" applyAlignment="1">
      <alignment horizontal="center" vertical="center"/>
    </xf>
    <xf numFmtId="10" fontId="0" fillId="3" borderId="0" xfId="0" applyNumberFormat="1" applyFill="1" applyBorder="1" applyAlignment="1">
      <alignment horizontal="center" vertical="center"/>
    </xf>
    <xf numFmtId="178" fontId="0" fillId="3" borderId="0" xfId="0" applyNumberFormat="1" applyFill="1" applyBorder="1" applyAlignment="1">
      <alignment horizontal="center" vertical="center"/>
    </xf>
    <xf numFmtId="0" fontId="0" fillId="3" borderId="0" xfId="0" applyNumberFormat="1" applyFont="1" applyFill="1" applyBorder="1" applyAlignment="1" applyProtection="1">
      <alignment horizontal="center" vertical="center"/>
    </xf>
    <xf numFmtId="9" fontId="0" fillId="3" borderId="0" xfId="0" applyNumberFormat="1" applyFill="1" applyBorder="1" applyAlignment="1">
      <alignment horizontal="center" vertical="center"/>
    </xf>
    <xf numFmtId="177" fontId="2" fillId="3" borderId="11" xfId="0" applyNumberFormat="1" applyFont="1" applyFill="1" applyBorder="1" applyAlignment="1">
      <alignment horizontal="center" vertical="center"/>
    </xf>
    <xf numFmtId="10" fontId="0" fillId="2" borderId="0" xfId="0" applyNumberFormat="1" applyFill="1" applyBorder="1" applyAlignment="1">
      <alignment horizontal="center" vertical="center" wrapText="1"/>
    </xf>
    <xf numFmtId="177" fontId="0" fillId="2" borderId="0" xfId="0" applyNumberFormat="1" applyFill="1" applyBorder="1" applyAlignment="1">
      <alignment horizontal="center" vertical="center"/>
    </xf>
    <xf numFmtId="10" fontId="0" fillId="2" borderId="0" xfId="0" applyNumberFormat="1" applyFill="1" applyBorder="1" applyAlignment="1">
      <alignment horizontal="center" vertical="center"/>
    </xf>
    <xf numFmtId="178" fontId="0" fillId="2" borderId="0" xfId="0" applyNumberFormat="1" applyFill="1" applyBorder="1" applyAlignment="1">
      <alignment horizontal="center" vertical="center"/>
    </xf>
    <xf numFmtId="0" fontId="0" fillId="2" borderId="0" xfId="0" applyNumberFormat="1" applyFont="1" applyFill="1" applyBorder="1" applyAlignment="1" applyProtection="1">
      <alignment horizontal="center" vertical="center"/>
    </xf>
    <xf numFmtId="9" fontId="0" fillId="2" borderId="0" xfId="0" applyNumberFormat="1" applyFill="1" applyBorder="1" applyAlignment="1">
      <alignment horizontal="center" vertical="center"/>
    </xf>
    <xf numFmtId="177" fontId="2" fillId="2" borderId="11" xfId="0" applyNumberFormat="1" applyFont="1" applyFill="1" applyBorder="1" applyAlignment="1">
      <alignment horizontal="center" vertical="center"/>
    </xf>
    <xf numFmtId="0" fontId="0" fillId="12" borderId="16" xfId="0" applyFill="1" applyBorder="1" applyAlignment="1">
      <alignment horizontal="center" vertical="center"/>
    </xf>
    <xf numFmtId="10" fontId="0" fillId="12" borderId="16" xfId="0" applyNumberFormat="1" applyFill="1" applyBorder="1" applyAlignment="1">
      <alignment horizontal="center" vertical="center" wrapText="1"/>
    </xf>
    <xf numFmtId="177" fontId="0" fillId="12" borderId="16" xfId="0" applyNumberFormat="1" applyFill="1" applyBorder="1" applyAlignment="1">
      <alignment horizontal="center" vertical="center"/>
    </xf>
    <xf numFmtId="10" fontId="0" fillId="12" borderId="16" xfId="0" applyNumberFormat="1" applyFill="1" applyBorder="1" applyAlignment="1">
      <alignment horizontal="center" vertical="center"/>
    </xf>
    <xf numFmtId="178" fontId="0" fillId="12" borderId="16" xfId="0" applyNumberFormat="1" applyFill="1" applyBorder="1" applyAlignment="1">
      <alignment horizontal="center" vertical="center"/>
    </xf>
    <xf numFmtId="0" fontId="0" fillId="12" borderId="16" xfId="0" applyNumberFormat="1" applyFont="1" applyFill="1" applyBorder="1" applyAlignment="1" applyProtection="1">
      <alignment horizontal="center" vertical="center"/>
    </xf>
    <xf numFmtId="9" fontId="0" fillId="12" borderId="16" xfId="0" applyNumberFormat="1" applyFill="1" applyBorder="1" applyAlignment="1">
      <alignment horizontal="center" vertical="center"/>
    </xf>
    <xf numFmtId="177" fontId="2" fillId="12" borderId="14" xfId="0" applyNumberFormat="1" applyFont="1" applyFill="1" applyBorder="1" applyAlignment="1">
      <alignment horizontal="center" vertical="center"/>
    </xf>
    <xf numFmtId="177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0" fontId="2" fillId="0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I59"/>
  <sheetViews>
    <sheetView tabSelected="1" workbookViewId="0">
      <selection activeCell="A1" sqref="$A1:$XFD1048576"/>
    </sheetView>
  </sheetViews>
  <sheetFormatPr defaultColWidth="9.69090909090909" defaultRowHeight="14"/>
  <cols>
    <col min="1" max="1" width="9.69090909090909" style="1"/>
    <col min="2" max="2" width="15.4545454545455" style="1" customWidth="1"/>
    <col min="3" max="3" width="10" style="1" customWidth="1"/>
    <col min="4" max="4" width="11.8181818181818" style="1" customWidth="1"/>
    <col min="5" max="5" width="5.54545454545455" style="1" customWidth="1"/>
    <col min="6" max="6" width="11.8181818181818" style="1" customWidth="1"/>
    <col min="7" max="7" width="7.54545454545455" style="2" customWidth="1"/>
    <col min="8" max="8" width="14" style="1" customWidth="1"/>
    <col min="9" max="9" width="8.54545454545454" style="1" customWidth="1"/>
    <col min="10" max="10" width="11.8181818181818" style="1" customWidth="1"/>
    <col min="11" max="11" width="4.54545454545455" style="1" customWidth="1"/>
    <col min="12" max="12" width="9.54545454545454" style="1" customWidth="1"/>
    <col min="13" max="13" width="7.54545454545455" style="1" customWidth="1"/>
    <col min="14" max="14" width="5.54545454545455" style="1" customWidth="1"/>
    <col min="15" max="15" width="6.27272727272727" style="1" customWidth="1"/>
    <col min="16" max="16" width="21.2727272727273" style="1" customWidth="1"/>
    <col min="17" max="17" width="9.54545454545454" style="2" customWidth="1"/>
    <col min="18" max="18" width="6.27272727272727" style="1" customWidth="1"/>
    <col min="19" max="19" width="11" style="1" customWidth="1"/>
    <col min="20" max="20" width="8.54545454545454" style="1" customWidth="1"/>
    <col min="21" max="21" width="8.54545454545454" style="2" customWidth="1"/>
    <col min="22" max="22" width="8.54545454545454" style="3" customWidth="1"/>
    <col min="23" max="25" width="8.54545454545454" style="1" customWidth="1"/>
    <col min="26" max="26" width="11" style="1" customWidth="1"/>
    <col min="27" max="27" width="8.54545454545454" style="1" customWidth="1"/>
    <col min="28" max="28" width="11" style="4" customWidth="1"/>
    <col min="29" max="29" width="10" style="4" customWidth="1"/>
    <col min="30" max="31" width="7.18181818181818" style="1" customWidth="1"/>
    <col min="32" max="32" width="9.54545454545454" style="1" customWidth="1"/>
    <col min="33" max="33" width="5.54545454545455" style="1" customWidth="1"/>
    <col min="34" max="34" width="8.54545454545454" style="1" customWidth="1"/>
    <col min="35" max="35" width="9.54545454545454" style="1" customWidth="1"/>
    <col min="36" max="16384" width="9.69090909090909" style="1"/>
  </cols>
  <sheetData>
    <row r="1" s="1" customFormat="1" ht="14.75" spans="2:35">
      <c r="B1" s="5" t="s">
        <v>0</v>
      </c>
      <c r="C1" s="5" t="s">
        <v>1</v>
      </c>
      <c r="D1" s="6" t="s">
        <v>2</v>
      </c>
      <c r="E1" s="6">
        <v>2</v>
      </c>
      <c r="Q1" s="2"/>
      <c r="U1" s="2"/>
      <c r="V1" s="3"/>
      <c r="AB1" s="4"/>
      <c r="AC1" s="4"/>
    </row>
    <row r="2" s="1" customFormat="1" ht="15.75" spans="2:35">
      <c r="B2" s="7" t="s">
        <v>3</v>
      </c>
      <c r="C2" s="8"/>
      <c r="D2" s="8"/>
      <c r="E2" s="8"/>
      <c r="F2" s="8"/>
      <c r="G2" s="8"/>
      <c r="H2" s="8"/>
      <c r="I2" s="8"/>
      <c r="J2" s="8"/>
      <c r="K2" s="8"/>
      <c r="L2" s="8"/>
      <c r="M2" s="9"/>
      <c r="O2" s="10" t="s">
        <v>4</v>
      </c>
      <c r="P2" s="11" t="s">
        <v>5</v>
      </c>
      <c r="Q2" s="12" t="s">
        <v>6</v>
      </c>
      <c r="R2" s="11" t="s">
        <v>7</v>
      </c>
      <c r="S2" s="11" t="s">
        <v>8</v>
      </c>
      <c r="T2" s="11" t="s">
        <v>9</v>
      </c>
      <c r="U2" s="12" t="s">
        <v>10</v>
      </c>
      <c r="V2" s="13" t="s">
        <v>11</v>
      </c>
      <c r="W2" s="11" t="s">
        <v>12</v>
      </c>
      <c r="X2" s="11" t="s">
        <v>13</v>
      </c>
      <c r="Y2" s="11" t="s">
        <v>14</v>
      </c>
      <c r="Z2" s="11" t="s">
        <v>15</v>
      </c>
      <c r="AA2" s="11" t="s">
        <v>16</v>
      </c>
      <c r="AB2" s="14" t="s">
        <v>17</v>
      </c>
      <c r="AC2" s="15" t="s">
        <v>18</v>
      </c>
      <c r="AD2" s="16" t="s">
        <v>19</v>
      </c>
      <c r="AE2" s="16" t="s">
        <v>20</v>
      </c>
      <c r="AF2" s="17" t="s">
        <v>21</v>
      </c>
      <c r="AG2" s="17" t="s">
        <v>22</v>
      </c>
      <c r="AH2" s="18" t="s">
        <v>13</v>
      </c>
      <c r="AI2" s="18" t="s">
        <v>23</v>
      </c>
    </row>
    <row r="3" s="1" customFormat="1" ht="15" spans="2:35">
      <c r="B3" s="19" t="s">
        <v>24</v>
      </c>
      <c r="C3" s="20"/>
      <c r="D3" s="19" t="s">
        <v>10</v>
      </c>
      <c r="E3" s="20"/>
      <c r="F3" s="19" t="s">
        <v>25</v>
      </c>
      <c r="G3" s="20"/>
      <c r="H3" s="19" t="s">
        <v>26</v>
      </c>
      <c r="I3" s="20"/>
      <c r="J3" s="19" t="s">
        <v>12</v>
      </c>
      <c r="K3" s="20"/>
      <c r="L3" s="19" t="s">
        <v>27</v>
      </c>
      <c r="M3" s="20"/>
      <c r="O3" s="21"/>
      <c r="P3" s="22"/>
      <c r="Q3" s="23"/>
      <c r="R3" s="24"/>
      <c r="S3" s="24"/>
      <c r="T3" s="24"/>
      <c r="U3" s="23"/>
      <c r="V3" s="25"/>
      <c r="W3" s="26"/>
      <c r="X3" s="24"/>
      <c r="Y3" s="24"/>
      <c r="Z3" s="27"/>
      <c r="AA3" s="27"/>
      <c r="AB3" s="28"/>
      <c r="AC3" s="22"/>
      <c r="AD3" s="29">
        <v>10</v>
      </c>
      <c r="AE3" s="29"/>
      <c r="AF3" s="17">
        <v>0</v>
      </c>
      <c r="AG3" s="17">
        <v>0</v>
      </c>
      <c r="AH3" s="18">
        <f t="shared" ref="AH3:AH8" si="0">1520/(1520+(792+8*AI3)*(1-AG3/100))</f>
        <v>0.488431876606684</v>
      </c>
      <c r="AI3" s="30">
        <v>100</v>
      </c>
    </row>
    <row r="4" s="1" customFormat="1" ht="15" spans="2:35">
      <c r="B4" s="31" t="s">
        <v>28</v>
      </c>
      <c r="C4" s="32">
        <f>437+587</f>
        <v>1024</v>
      </c>
      <c r="D4" s="31" t="s">
        <v>29</v>
      </c>
      <c r="E4" s="33">
        <f>E1*30%</f>
        <v>0.6</v>
      </c>
      <c r="F4" s="31" t="s">
        <v>30</v>
      </c>
      <c r="G4" s="34">
        <v>0.13</v>
      </c>
      <c r="H4" s="31" t="s">
        <v>30</v>
      </c>
      <c r="I4" s="34">
        <v>1.5</v>
      </c>
      <c r="J4" s="35" t="s">
        <v>31</v>
      </c>
      <c r="K4" s="33">
        <v>0.15</v>
      </c>
      <c r="L4" s="31" t="s">
        <v>32</v>
      </c>
      <c r="M4" s="34">
        <f>8.6%*2</f>
        <v>0.172</v>
      </c>
      <c r="O4" s="21"/>
      <c r="P4" s="36"/>
      <c r="Q4" s="23"/>
      <c r="R4" s="24"/>
      <c r="S4" s="24"/>
      <c r="T4" s="24"/>
      <c r="U4" s="23"/>
      <c r="V4" s="25"/>
      <c r="W4" s="26"/>
      <c r="X4" s="24"/>
      <c r="Y4" s="24"/>
      <c r="Z4" s="27"/>
      <c r="AA4" s="27"/>
      <c r="AB4" s="28"/>
      <c r="AC4" s="36"/>
      <c r="AD4" s="29">
        <v>10</v>
      </c>
      <c r="AE4" s="29"/>
      <c r="AF4" s="17">
        <v>12</v>
      </c>
      <c r="AG4" s="17">
        <v>18</v>
      </c>
      <c r="AH4" s="18">
        <f>1520/(1520+(792+8*AI4)*(1-AG4/100)*(1-AF4/100))</f>
        <v>0.569547096149142</v>
      </c>
      <c r="AI4" s="30">
        <v>100</v>
      </c>
    </row>
    <row r="5" s="1" customFormat="1" ht="15" spans="2:35">
      <c r="B5" s="31" t="s">
        <v>33</v>
      </c>
      <c r="C5" s="33">
        <f>12%+12%</f>
        <v>0.24</v>
      </c>
      <c r="D5" s="31" t="s">
        <v>34</v>
      </c>
      <c r="E5" s="33"/>
      <c r="F5" s="31" t="s">
        <v>35</v>
      </c>
      <c r="G5" s="34">
        <v>0.243</v>
      </c>
      <c r="H5" s="31" t="s">
        <v>35</v>
      </c>
      <c r="I5" s="34">
        <v>0</v>
      </c>
      <c r="J5" s="37" t="s">
        <v>36</v>
      </c>
      <c r="K5" s="33">
        <v>0.25</v>
      </c>
      <c r="L5" s="31" t="s">
        <v>37</v>
      </c>
      <c r="M5" s="34">
        <f>8.6%*2</f>
        <v>0.172</v>
      </c>
      <c r="O5" s="21">
        <v>1</v>
      </c>
      <c r="P5" s="36" t="s">
        <v>38</v>
      </c>
      <c r="Q5" s="23">
        <f>53.45%*2+95.43%+39.23%+26.15%*6</f>
        <v>3.9846</v>
      </c>
      <c r="R5" s="24" t="s">
        <v>1</v>
      </c>
      <c r="S5" s="28">
        <f>$C$4*(1+C$5+C$6+C$7+C$8)+C$9</f>
        <v>2650.928</v>
      </c>
      <c r="T5" s="23">
        <f>($C$5+$C$6+$C$7+$C$8)+($C$9+$C$10)/$C$4</f>
        <v>1.588796875</v>
      </c>
      <c r="U5" s="23">
        <f>IF(R5=$C$1,SUM($E$4:$E$9),SUM($E$4:$E$8))</f>
        <v>0.9</v>
      </c>
      <c r="V5" s="25">
        <f>1+$G$10*($I$10-1)</f>
        <v>2.7115</v>
      </c>
      <c r="W5" s="26">
        <f>IF(R5=$C$1,$K$4+$K$5,$K$4)</f>
        <v>0.4</v>
      </c>
      <c r="X5" s="25">
        <f>$AH$3</f>
        <v>0.488431876606684</v>
      </c>
      <c r="Y5" s="24">
        <f>$AH$11</f>
        <v>0.8</v>
      </c>
      <c r="Z5" s="27">
        <v>0</v>
      </c>
      <c r="AA5" s="27">
        <v>0</v>
      </c>
      <c r="AB5" s="27">
        <v>0</v>
      </c>
      <c r="AC5" s="36">
        <f>Q5*$C$4*(1+T5)*(1+U5)*V5*(1+W5)*X5*Y5*(1+Z5)*(1+AA5)*(1+AB5)*O5</f>
        <v>29769.2501168671</v>
      </c>
      <c r="AD5" s="29">
        <v>10</v>
      </c>
      <c r="AE5" s="29"/>
      <c r="AF5" s="17">
        <v>0</v>
      </c>
      <c r="AG5" s="17">
        <v>30</v>
      </c>
      <c r="AH5" s="18">
        <f t="shared" si="0"/>
        <v>0.57698147585788</v>
      </c>
      <c r="AI5" s="30">
        <v>100</v>
      </c>
    </row>
    <row r="6" s="1" customFormat="1" ht="15" spans="2:35">
      <c r="B6" s="31" t="s">
        <v>39</v>
      </c>
      <c r="C6" s="33">
        <f>18%+18%+M4+(2-E1)*30%</f>
        <v>0.532</v>
      </c>
      <c r="D6" s="31" t="s">
        <v>40</v>
      </c>
      <c r="E6" s="33"/>
      <c r="F6" s="31" t="s">
        <v>41</v>
      </c>
      <c r="G6" s="34">
        <v>0.2</v>
      </c>
      <c r="H6" s="31" t="s">
        <v>41</v>
      </c>
      <c r="I6" s="34">
        <v>0</v>
      </c>
      <c r="J6" s="37"/>
      <c r="K6" s="34"/>
      <c r="L6" s="31" t="s">
        <v>25</v>
      </c>
      <c r="M6" s="34">
        <f>8.1*5%</f>
        <v>0.405</v>
      </c>
      <c r="O6" s="21">
        <v>1</v>
      </c>
      <c r="P6" s="36" t="s">
        <v>38</v>
      </c>
      <c r="Q6" s="23">
        <f>53.45%*2+95.43%+39.23%+26.15%*6</f>
        <v>3.9846</v>
      </c>
      <c r="R6" s="24" t="s">
        <v>42</v>
      </c>
      <c r="S6" s="28">
        <f>$C$4*(1+C$5+C$6+C$7+C$8)+C$9</f>
        <v>2650.928</v>
      </c>
      <c r="T6" s="23">
        <f>($C$5+$C$6+$C$7+$C$8)+($C$9+$C$10)/$C$4</f>
        <v>1.588796875</v>
      </c>
      <c r="U6" s="23">
        <f>IF(R6=$C$1,SUM($E$4:$E$9),SUM($E$4:$E$8))</f>
        <v>0.6</v>
      </c>
      <c r="V6" s="25">
        <f>1+$G$10*($I$10-1)</f>
        <v>2.7115</v>
      </c>
      <c r="W6" s="26">
        <f>IF(R6=$C$1,$K$4+$K$5,$K$4)</f>
        <v>0.15</v>
      </c>
      <c r="X6" s="25">
        <f>$AH$3</f>
        <v>0.488431876606684</v>
      </c>
      <c r="Y6" s="24">
        <f>$AH$11</f>
        <v>0.8</v>
      </c>
      <c r="Z6" s="27">
        <v>0</v>
      </c>
      <c r="AA6" s="27">
        <v>0</v>
      </c>
      <c r="AB6" s="27">
        <v>0</v>
      </c>
      <c r="AC6" s="36">
        <f>Q6*$C$4*(1+T6)*(1+U6)*V6*(1+W6)*X6*Y6*(1+Z6)*(1+AA6)*(1+AB6)*O6</f>
        <v>20592.2632387351</v>
      </c>
      <c r="AD6" s="29">
        <v>10</v>
      </c>
      <c r="AE6" s="29"/>
      <c r="AF6" s="17">
        <v>0</v>
      </c>
      <c r="AG6" s="17">
        <v>21.6</v>
      </c>
      <c r="AH6" s="18">
        <f t="shared" si="0"/>
        <v>0.549107555719967</v>
      </c>
      <c r="AI6" s="30">
        <v>100</v>
      </c>
    </row>
    <row r="7" s="1" customFormat="1" ht="15" spans="2:35">
      <c r="B7" s="31" t="s">
        <v>43</v>
      </c>
      <c r="C7" s="38"/>
      <c r="D7" s="31" t="s">
        <v>44</v>
      </c>
      <c r="E7" s="33"/>
      <c r="F7" s="31" t="s">
        <v>39</v>
      </c>
      <c r="G7" s="34">
        <f>M6</f>
        <v>0.405</v>
      </c>
      <c r="H7" s="31" t="s">
        <v>39</v>
      </c>
      <c r="I7" s="34">
        <f>M7+44%</f>
        <v>1.25</v>
      </c>
      <c r="J7" s="37"/>
      <c r="K7" s="34"/>
      <c r="L7" s="31" t="s">
        <v>45</v>
      </c>
      <c r="M7" s="33">
        <f>16.2%*5</f>
        <v>0.81</v>
      </c>
      <c r="O7" s="21"/>
      <c r="P7" s="36"/>
      <c r="Q7" s="23"/>
      <c r="R7" s="24"/>
      <c r="S7" s="24"/>
      <c r="T7" s="23"/>
      <c r="U7" s="23"/>
      <c r="V7" s="25"/>
      <c r="W7" s="26"/>
      <c r="X7" s="25"/>
      <c r="Y7" s="24"/>
      <c r="Z7" s="27"/>
      <c r="AA7" s="27"/>
      <c r="AB7" s="27"/>
      <c r="AC7" s="36"/>
      <c r="AD7" s="29">
        <v>10</v>
      </c>
      <c r="AE7" s="29"/>
      <c r="AF7" s="17">
        <v>0</v>
      </c>
      <c r="AG7" s="17">
        <v>28.8</v>
      </c>
      <c r="AH7" s="18">
        <f t="shared" si="0"/>
        <v>0.572827476423627</v>
      </c>
      <c r="AI7" s="30">
        <v>100</v>
      </c>
    </row>
    <row r="8" s="1" customFormat="1" ht="15" spans="2:35">
      <c r="B8" s="31" t="s">
        <v>46</v>
      </c>
      <c r="C8" s="38">
        <f>22.5%+25%</f>
        <v>0.475</v>
      </c>
      <c r="D8" s="31" t="s">
        <v>47</v>
      </c>
      <c r="E8" s="39"/>
      <c r="F8" s="31" t="s">
        <v>48</v>
      </c>
      <c r="G8" s="34">
        <v>0</v>
      </c>
      <c r="H8" s="31" t="s">
        <v>48</v>
      </c>
      <c r="I8" s="34">
        <v>0</v>
      </c>
      <c r="J8" s="37"/>
      <c r="K8" s="34"/>
      <c r="L8" s="31"/>
      <c r="M8" s="32"/>
      <c r="O8" s="21"/>
      <c r="P8" s="36"/>
      <c r="Q8" s="23"/>
      <c r="R8" s="24"/>
      <c r="S8" s="24"/>
      <c r="T8" s="23"/>
      <c r="U8" s="23"/>
      <c r="V8" s="25"/>
      <c r="W8" s="26"/>
      <c r="X8" s="25"/>
      <c r="Y8" s="24"/>
      <c r="Z8" s="27"/>
      <c r="AA8" s="27"/>
      <c r="AB8" s="27"/>
      <c r="AC8" s="36"/>
      <c r="AD8" s="29">
        <v>10</v>
      </c>
      <c r="AE8" s="29"/>
      <c r="AF8" s="17">
        <v>0</v>
      </c>
      <c r="AG8" s="17">
        <v>36</v>
      </c>
      <c r="AH8" s="18">
        <f t="shared" si="0"/>
        <v>0.598689185782707</v>
      </c>
      <c r="AI8" s="30">
        <v>100</v>
      </c>
    </row>
    <row r="9" s="1" customFormat="1" ht="15" spans="2:35">
      <c r="B9" s="31" t="s">
        <v>49</v>
      </c>
      <c r="C9" s="32">
        <v>350</v>
      </c>
      <c r="D9" s="31" t="s">
        <v>50</v>
      </c>
      <c r="E9" s="33">
        <v>0.3</v>
      </c>
      <c r="F9" s="31" t="s">
        <v>51</v>
      </c>
      <c r="G9" s="34">
        <v>0</v>
      </c>
      <c r="H9" s="31" t="s">
        <v>51</v>
      </c>
      <c r="I9" s="34">
        <v>0</v>
      </c>
      <c r="J9" s="37"/>
      <c r="K9" s="34"/>
      <c r="L9" s="31"/>
      <c r="M9" s="32"/>
      <c r="O9" s="21"/>
      <c r="P9" s="36"/>
      <c r="Q9" s="23"/>
      <c r="R9" s="24"/>
      <c r="S9" s="24"/>
      <c r="T9" s="23"/>
      <c r="U9" s="23"/>
      <c r="V9" s="25"/>
      <c r="W9" s="26"/>
      <c r="X9" s="25"/>
      <c r="Y9" s="24"/>
      <c r="Z9" s="27"/>
      <c r="AA9" s="27"/>
      <c r="AB9" s="27"/>
      <c r="AC9" s="36"/>
      <c r="AD9" s="29">
        <v>10</v>
      </c>
      <c r="AE9" s="29"/>
    </row>
    <row r="10" s="1" customFormat="1" ht="15" spans="2:35">
      <c r="B10" s="40" t="s">
        <v>52</v>
      </c>
      <c r="C10" s="41"/>
      <c r="D10" s="40"/>
      <c r="E10" s="42"/>
      <c r="F10" s="43" t="s">
        <v>53</v>
      </c>
      <c r="G10" s="44">
        <f>MIN(100%,SUM(G4:G9))</f>
        <v>0.978</v>
      </c>
      <c r="H10" s="43" t="s">
        <v>54</v>
      </c>
      <c r="I10" s="44">
        <f>SUM(I4:I9)</f>
        <v>2.75</v>
      </c>
      <c r="J10" s="45"/>
      <c r="K10" s="46"/>
      <c r="L10" s="40"/>
      <c r="M10" s="41"/>
      <c r="O10" s="21"/>
      <c r="P10" s="36"/>
      <c r="Q10" s="23"/>
      <c r="R10" s="24"/>
      <c r="S10" s="24"/>
      <c r="T10" s="23"/>
      <c r="U10" s="23"/>
      <c r="V10" s="25"/>
      <c r="W10" s="26"/>
      <c r="X10" s="25"/>
      <c r="Y10" s="24"/>
      <c r="Z10" s="27"/>
      <c r="AA10" s="27"/>
      <c r="AB10" s="27"/>
      <c r="AC10" s="36"/>
      <c r="AD10" s="29">
        <v>10</v>
      </c>
      <c r="AE10" s="29"/>
    </row>
    <row r="11" s="1" customFormat="1" ht="15" spans="2:35">
      <c r="B11" s="47"/>
      <c r="C11" s="47"/>
      <c r="E11" s="48"/>
      <c r="F11" s="19" t="s">
        <v>55</v>
      </c>
      <c r="G11" s="49">
        <f>MAX(0,SUM(G4:G9)-1)</f>
        <v>0</v>
      </c>
      <c r="J11" s="2"/>
      <c r="K11" s="2"/>
      <c r="O11" s="21"/>
      <c r="P11" s="36"/>
      <c r="Q11" s="23"/>
      <c r="R11" s="24"/>
      <c r="S11" s="24"/>
      <c r="T11" s="23"/>
      <c r="U11" s="23"/>
      <c r="V11" s="25"/>
      <c r="W11" s="26"/>
      <c r="X11" s="25"/>
      <c r="Y11" s="24"/>
      <c r="Z11" s="27"/>
      <c r="AA11" s="27"/>
      <c r="AB11" s="27"/>
      <c r="AC11" s="36"/>
      <c r="AD11" s="29">
        <v>10</v>
      </c>
      <c r="AE11" s="29"/>
      <c r="AG11" s="50" t="s">
        <v>56</v>
      </c>
      <c r="AH11" s="50">
        <v>0.8</v>
      </c>
    </row>
    <row r="12" s="1" customFormat="1" ht="15" spans="2:35">
      <c r="B12" s="47"/>
      <c r="C12" s="47"/>
      <c r="E12" s="48"/>
      <c r="G12" s="51"/>
      <c r="J12" s="2"/>
      <c r="K12" s="2"/>
      <c r="O12" s="21"/>
      <c r="P12" s="36"/>
      <c r="Q12" s="23"/>
      <c r="R12" s="24"/>
      <c r="S12" s="24"/>
      <c r="T12" s="23"/>
      <c r="U12" s="23"/>
      <c r="V12" s="25"/>
      <c r="W12" s="26"/>
      <c r="X12" s="25"/>
      <c r="Y12" s="24"/>
      <c r="Z12" s="27"/>
      <c r="AA12" s="27"/>
      <c r="AB12" s="27"/>
      <c r="AC12" s="36"/>
      <c r="AD12" s="29">
        <v>10</v>
      </c>
      <c r="AE12" s="29"/>
      <c r="AG12" s="52" t="s">
        <v>57</v>
      </c>
      <c r="AH12" s="52">
        <v>0.8</v>
      </c>
    </row>
    <row r="13" s="1" customFormat="1" ht="15" spans="2:35">
      <c r="B13" s="5" t="s">
        <v>0</v>
      </c>
      <c r="C13" s="5" t="s">
        <v>1</v>
      </c>
      <c r="D13" s="6" t="s">
        <v>2</v>
      </c>
      <c r="E13" s="6">
        <v>2</v>
      </c>
      <c r="O13" s="21"/>
      <c r="P13" s="36"/>
      <c r="Q13" s="23"/>
      <c r="R13" s="24"/>
      <c r="S13" s="24"/>
      <c r="T13" s="23"/>
      <c r="U13" s="23"/>
      <c r="V13" s="25"/>
      <c r="W13" s="26"/>
      <c r="X13" s="25"/>
      <c r="Y13" s="24"/>
      <c r="Z13" s="27"/>
      <c r="AA13" s="27"/>
      <c r="AB13" s="27"/>
      <c r="AC13" s="36"/>
      <c r="AD13" s="29">
        <v>10</v>
      </c>
      <c r="AE13" s="29"/>
      <c r="AG13" s="53" t="s">
        <v>58</v>
      </c>
      <c r="AH13" s="53">
        <v>0.8</v>
      </c>
    </row>
    <row r="14" s="1" customFormat="1" ht="15" spans="2:35">
      <c r="B14" s="54" t="s">
        <v>59</v>
      </c>
      <c r="C14" s="54"/>
      <c r="D14" s="54"/>
      <c r="E14" s="54"/>
      <c r="F14" s="54"/>
      <c r="G14" s="54"/>
      <c r="H14" s="54"/>
      <c r="I14" s="54"/>
      <c r="J14" s="54"/>
      <c r="K14" s="54"/>
      <c r="L14" s="54"/>
      <c r="M14" s="54"/>
      <c r="O14" s="21"/>
      <c r="P14" s="36"/>
      <c r="Q14" s="23"/>
      <c r="R14" s="24"/>
      <c r="S14" s="24"/>
      <c r="T14" s="23"/>
      <c r="U14" s="23"/>
      <c r="V14" s="25"/>
      <c r="W14" s="26"/>
      <c r="X14" s="25"/>
      <c r="Y14" s="24"/>
      <c r="Z14" s="27"/>
      <c r="AA14" s="27"/>
      <c r="AB14" s="27"/>
      <c r="AC14" s="36"/>
      <c r="AD14" s="29">
        <v>10</v>
      </c>
      <c r="AE14" s="29"/>
      <c r="AG14" s="55" t="s">
        <v>60</v>
      </c>
      <c r="AH14" s="55">
        <v>0.8</v>
      </c>
    </row>
    <row r="15" s="1" customFormat="1" ht="15" spans="2:35">
      <c r="B15" s="56" t="s">
        <v>24</v>
      </c>
      <c r="C15" s="56"/>
      <c r="D15" s="56" t="s">
        <v>10</v>
      </c>
      <c r="E15" s="56"/>
      <c r="F15" s="56" t="s">
        <v>25</v>
      </c>
      <c r="G15" s="56"/>
      <c r="H15" s="56" t="s">
        <v>26</v>
      </c>
      <c r="I15" s="56"/>
      <c r="J15" s="56" t="s">
        <v>12</v>
      </c>
      <c r="K15" s="56"/>
      <c r="L15" s="56" t="s">
        <v>27</v>
      </c>
      <c r="M15" s="56"/>
      <c r="O15" s="21"/>
      <c r="P15" s="57"/>
      <c r="Q15" s="23"/>
      <c r="R15" s="24"/>
      <c r="S15" s="24"/>
      <c r="T15" s="23"/>
      <c r="U15" s="23"/>
      <c r="V15" s="25"/>
      <c r="W15" s="26"/>
      <c r="X15" s="25"/>
      <c r="Y15" s="24"/>
      <c r="Z15" s="27"/>
      <c r="AA15" s="27"/>
      <c r="AB15" s="27"/>
      <c r="AC15" s="57"/>
      <c r="AD15" s="29">
        <v>10</v>
      </c>
      <c r="AE15" s="29"/>
      <c r="AG15" s="58" t="s">
        <v>61</v>
      </c>
      <c r="AH15" s="59">
        <v>0.8</v>
      </c>
    </row>
    <row r="16" s="1" customFormat="1" ht="15" spans="2:35">
      <c r="B16" s="60" t="s">
        <v>28</v>
      </c>
      <c r="C16" s="61">
        <f>437+587</f>
        <v>1024</v>
      </c>
      <c r="D16" s="60" t="s">
        <v>29</v>
      </c>
      <c r="E16" s="62">
        <f>E13*30%</f>
        <v>0.6</v>
      </c>
      <c r="F16" s="60" t="s">
        <v>30</v>
      </c>
      <c r="G16" s="63">
        <v>0.13</v>
      </c>
      <c r="H16" s="60" t="s">
        <v>30</v>
      </c>
      <c r="I16" s="63">
        <v>1.5</v>
      </c>
      <c r="J16" s="64" t="s">
        <v>31</v>
      </c>
      <c r="K16" s="62">
        <v>0.15</v>
      </c>
      <c r="L16" s="60" t="s">
        <v>32</v>
      </c>
      <c r="M16" s="63">
        <f>8.6%*2</f>
        <v>0.172</v>
      </c>
      <c r="O16" s="60">
        <v>1</v>
      </c>
      <c r="P16" s="65" t="s">
        <v>38</v>
      </c>
      <c r="Q16" s="66">
        <f>53.45%*2+95.43%+39.23%+26.15%*6</f>
        <v>3.9846</v>
      </c>
      <c r="R16" s="67" t="s">
        <v>1</v>
      </c>
      <c r="S16" s="68">
        <f>$C$16*(1+$C$17+$C$18+$C$19+$C$20)+($C$21+$C$22)</f>
        <v>2650.928</v>
      </c>
      <c r="T16" s="66">
        <f>($C$17+$C$18+$C$19+$C$20)+($C$21+$C$22)/$C$16</f>
        <v>1.588796875</v>
      </c>
      <c r="U16" s="66">
        <f>IF(R16=$C$13,SUM($E$16:$E$21),SUM($E$16:$E$20))</f>
        <v>0.9</v>
      </c>
      <c r="V16" s="69">
        <f>1+$G$22*($I$22-1)</f>
        <v>2.7115</v>
      </c>
      <c r="W16" s="70">
        <f>IF(R16=$C$1,$K$16+$K$17,$K$16)</f>
        <v>0.4</v>
      </c>
      <c r="X16" s="69">
        <f>$AH$3</f>
        <v>0.488431876606684</v>
      </c>
      <c r="Y16" s="67">
        <f>$AH$12</f>
        <v>0.8</v>
      </c>
      <c r="Z16" s="71">
        <v>0</v>
      </c>
      <c r="AA16" s="71">
        <v>0</v>
      </c>
      <c r="AB16" s="71">
        <v>0</v>
      </c>
      <c r="AC16" s="65">
        <f>Q16*$C$16*(1+T16)*(1+U16)*V16*(1+W16)*X16*Y16*(1+Z16)*(1+AA16)*(1+AB16)*O16</f>
        <v>29769.2501168671</v>
      </c>
      <c r="AG16" s="72" t="s">
        <v>62</v>
      </c>
      <c r="AH16" s="72">
        <v>0.8</v>
      </c>
    </row>
    <row r="17" s="1" customFormat="1" ht="15" spans="2:34">
      <c r="B17" s="31" t="s">
        <v>33</v>
      </c>
      <c r="C17" s="33">
        <f>12%+12%</f>
        <v>0.24</v>
      </c>
      <c r="D17" s="31" t="s">
        <v>34</v>
      </c>
      <c r="E17" s="33"/>
      <c r="F17" s="31" t="s">
        <v>35</v>
      </c>
      <c r="G17" s="34">
        <v>0.243</v>
      </c>
      <c r="H17" s="31" t="s">
        <v>35</v>
      </c>
      <c r="I17" s="34">
        <v>0</v>
      </c>
      <c r="J17" s="37" t="s">
        <v>36</v>
      </c>
      <c r="K17" s="33">
        <v>0.25</v>
      </c>
      <c r="L17" s="31" t="s">
        <v>37</v>
      </c>
      <c r="M17" s="34">
        <f>8.6%*2</f>
        <v>0.172</v>
      </c>
      <c r="O17" s="31">
        <v>1</v>
      </c>
      <c r="P17" s="65" t="s">
        <v>38</v>
      </c>
      <c r="Q17" s="73">
        <f>53.45%*2+95.43%+39.23%+26.15%*6</f>
        <v>3.9846</v>
      </c>
      <c r="R17" s="47" t="s">
        <v>42</v>
      </c>
      <c r="S17" s="74">
        <f>$C$16*(1+$C$17+$C$18+$C$19+$C$20)+($C$21+$C$22)</f>
        <v>2650.928</v>
      </c>
      <c r="T17" s="73">
        <f>($C$17+$C$18+$C$19+$C$20)+($C$21+$C$22)/$C$16</f>
        <v>1.588796875</v>
      </c>
      <c r="U17" s="73">
        <f>IF(R17=$C$13,SUM($E$16:$E$21),SUM($E$16:$E$20))</f>
        <v>0.6</v>
      </c>
      <c r="V17" s="75">
        <f>1+$G$22*($I$22-1)</f>
        <v>2.7115</v>
      </c>
      <c r="W17" s="70">
        <f>IF(R17=$C$1,$K$16+$K$17,$K$16)</f>
        <v>0.15</v>
      </c>
      <c r="X17" s="75">
        <f>$AH$3</f>
        <v>0.488431876606684</v>
      </c>
      <c r="Y17" s="47">
        <f>$AH$12</f>
        <v>0.8</v>
      </c>
      <c r="Z17" s="76">
        <v>0</v>
      </c>
      <c r="AA17" s="76">
        <v>0</v>
      </c>
      <c r="AB17" s="76">
        <v>0</v>
      </c>
      <c r="AC17" s="65">
        <f>Q17*$C$16*(1+T17)*(1+U17)*V17*(1+W17)*X17*Y17*(1+Z17)*(1+AA17)*(1+AB17)*O17</f>
        <v>20592.2632387351</v>
      </c>
    </row>
    <row r="18" s="1" customFormat="1" ht="15" spans="2:34">
      <c r="B18" s="31" t="s">
        <v>39</v>
      </c>
      <c r="C18" s="33">
        <f>18%+18%+M16+(2-E13)*30%</f>
        <v>0.532</v>
      </c>
      <c r="D18" s="31" t="s">
        <v>40</v>
      </c>
      <c r="E18" s="33"/>
      <c r="F18" s="31" t="s">
        <v>41</v>
      </c>
      <c r="G18" s="34">
        <v>0.2</v>
      </c>
      <c r="H18" s="31" t="s">
        <v>41</v>
      </c>
      <c r="I18" s="34">
        <v>0</v>
      </c>
      <c r="J18" s="37"/>
      <c r="K18" s="34"/>
      <c r="L18" s="31" t="s">
        <v>25</v>
      </c>
      <c r="M18" s="34">
        <f>8.1*5%</f>
        <v>0.405</v>
      </c>
      <c r="O18" s="31"/>
      <c r="P18" s="65"/>
      <c r="Q18" s="73"/>
      <c r="R18" s="47"/>
      <c r="S18" s="47"/>
      <c r="T18" s="47"/>
      <c r="U18" s="73"/>
      <c r="V18" s="75"/>
      <c r="W18" s="76"/>
      <c r="X18" s="47"/>
      <c r="Y18" s="47"/>
      <c r="Z18" s="76"/>
      <c r="AA18" s="76"/>
      <c r="AB18" s="74"/>
      <c r="AC18" s="65"/>
      <c r="AG18" s="1" t="s">
        <v>63</v>
      </c>
      <c r="AH18" s="1">
        <v>0.8</v>
      </c>
    </row>
    <row r="19" s="1" customFormat="1" ht="15" spans="2:34">
      <c r="B19" s="31" t="s">
        <v>43</v>
      </c>
      <c r="C19" s="38"/>
      <c r="D19" s="31" t="s">
        <v>44</v>
      </c>
      <c r="E19" s="33"/>
      <c r="F19" s="31" t="s">
        <v>39</v>
      </c>
      <c r="G19" s="34">
        <f>M18</f>
        <v>0.405</v>
      </c>
      <c r="H19" s="31" t="s">
        <v>39</v>
      </c>
      <c r="I19" s="34">
        <f>M19+44%</f>
        <v>1.25</v>
      </c>
      <c r="J19" s="37"/>
      <c r="K19" s="34"/>
      <c r="L19" s="31" t="s">
        <v>45</v>
      </c>
      <c r="M19" s="33">
        <f>16.2%*5</f>
        <v>0.81</v>
      </c>
      <c r="O19" s="31"/>
      <c r="P19" s="65"/>
      <c r="Q19" s="73"/>
      <c r="R19" s="47"/>
      <c r="S19" s="47"/>
      <c r="T19" s="47"/>
      <c r="U19" s="73"/>
      <c r="V19" s="75"/>
      <c r="W19" s="76"/>
      <c r="X19" s="47"/>
      <c r="Y19" s="47"/>
      <c r="Z19" s="76"/>
      <c r="AA19" s="76"/>
      <c r="AB19" s="74"/>
      <c r="AC19" s="65"/>
    </row>
    <row r="20" s="1" customFormat="1" ht="15" spans="2:34">
      <c r="B20" s="31" t="s">
        <v>46</v>
      </c>
      <c r="C20" s="38">
        <f>22.5%+25%</f>
        <v>0.475</v>
      </c>
      <c r="D20" s="31" t="s">
        <v>47</v>
      </c>
      <c r="E20" s="39"/>
      <c r="F20" s="31" t="s">
        <v>48</v>
      </c>
      <c r="G20" s="34">
        <v>0</v>
      </c>
      <c r="H20" s="31" t="s">
        <v>48</v>
      </c>
      <c r="I20" s="34">
        <v>0</v>
      </c>
      <c r="J20" s="37"/>
      <c r="K20" s="34"/>
      <c r="L20" s="31"/>
      <c r="M20" s="32"/>
      <c r="O20" s="31"/>
      <c r="P20" s="65"/>
      <c r="Q20" s="73"/>
      <c r="R20" s="47"/>
      <c r="S20" s="47"/>
      <c r="T20" s="47"/>
      <c r="U20" s="73"/>
      <c r="V20" s="75"/>
      <c r="W20" s="76"/>
      <c r="X20" s="47"/>
      <c r="Y20" s="47"/>
      <c r="Z20" s="76"/>
      <c r="AA20" s="76"/>
      <c r="AB20" s="74"/>
      <c r="AC20" s="65"/>
    </row>
    <row r="21" s="1" customFormat="1" ht="15" spans="2:34">
      <c r="B21" s="31" t="s">
        <v>49</v>
      </c>
      <c r="C21" s="32">
        <v>350</v>
      </c>
      <c r="D21" s="31" t="s">
        <v>50</v>
      </c>
      <c r="E21" s="33">
        <v>0.3</v>
      </c>
      <c r="F21" s="31" t="s">
        <v>51</v>
      </c>
      <c r="G21" s="34">
        <v>0</v>
      </c>
      <c r="H21" s="31" t="s">
        <v>51</v>
      </c>
      <c r="I21" s="34">
        <v>0</v>
      </c>
      <c r="J21" s="37"/>
      <c r="K21" s="34"/>
      <c r="L21" s="31"/>
      <c r="M21" s="32"/>
      <c r="O21" s="31"/>
      <c r="P21" s="65"/>
      <c r="Q21" s="73"/>
      <c r="R21" s="47"/>
      <c r="S21" s="47"/>
      <c r="T21" s="47"/>
      <c r="U21" s="73"/>
      <c r="V21" s="75"/>
      <c r="W21" s="76"/>
      <c r="X21" s="47"/>
      <c r="Y21" s="47"/>
      <c r="Z21" s="76"/>
      <c r="AA21" s="76"/>
      <c r="AB21" s="74"/>
      <c r="AC21" s="65"/>
    </row>
    <row r="22" s="1" customFormat="1" ht="15" spans="2:34">
      <c r="B22" s="40" t="s">
        <v>52</v>
      </c>
      <c r="C22" s="41"/>
      <c r="D22" s="40"/>
      <c r="E22" s="42"/>
      <c r="F22" s="43" t="s">
        <v>53</v>
      </c>
      <c r="G22" s="44">
        <f>MIN(100%,SUM(G16:G21))</f>
        <v>0.978</v>
      </c>
      <c r="H22" s="43" t="s">
        <v>54</v>
      </c>
      <c r="I22" s="44">
        <f>SUM(I16:I21)</f>
        <v>2.75</v>
      </c>
      <c r="J22" s="45"/>
      <c r="K22" s="46"/>
      <c r="L22" s="40"/>
      <c r="M22" s="41"/>
      <c r="O22" s="31"/>
      <c r="P22" s="65"/>
      <c r="Q22" s="73"/>
      <c r="R22" s="47"/>
      <c r="S22" s="47"/>
      <c r="T22" s="47"/>
      <c r="U22" s="73"/>
      <c r="V22" s="75"/>
      <c r="W22" s="76"/>
      <c r="X22" s="47"/>
      <c r="Y22" s="47"/>
      <c r="Z22" s="76"/>
      <c r="AA22" s="76"/>
      <c r="AB22" s="74"/>
      <c r="AC22" s="65"/>
    </row>
    <row r="23" s="1" customFormat="1" ht="15" spans="2:34">
      <c r="B23" s="47"/>
      <c r="C23" s="47"/>
      <c r="E23" s="48"/>
      <c r="F23" s="19" t="s">
        <v>55</v>
      </c>
      <c r="G23" s="49">
        <f>MAX(0,SUM(G16:G21)-1)</f>
        <v>0</v>
      </c>
      <c r="J23" s="2"/>
      <c r="K23" s="2"/>
      <c r="O23" s="40"/>
      <c r="P23" s="65"/>
      <c r="Q23" s="77"/>
      <c r="R23" s="78"/>
      <c r="S23" s="78"/>
      <c r="T23" s="78"/>
      <c r="U23" s="77"/>
      <c r="V23" s="79"/>
      <c r="W23" s="80"/>
      <c r="X23" s="78"/>
      <c r="Y23" s="78"/>
      <c r="Z23" s="80"/>
      <c r="AA23" s="80"/>
      <c r="AB23" s="81"/>
      <c r="AC23" s="65"/>
    </row>
    <row r="24" s="1" customFormat="1" ht="15" spans="2:34">
      <c r="B24" s="47"/>
      <c r="C24" s="47"/>
      <c r="E24" s="48"/>
      <c r="J24" s="2"/>
      <c r="K24" s="2"/>
      <c r="O24" s="82">
        <v>1</v>
      </c>
      <c r="P24" s="83" t="s">
        <v>38</v>
      </c>
      <c r="Q24" s="84">
        <f>53.45%*2+95.43%+39.23%+26.15%*6</f>
        <v>3.9846</v>
      </c>
      <c r="R24" s="84" t="s">
        <v>1</v>
      </c>
      <c r="S24" s="85">
        <f>$C$28*(1+$C$29+$C$30+$C$31+$C$32)+($C$33+$C$34)</f>
        <v>2650.928</v>
      </c>
      <c r="T24" s="86">
        <f>S24/$C$28-1</f>
        <v>1.588796875</v>
      </c>
      <c r="U24" s="86">
        <f>IF(R24=$C$25,SUM($E$28:$E$33),SUM($E$28:$E$32))</f>
        <v>0.9</v>
      </c>
      <c r="V24" s="87">
        <f>1+$G$34*($I$34-1)</f>
        <v>2.7115</v>
      </c>
      <c r="W24" s="84">
        <f>IF(R24=$C$1,$K$28+$K$29,$K$28)</f>
        <v>0.4</v>
      </c>
      <c r="X24" s="87">
        <f>$AH$3</f>
        <v>0.488431876606684</v>
      </c>
      <c r="Y24" s="84">
        <f>$AH$13</f>
        <v>0.8</v>
      </c>
      <c r="Z24" s="88">
        <v>0</v>
      </c>
      <c r="AA24" s="88">
        <v>0</v>
      </c>
      <c r="AB24" s="88">
        <v>0</v>
      </c>
      <c r="AC24" s="83">
        <f>Q24*$C$16*(1+T24)*(1+U24)*V24*(1+W24)*X24*Y24*(1+Z24)*(1+AA24)*(1+AB24)*O24</f>
        <v>29769.2501168671</v>
      </c>
    </row>
    <row r="25" s="1" customFormat="1" ht="15" spans="2:34">
      <c r="B25" s="5" t="s">
        <v>0</v>
      </c>
      <c r="C25" s="5" t="s">
        <v>1</v>
      </c>
      <c r="D25" s="6" t="s">
        <v>2</v>
      </c>
      <c r="E25" s="6">
        <v>2</v>
      </c>
      <c r="O25" s="89">
        <v>1</v>
      </c>
      <c r="P25" s="83" t="s">
        <v>38</v>
      </c>
      <c r="Q25" s="90">
        <f>53.45%*2+95.43%+39.23%+26.15%*6</f>
        <v>3.9846</v>
      </c>
      <c r="R25" s="90" t="s">
        <v>42</v>
      </c>
      <c r="S25" s="91">
        <f>$C$28*(1+$C$29+$C$30+$C$31+$C$32)+($C$33+$C$34)</f>
        <v>2650.928</v>
      </c>
      <c r="T25" s="92">
        <f>S25/$C$28-1</f>
        <v>1.588796875</v>
      </c>
      <c r="U25" s="92">
        <f>IF(R25=$C$25,SUM($E$28:$E$33),SUM($E$28:$E$32))</f>
        <v>0.6</v>
      </c>
      <c r="V25" s="93">
        <f>1+$G$34*($I$34-1)</f>
        <v>2.7115</v>
      </c>
      <c r="W25" s="84">
        <f>IF(R25=$C$1,$K$28+$K$29,$K$28)</f>
        <v>0.15</v>
      </c>
      <c r="X25" s="93">
        <f>$AH$3</f>
        <v>0.488431876606684</v>
      </c>
      <c r="Y25" s="90">
        <f>$AH$13</f>
        <v>0.8</v>
      </c>
      <c r="Z25" s="94">
        <v>0</v>
      </c>
      <c r="AA25" s="94">
        <v>0</v>
      </c>
      <c r="AB25" s="94">
        <v>0</v>
      </c>
      <c r="AC25" s="83">
        <f>Q25*$C$16*(1+T25)*(1+U25)*V25*(1+W25)*X25*Y25*(1+Z25)*(1+AA25)*(1+AB25)*O25</f>
        <v>20592.2632387351</v>
      </c>
    </row>
    <row r="26" s="1" customFormat="1" ht="15" spans="2:34">
      <c r="B26" s="95" t="s">
        <v>64</v>
      </c>
      <c r="C26" s="95"/>
      <c r="D26" s="95"/>
      <c r="E26" s="95"/>
      <c r="F26" s="95"/>
      <c r="G26" s="95"/>
      <c r="H26" s="95"/>
      <c r="I26" s="95"/>
      <c r="J26" s="95"/>
      <c r="K26" s="95"/>
      <c r="L26" s="95"/>
      <c r="M26" s="95"/>
      <c r="O26" s="89"/>
      <c r="P26" s="83"/>
      <c r="Q26" s="90"/>
      <c r="R26" s="90"/>
      <c r="S26" s="90"/>
      <c r="T26" s="90"/>
      <c r="U26" s="92"/>
      <c r="V26" s="96"/>
      <c r="W26" s="90"/>
      <c r="X26" s="90"/>
      <c r="Y26" s="90"/>
      <c r="Z26" s="90"/>
      <c r="AA26" s="90"/>
      <c r="AB26" s="91"/>
      <c r="AC26" s="83"/>
    </row>
    <row r="27" s="1" customFormat="1" ht="15" spans="2:34">
      <c r="B27" s="19" t="s">
        <v>24</v>
      </c>
      <c r="C27" s="20"/>
      <c r="D27" s="19" t="s">
        <v>10</v>
      </c>
      <c r="E27" s="20"/>
      <c r="F27" s="19" t="s">
        <v>25</v>
      </c>
      <c r="G27" s="20"/>
      <c r="H27" s="19" t="s">
        <v>26</v>
      </c>
      <c r="I27" s="20"/>
      <c r="J27" s="19" t="s">
        <v>12</v>
      </c>
      <c r="K27" s="20"/>
      <c r="L27" s="19" t="s">
        <v>27</v>
      </c>
      <c r="M27" s="20"/>
      <c r="O27" s="89"/>
      <c r="P27" s="83"/>
      <c r="Q27" s="92"/>
      <c r="R27" s="90"/>
      <c r="S27" s="90"/>
      <c r="T27" s="90"/>
      <c r="U27" s="92"/>
      <c r="V27" s="96"/>
      <c r="W27" s="90"/>
      <c r="X27" s="90"/>
      <c r="Y27" s="90"/>
      <c r="Z27" s="90"/>
      <c r="AA27" s="90"/>
      <c r="AB27" s="91"/>
      <c r="AC27" s="83"/>
    </row>
    <row r="28" s="1" customFormat="1" ht="15" spans="2:34">
      <c r="B28" s="31" t="s">
        <v>28</v>
      </c>
      <c r="C28" s="32">
        <f>437+587</f>
        <v>1024</v>
      </c>
      <c r="D28" s="31" t="s">
        <v>29</v>
      </c>
      <c r="E28" s="33">
        <f>E25*30%</f>
        <v>0.6</v>
      </c>
      <c r="F28" s="31" t="s">
        <v>30</v>
      </c>
      <c r="G28" s="34">
        <v>0.13</v>
      </c>
      <c r="H28" s="31" t="s">
        <v>30</v>
      </c>
      <c r="I28" s="34">
        <v>1.5</v>
      </c>
      <c r="J28" s="35" t="s">
        <v>31</v>
      </c>
      <c r="K28" s="33">
        <v>0.15</v>
      </c>
      <c r="L28" s="31" t="s">
        <v>32</v>
      </c>
      <c r="M28" s="34">
        <f>8.6%*2</f>
        <v>0.172</v>
      </c>
      <c r="O28" s="89"/>
      <c r="P28" s="83"/>
      <c r="Q28" s="92"/>
      <c r="R28" s="90"/>
      <c r="S28" s="90"/>
      <c r="T28" s="90"/>
      <c r="U28" s="92"/>
      <c r="V28" s="96"/>
      <c r="W28" s="90"/>
      <c r="X28" s="90"/>
      <c r="Y28" s="90"/>
      <c r="Z28" s="90"/>
      <c r="AA28" s="90"/>
      <c r="AB28" s="91"/>
      <c r="AC28" s="83"/>
    </row>
    <row r="29" s="1" customFormat="1" ht="15" spans="2:34">
      <c r="B29" s="31" t="s">
        <v>33</v>
      </c>
      <c r="C29" s="33">
        <f>12%+12%</f>
        <v>0.24</v>
      </c>
      <c r="D29" s="31" t="s">
        <v>34</v>
      </c>
      <c r="E29" s="33"/>
      <c r="F29" s="31" t="s">
        <v>35</v>
      </c>
      <c r="G29" s="34">
        <v>0.243</v>
      </c>
      <c r="H29" s="31" t="s">
        <v>35</v>
      </c>
      <c r="I29" s="34">
        <v>0</v>
      </c>
      <c r="J29" s="37" t="s">
        <v>36</v>
      </c>
      <c r="K29" s="33">
        <v>0.25</v>
      </c>
      <c r="L29" s="31" t="s">
        <v>37</v>
      </c>
      <c r="M29" s="34">
        <f>8.6%*2</f>
        <v>0.172</v>
      </c>
      <c r="O29" s="89"/>
      <c r="P29" s="83"/>
      <c r="Q29" s="91"/>
      <c r="R29" s="90"/>
      <c r="S29" s="90"/>
      <c r="T29" s="90"/>
      <c r="U29" s="92"/>
      <c r="V29" s="91"/>
      <c r="W29" s="90"/>
      <c r="X29" s="90"/>
      <c r="Y29" s="90"/>
      <c r="Z29" s="90"/>
      <c r="AA29" s="90"/>
      <c r="AB29" s="91"/>
      <c r="AC29" s="83"/>
    </row>
    <row r="30" s="1" customFormat="1" ht="15" spans="2:34">
      <c r="B30" s="31" t="s">
        <v>39</v>
      </c>
      <c r="C30" s="33">
        <f>18%+18%+M28+(2-E25)*30%</f>
        <v>0.532</v>
      </c>
      <c r="D30" s="31" t="s">
        <v>40</v>
      </c>
      <c r="E30" s="33"/>
      <c r="F30" s="31" t="s">
        <v>41</v>
      </c>
      <c r="G30" s="34">
        <v>0.2</v>
      </c>
      <c r="H30" s="31" t="s">
        <v>41</v>
      </c>
      <c r="I30" s="34">
        <v>0</v>
      </c>
      <c r="J30" s="37"/>
      <c r="K30" s="34"/>
      <c r="L30" s="31" t="s">
        <v>25</v>
      </c>
      <c r="M30" s="34">
        <f>8.1*5%</f>
        <v>0.405</v>
      </c>
      <c r="O30" s="89"/>
      <c r="P30" s="83"/>
      <c r="Q30" s="91"/>
      <c r="R30" s="90"/>
      <c r="S30" s="90"/>
      <c r="T30" s="90"/>
      <c r="U30" s="92"/>
      <c r="V30" s="91"/>
      <c r="W30" s="90"/>
      <c r="X30" s="90"/>
      <c r="Y30" s="90"/>
      <c r="Z30" s="90"/>
      <c r="AA30" s="90"/>
      <c r="AB30" s="91"/>
      <c r="AC30" s="83"/>
    </row>
    <row r="31" s="1" customFormat="1" ht="15" spans="2:34">
      <c r="B31" s="31" t="s">
        <v>43</v>
      </c>
      <c r="C31" s="38"/>
      <c r="D31" s="31" t="s">
        <v>44</v>
      </c>
      <c r="E31" s="33"/>
      <c r="F31" s="31" t="s">
        <v>39</v>
      </c>
      <c r="G31" s="34">
        <f>M30</f>
        <v>0.405</v>
      </c>
      <c r="H31" s="31" t="s">
        <v>39</v>
      </c>
      <c r="I31" s="34">
        <f>M31+44%</f>
        <v>1.25</v>
      </c>
      <c r="J31" s="37"/>
      <c r="K31" s="34"/>
      <c r="L31" s="31" t="s">
        <v>45</v>
      </c>
      <c r="M31" s="33">
        <f>16.2%*5</f>
        <v>0.81</v>
      </c>
      <c r="O31" s="89"/>
      <c r="P31" s="83"/>
      <c r="Q31" s="91"/>
      <c r="R31" s="90"/>
      <c r="S31" s="90"/>
      <c r="T31" s="90"/>
      <c r="U31" s="90"/>
      <c r="V31" s="91"/>
      <c r="W31" s="90"/>
      <c r="X31" s="90"/>
      <c r="Y31" s="90"/>
      <c r="Z31" s="90"/>
      <c r="AA31" s="90"/>
      <c r="AB31" s="91"/>
      <c r="AC31" s="83"/>
    </row>
    <row r="32" s="1" customFormat="1" ht="15" spans="2:34">
      <c r="B32" s="31" t="s">
        <v>46</v>
      </c>
      <c r="C32" s="38">
        <f>22.5%+25%</f>
        <v>0.475</v>
      </c>
      <c r="D32" s="31" t="s">
        <v>47</v>
      </c>
      <c r="E32" s="39"/>
      <c r="F32" s="31" t="s">
        <v>48</v>
      </c>
      <c r="G32" s="34">
        <v>0</v>
      </c>
      <c r="H32" s="31" t="s">
        <v>48</v>
      </c>
      <c r="I32" s="34">
        <v>0</v>
      </c>
      <c r="J32" s="37"/>
      <c r="K32" s="34"/>
      <c r="L32" s="31"/>
      <c r="M32" s="32"/>
      <c r="O32" s="89"/>
      <c r="P32" s="83"/>
      <c r="Q32" s="91"/>
      <c r="R32" s="90"/>
      <c r="S32" s="90"/>
      <c r="T32" s="90"/>
      <c r="U32" s="92"/>
      <c r="V32" s="92"/>
      <c r="W32" s="90"/>
      <c r="X32" s="90"/>
      <c r="Y32" s="90"/>
      <c r="Z32" s="90"/>
      <c r="AA32" s="90"/>
      <c r="AB32" s="91"/>
      <c r="AC32" s="83"/>
    </row>
    <row r="33" s="1" customFormat="1" ht="15" spans="2:29">
      <c r="B33" s="31" t="s">
        <v>49</v>
      </c>
      <c r="C33" s="32">
        <v>350</v>
      </c>
      <c r="D33" s="31" t="s">
        <v>50</v>
      </c>
      <c r="E33" s="33">
        <v>0.3</v>
      </c>
      <c r="F33" s="31" t="s">
        <v>51</v>
      </c>
      <c r="G33" s="34">
        <v>0</v>
      </c>
      <c r="H33" s="31" t="s">
        <v>51</v>
      </c>
      <c r="I33" s="34">
        <v>0</v>
      </c>
      <c r="J33" s="37"/>
      <c r="K33" s="34"/>
      <c r="L33" s="31"/>
      <c r="M33" s="32"/>
      <c r="O33" s="97"/>
      <c r="P33" s="83"/>
      <c r="Q33" s="98"/>
      <c r="R33" s="99"/>
      <c r="S33" s="99"/>
      <c r="T33" s="99"/>
      <c r="U33" s="98"/>
      <c r="V33" s="100"/>
      <c r="W33" s="99"/>
      <c r="X33" s="99"/>
      <c r="Y33" s="99"/>
      <c r="Z33" s="99"/>
      <c r="AA33" s="99"/>
      <c r="AB33" s="101"/>
      <c r="AC33" s="83"/>
    </row>
    <row r="34" s="1" customFormat="1" spans="2:29">
      <c r="B34" s="40" t="s">
        <v>52</v>
      </c>
      <c r="C34" s="41"/>
      <c r="D34" s="40"/>
      <c r="E34" s="42"/>
      <c r="F34" s="43" t="s">
        <v>53</v>
      </c>
      <c r="G34" s="44">
        <f>MIN(100%,SUM(G28:G33))</f>
        <v>0.978</v>
      </c>
      <c r="H34" s="43" t="s">
        <v>54</v>
      </c>
      <c r="I34" s="44">
        <f>SUM(I28:I33)</f>
        <v>2.75</v>
      </c>
      <c r="J34" s="45"/>
      <c r="K34" s="46"/>
      <c r="L34" s="40"/>
      <c r="M34" s="41"/>
    </row>
    <row r="35" s="1" customFormat="1" ht="15" spans="2:29">
      <c r="F35" s="19" t="s">
        <v>55</v>
      </c>
      <c r="G35" s="49">
        <f>MAX(0,SUM(G28:G33)-1)</f>
        <v>0</v>
      </c>
      <c r="O35" s="60">
        <f t="shared" ref="O35:O37" si="1">$O$38</f>
        <v>1</v>
      </c>
      <c r="P35" s="67" t="s">
        <v>65</v>
      </c>
      <c r="Q35" s="66">
        <v>18.8075</v>
      </c>
      <c r="R35" s="67" t="s">
        <v>66</v>
      </c>
      <c r="S35" s="67">
        <v>10027</v>
      </c>
      <c r="T35" s="66">
        <v>0</v>
      </c>
      <c r="U35" s="66">
        <v>0</v>
      </c>
      <c r="V35" s="69">
        <v>1</v>
      </c>
      <c r="W35" s="70">
        <v>0</v>
      </c>
      <c r="X35" s="69">
        <f t="shared" ref="X35:X38" si="2">$AH$3</f>
        <v>0.488431876606684</v>
      </c>
      <c r="Y35" s="67">
        <f t="shared" ref="Y35:Y38" si="3">$AH$18</f>
        <v>0.8</v>
      </c>
      <c r="Z35" s="71">
        <v>0</v>
      </c>
      <c r="AA35" s="71">
        <v>0</v>
      </c>
      <c r="AB35" s="62">
        <v>0.5</v>
      </c>
      <c r="AC35" s="102">
        <f t="shared" ref="AC35:AC38" si="4">Q35*S35*(1+T35)*(1+U35)*V35*(1+W35)*X35*Y35*(1+Z35)*(1+AA35)*(1+AB35)*O35</f>
        <v>110531.822544987</v>
      </c>
    </row>
    <row r="36" s="1" customFormat="1" ht="15" spans="2:29">
      <c r="G36" s="2"/>
      <c r="O36" s="31">
        <f t="shared" si="1"/>
        <v>1</v>
      </c>
      <c r="P36" s="47" t="s">
        <v>67</v>
      </c>
      <c r="Q36" s="73">
        <v>2.9822</v>
      </c>
      <c r="R36" s="47" t="s">
        <v>66</v>
      </c>
      <c r="S36" s="47">
        <v>10027</v>
      </c>
      <c r="T36" s="73">
        <v>0</v>
      </c>
      <c r="U36" s="73">
        <v>0</v>
      </c>
      <c r="V36" s="75">
        <v>1</v>
      </c>
      <c r="W36" s="103">
        <v>0</v>
      </c>
      <c r="X36" s="75">
        <f t="shared" si="2"/>
        <v>0.488431876606684</v>
      </c>
      <c r="Y36" s="47">
        <f t="shared" si="3"/>
        <v>0.8</v>
      </c>
      <c r="Z36" s="76">
        <v>0</v>
      </c>
      <c r="AA36" s="76">
        <v>0</v>
      </c>
      <c r="AB36" s="33">
        <v>0.5</v>
      </c>
      <c r="AC36" s="102">
        <f t="shared" si="4"/>
        <v>17526.4123989717</v>
      </c>
    </row>
    <row r="37" s="1" customFormat="1" ht="15" spans="2:29">
      <c r="B37" s="104" t="s">
        <v>68</v>
      </c>
      <c r="D37" s="104"/>
      <c r="G37" s="2"/>
      <c r="O37" s="31">
        <f t="shared" si="1"/>
        <v>1</v>
      </c>
      <c r="P37" s="47" t="s">
        <v>69</v>
      </c>
      <c r="Q37" s="73">
        <v>5.9643</v>
      </c>
      <c r="R37" s="47" t="s">
        <v>66</v>
      </c>
      <c r="S37" s="47">
        <v>10027</v>
      </c>
      <c r="T37" s="73">
        <v>0</v>
      </c>
      <c r="U37" s="73">
        <v>0</v>
      </c>
      <c r="V37" s="75">
        <v>1</v>
      </c>
      <c r="W37" s="103">
        <v>0</v>
      </c>
      <c r="X37" s="75">
        <f t="shared" si="2"/>
        <v>0.488431876606684</v>
      </c>
      <c r="Y37" s="47">
        <f t="shared" si="3"/>
        <v>0.8</v>
      </c>
      <c r="Z37" s="76">
        <v>0</v>
      </c>
      <c r="AA37" s="76">
        <v>0</v>
      </c>
      <c r="AB37" s="33">
        <v>0.5</v>
      </c>
      <c r="AC37" s="105">
        <f t="shared" si="4"/>
        <v>35052.2370971722</v>
      </c>
    </row>
    <row r="38" s="1" customFormat="1" ht="15" spans="2:29">
      <c r="B38" s="106"/>
      <c r="C38" s="107" t="s">
        <v>70</v>
      </c>
      <c r="D38" s="107" t="s">
        <v>71</v>
      </c>
      <c r="E38" s="107" t="s">
        <v>72</v>
      </c>
      <c r="F38" s="107" t="s">
        <v>73</v>
      </c>
      <c r="G38" s="2"/>
      <c r="O38" s="19">
        <v>1</v>
      </c>
      <c r="P38" s="108" t="s">
        <v>74</v>
      </c>
      <c r="Q38" s="109">
        <v>16</v>
      </c>
      <c r="R38" s="108" t="s">
        <v>75</v>
      </c>
      <c r="S38" s="108">
        <v>10027</v>
      </c>
      <c r="T38" s="109">
        <v>0</v>
      </c>
      <c r="U38" s="109">
        <v>0</v>
      </c>
      <c r="V38" s="110">
        <v>1</v>
      </c>
      <c r="W38" s="111">
        <v>0</v>
      </c>
      <c r="X38" s="110">
        <f t="shared" si="2"/>
        <v>0.488431876606684</v>
      </c>
      <c r="Y38" s="108">
        <f t="shared" si="3"/>
        <v>0.8</v>
      </c>
      <c r="Z38" s="112">
        <v>0</v>
      </c>
      <c r="AA38" s="112">
        <v>0</v>
      </c>
      <c r="AB38" s="113">
        <v>0.1</v>
      </c>
      <c r="AC38" s="114">
        <f t="shared" si="4"/>
        <v>68956.8904884319</v>
      </c>
    </row>
    <row r="39" s="1" customFormat="1" ht="15" spans="2:29">
      <c r="B39" s="4" t="s">
        <v>3</v>
      </c>
      <c r="C39" s="115">
        <f>SUM(AC3:AC15)</f>
        <v>50361.5133556022</v>
      </c>
      <c r="D39" s="115">
        <f t="shared" ref="D39:D44" si="5">C39/$E$39</f>
        <v>2014.46053422409</v>
      </c>
      <c r="E39" s="116">
        <v>25</v>
      </c>
      <c r="F39" s="117">
        <f t="shared" ref="F39:F44" si="6">C39/$C$45</f>
        <v>0.119703251049144</v>
      </c>
      <c r="G39" s="2"/>
      <c r="Q39" s="2"/>
      <c r="U39" s="2"/>
      <c r="V39" s="3"/>
      <c r="AB39" s="4"/>
      <c r="AC39" s="4"/>
    </row>
    <row r="40" s="1" customFormat="1" ht="15" spans="2:29">
      <c r="B40" s="4" t="s">
        <v>59</v>
      </c>
      <c r="C40" s="115">
        <f>SUM(AC16:AC23)</f>
        <v>50361.5133556022</v>
      </c>
      <c r="D40" s="115">
        <f t="shared" si="5"/>
        <v>2014.46053422409</v>
      </c>
      <c r="E40" s="118"/>
      <c r="F40" s="117">
        <f t="shared" si="6"/>
        <v>0.119703251049144</v>
      </c>
      <c r="G40" s="2"/>
      <c r="N40" s="82" t="s">
        <v>76</v>
      </c>
      <c r="O40" s="84" t="s">
        <v>4</v>
      </c>
      <c r="P40" s="84"/>
      <c r="Q40" s="86"/>
      <c r="R40" s="84"/>
      <c r="S40" s="84"/>
      <c r="T40" s="84"/>
      <c r="U40" s="86"/>
      <c r="V40" s="119"/>
      <c r="W40" s="84"/>
      <c r="X40" s="84"/>
      <c r="Y40" s="84"/>
      <c r="Z40" s="84"/>
      <c r="AA40" s="84"/>
      <c r="AB40" s="85"/>
      <c r="AC40" s="120"/>
    </row>
    <row r="41" s="1" customFormat="1" ht="15" spans="2:29">
      <c r="B41" s="4" t="s">
        <v>64</v>
      </c>
      <c r="C41" s="115">
        <f>SUM(AC24:AC33)</f>
        <v>50361.5133556022</v>
      </c>
      <c r="D41" s="115">
        <f t="shared" si="5"/>
        <v>2014.46053422409</v>
      </c>
      <c r="E41" s="121"/>
      <c r="F41" s="117">
        <f t="shared" si="6"/>
        <v>0.119703251049144</v>
      </c>
      <c r="G41" s="2"/>
      <c r="N41" s="31">
        <v>6</v>
      </c>
      <c r="O41" s="47">
        <v>1</v>
      </c>
      <c r="P41" s="122" t="s">
        <v>77</v>
      </c>
      <c r="Q41" s="123">
        <f>IF(N41&gt;0,(MAX(45%,112.5%+112.5%*(N41-2))),(IF(N41&lt;=0,0)))</f>
        <v>5.625</v>
      </c>
      <c r="R41" s="122" t="s">
        <v>77</v>
      </c>
      <c r="S41" s="124">
        <v>3674.1</v>
      </c>
      <c r="T41" s="125">
        <v>0</v>
      </c>
      <c r="U41" s="125">
        <v>0</v>
      </c>
      <c r="V41" s="126">
        <v>1</v>
      </c>
      <c r="W41" s="127">
        <v>0</v>
      </c>
      <c r="X41" s="126">
        <f t="shared" ref="X41:X44" si="7">$AH$3</f>
        <v>0.488431876606684</v>
      </c>
      <c r="Y41" s="122">
        <f>$AH$13</f>
        <v>0.8</v>
      </c>
      <c r="Z41" s="128">
        <v>0</v>
      </c>
      <c r="AA41" s="128">
        <v>0</v>
      </c>
      <c r="AB41" s="128">
        <v>0</v>
      </c>
      <c r="AC41" s="129">
        <f t="shared" ref="AC41:AC44" si="8">Q41*S41*(1+T41)*(1+U41)*V41*(1+W41)*X41*Y41*(1+Z41)*(1+AA41)*(1+AB41)*O41</f>
        <v>8075.46401028278</v>
      </c>
    </row>
    <row r="42" s="1" customFormat="1" ht="15" spans="2:29">
      <c r="B42" s="4" t="s">
        <v>78</v>
      </c>
      <c r="C42" s="115">
        <f>SUM(AC41:AC44)</f>
        <v>37567.7763948586</v>
      </c>
      <c r="D42" s="115">
        <f t="shared" si="5"/>
        <v>1502.71105579434</v>
      </c>
      <c r="E42" s="121"/>
      <c r="F42" s="117">
        <f t="shared" si="6"/>
        <v>0.0892940793379001</v>
      </c>
      <c r="G42" s="2"/>
      <c r="N42" s="31">
        <v>10</v>
      </c>
      <c r="O42" s="47">
        <v>1</v>
      </c>
      <c r="P42" s="130" t="s">
        <v>79</v>
      </c>
      <c r="Q42" s="131">
        <f>IF(N42=1,0.3,IF(AND(N42&gt;=2,N42&lt;=10),0.3+0.2439*(N42-1),IF(AND(N42&gt;=11),2.4951+0.8317*(N42-10),IF(AND(N42&lt;=0),0,""))))</f>
        <v>2.4951</v>
      </c>
      <c r="R42" s="130" t="s">
        <v>79</v>
      </c>
      <c r="S42" s="132">
        <v>3674.1</v>
      </c>
      <c r="T42" s="133">
        <v>0</v>
      </c>
      <c r="U42" s="133">
        <v>0</v>
      </c>
      <c r="V42" s="134">
        <v>1</v>
      </c>
      <c r="W42" s="135">
        <v>0</v>
      </c>
      <c r="X42" s="134">
        <f t="shared" si="7"/>
        <v>0.488431876606684</v>
      </c>
      <c r="Y42" s="130">
        <f>$AH$11</f>
        <v>0.8</v>
      </c>
      <c r="Z42" s="136">
        <v>0</v>
      </c>
      <c r="AA42" s="136">
        <v>0</v>
      </c>
      <c r="AB42" s="136">
        <v>0</v>
      </c>
      <c r="AC42" s="137">
        <f t="shared" si="8"/>
        <v>3582.0604892545</v>
      </c>
    </row>
    <row r="43" s="1" customFormat="1" ht="15" spans="2:29">
      <c r="B43" s="4" t="s">
        <v>66</v>
      </c>
      <c r="C43" s="115">
        <f>SUM(AC35:AC37)</f>
        <v>163110.472041131</v>
      </c>
      <c r="D43" s="115">
        <f t="shared" si="5"/>
        <v>6524.41888164524</v>
      </c>
      <c r="E43" s="121"/>
      <c r="F43" s="117">
        <f t="shared" si="6"/>
        <v>0.387693944890398</v>
      </c>
      <c r="G43" s="2"/>
      <c r="N43" s="31">
        <v>13</v>
      </c>
      <c r="O43" s="47">
        <v>1</v>
      </c>
      <c r="P43" s="58" t="s">
        <v>80</v>
      </c>
      <c r="Q43" s="138">
        <f>IF(N43=1,24.5%,IF(AND(10&gt;=N43,N43&gt;=2),24.5%+(N43-1)*19.9185%,IF(AND(13&gt;=N43,N43&gt;=11),203.77%+(N43-10)*(271.69%-203.77%),"")))</f>
        <v>4.0753</v>
      </c>
      <c r="R43" s="58" t="s">
        <v>80</v>
      </c>
      <c r="S43" s="139">
        <v>3674.1</v>
      </c>
      <c r="T43" s="140">
        <v>0</v>
      </c>
      <c r="U43" s="140">
        <v>0</v>
      </c>
      <c r="V43" s="141">
        <v>1</v>
      </c>
      <c r="W43" s="142">
        <v>0</v>
      </c>
      <c r="X43" s="141">
        <f t="shared" si="7"/>
        <v>0.488431876606684</v>
      </c>
      <c r="Y43" s="58">
        <f>$AH$15</f>
        <v>0.8</v>
      </c>
      <c r="Z43" s="143">
        <v>0</v>
      </c>
      <c r="AA43" s="143">
        <v>0</v>
      </c>
      <c r="AB43" s="143">
        <v>0</v>
      </c>
      <c r="AC43" s="144">
        <f t="shared" si="8"/>
        <v>5850.65572997429</v>
      </c>
    </row>
    <row r="44" s="1" customFormat="1" ht="15" spans="2:29">
      <c r="B44" s="4" t="s">
        <v>74</v>
      </c>
      <c r="C44" s="115">
        <f>AC38</f>
        <v>68956.8904884319</v>
      </c>
      <c r="D44" s="115">
        <f t="shared" si="5"/>
        <v>2758.27561953727</v>
      </c>
      <c r="E44" s="121"/>
      <c r="F44" s="117">
        <f t="shared" si="6"/>
        <v>0.16390222262427</v>
      </c>
      <c r="G44" s="2"/>
      <c r="N44" s="40">
        <v>13</v>
      </c>
      <c r="O44" s="78">
        <v>1</v>
      </c>
      <c r="P44" s="145" t="s">
        <v>81</v>
      </c>
      <c r="Q44" s="146">
        <f>IF(N44=1,0.84,IF(N44=2,1.5229,IF(N44=3,2.2058,IF(N44=4,2.8888,IF(N44=5,3.5717,IF(N44=6,4.2546,IF(N44=7,4.9375,IF(N44=8,5.6204,IF(N44=9,6.3034,IF(N44=10,6.9863,IF(N44=11,9.315,IF(N44=12,11.6438,IF(N44=13,13.9726,"")))))))))))))</f>
        <v>13.9726</v>
      </c>
      <c r="R44" s="145" t="s">
        <v>81</v>
      </c>
      <c r="S44" s="147">
        <v>3674.1</v>
      </c>
      <c r="T44" s="148">
        <v>0</v>
      </c>
      <c r="U44" s="148">
        <v>0</v>
      </c>
      <c r="V44" s="149">
        <v>1</v>
      </c>
      <c r="W44" s="150">
        <v>0</v>
      </c>
      <c r="X44" s="149">
        <f t="shared" si="7"/>
        <v>0.488431876606684</v>
      </c>
      <c r="Y44" s="145">
        <f>$AH$16</f>
        <v>0.8</v>
      </c>
      <c r="Z44" s="151">
        <v>0</v>
      </c>
      <c r="AA44" s="151">
        <v>0</v>
      </c>
      <c r="AB44" s="151">
        <v>0</v>
      </c>
      <c r="AC44" s="152">
        <f t="shared" si="8"/>
        <v>20059.596165347</v>
      </c>
    </row>
    <row r="45" s="1" customFormat="1" ht="15" spans="2:29">
      <c r="B45" s="4" t="s">
        <v>82</v>
      </c>
      <c r="C45" s="153">
        <f>SUM(C39:C44)</f>
        <v>420719.678991228</v>
      </c>
      <c r="D45" s="153">
        <f>C45/E39</f>
        <v>16828.7871596491</v>
      </c>
      <c r="E45" s="154"/>
      <c r="F45" s="155"/>
      <c r="G45" s="2"/>
      <c r="Q45" s="2"/>
      <c r="U45" s="2"/>
      <c r="V45" s="3"/>
      <c r="AB45" s="4"/>
      <c r="AC45" s="4"/>
    </row>
    <row r="46" s="1" customFormat="1" spans="2:29">
      <c r="B46" s="4"/>
      <c r="C46" s="4"/>
      <c r="D46" s="4"/>
      <c r="G46" s="2"/>
      <c r="Q46" s="2"/>
      <c r="U46" s="2"/>
      <c r="V46" s="3"/>
      <c r="AB46" s="4"/>
      <c r="AC46" s="4"/>
    </row>
    <row r="47" s="1" customFormat="1" spans="2:29">
      <c r="B47" s="4"/>
      <c r="C47" s="4"/>
      <c r="D47" s="4"/>
      <c r="F47" s="4"/>
      <c r="G47" s="2"/>
      <c r="Q47" s="2"/>
      <c r="U47" s="2"/>
      <c r="V47" s="3"/>
      <c r="AB47" s="4"/>
      <c r="AC47" s="4"/>
    </row>
    <row r="48" s="1" customFormat="1" spans="2:29">
      <c r="F48" s="4"/>
      <c r="Q48" s="2"/>
      <c r="U48" s="2"/>
      <c r="V48" s="3"/>
      <c r="AB48" s="4"/>
      <c r="AC48" s="4"/>
    </row>
    <row r="49" s="1" customFormat="1" spans="2:29">
      <c r="G49" s="2"/>
      <c r="Q49" s="2"/>
      <c r="U49" s="2"/>
      <c r="V49" s="3"/>
      <c r="AB49" s="4"/>
      <c r="AC49" s="4"/>
    </row>
    <row r="50" s="1" customFormat="1" spans="2:29">
      <c r="B50" s="4"/>
      <c r="C50" s="4"/>
      <c r="D50" s="4"/>
      <c r="F50" s="4"/>
      <c r="G50" s="2"/>
      <c r="Q50" s="2"/>
      <c r="U50" s="2"/>
      <c r="V50" s="3"/>
      <c r="AB50" s="4"/>
      <c r="AC50" s="4"/>
    </row>
    <row r="51" s="1" customFormat="1" spans="2:29">
      <c r="B51" s="4"/>
      <c r="C51" s="4"/>
      <c r="D51" s="4"/>
      <c r="F51" s="4"/>
      <c r="G51" s="2"/>
      <c r="Q51" s="2"/>
      <c r="U51" s="2"/>
      <c r="V51" s="3"/>
      <c r="AB51" s="4"/>
      <c r="AC51" s="4"/>
    </row>
    <row r="52" s="1" customFormat="1" spans="2:29">
      <c r="G52" s="2"/>
      <c r="Q52" s="2"/>
      <c r="U52" s="2"/>
      <c r="V52" s="3"/>
      <c r="AB52" s="4"/>
      <c r="AC52" s="4"/>
    </row>
    <row r="53" s="1" customFormat="1" spans="2:29">
      <c r="B53" s="4"/>
      <c r="C53" s="4"/>
      <c r="D53" s="4"/>
      <c r="F53" s="4"/>
      <c r="G53" s="2"/>
      <c r="Q53" s="2"/>
      <c r="U53" s="2"/>
      <c r="V53" s="3"/>
      <c r="AB53" s="4"/>
      <c r="AC53" s="4"/>
    </row>
    <row r="54" s="1" customFormat="1" spans="2:29">
      <c r="B54" s="4"/>
      <c r="C54" s="4"/>
      <c r="D54" s="4"/>
      <c r="F54" s="4"/>
      <c r="G54" s="2"/>
      <c r="Q54" s="2"/>
      <c r="U54" s="2"/>
      <c r="V54" s="3"/>
      <c r="AB54" s="4"/>
      <c r="AC54" s="4"/>
    </row>
    <row r="55" s="1" customFormat="1" spans="2:29">
      <c r="G55" s="2"/>
      <c r="Q55" s="2"/>
      <c r="U55" s="2"/>
      <c r="V55" s="3"/>
      <c r="AB55" s="4"/>
      <c r="AC55" s="4"/>
    </row>
    <row r="56" s="1" customFormat="1" spans="2:29">
      <c r="B56" s="4"/>
      <c r="C56" s="4"/>
      <c r="D56" s="4"/>
      <c r="F56" s="4"/>
      <c r="G56" s="2"/>
      <c r="Q56" s="2"/>
      <c r="U56" s="2"/>
      <c r="V56" s="3"/>
      <c r="AB56" s="4"/>
      <c r="AC56" s="4"/>
    </row>
    <row r="57" s="1" customFormat="1" spans="2:29">
      <c r="B57" s="4"/>
      <c r="C57" s="4"/>
      <c r="D57" s="4"/>
      <c r="G57" s="2"/>
      <c r="Q57" s="2"/>
      <c r="U57" s="2"/>
      <c r="V57" s="3"/>
      <c r="AB57" s="4"/>
      <c r="AC57" s="4"/>
    </row>
    <row r="59" s="1" customFormat="1" spans="2:29">
      <c r="B59" s="4"/>
      <c r="C59" s="4"/>
      <c r="D59" s="4"/>
      <c r="G59" s="2"/>
      <c r="Q59" s="2"/>
      <c r="U59" s="2"/>
      <c r="V59" s="3"/>
      <c r="AB59" s="4"/>
      <c r="AC59" s="4"/>
    </row>
  </sheetData>
  <mergeCells count="21">
    <mergeCell ref="B2:M2"/>
    <mergeCell ref="B3:C3"/>
    <mergeCell ref="D3:E3"/>
    <mergeCell ref="F3:G3"/>
    <mergeCell ref="H3:I3"/>
    <mergeCell ref="J3:K3"/>
    <mergeCell ref="L3:M3"/>
    <mergeCell ref="B14:M14"/>
    <mergeCell ref="B15:C15"/>
    <mergeCell ref="D15:E15"/>
    <mergeCell ref="F15:G15"/>
    <mergeCell ref="H15:I15"/>
    <mergeCell ref="J15:K15"/>
    <mergeCell ref="L15:M15"/>
    <mergeCell ref="B26:M26"/>
    <mergeCell ref="B27:C27"/>
    <mergeCell ref="D27:E27"/>
    <mergeCell ref="F27:G27"/>
    <mergeCell ref="H27:I27"/>
    <mergeCell ref="J27:K27"/>
    <mergeCell ref="L27:M2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Roxy</dc:creator>
  <cp:lastModifiedBy>疏星渡</cp:lastModifiedBy>
  <dcterms:created xsi:type="dcterms:W3CDTF">2026-03-12T08:20:21Z</dcterms:created>
  <dcterms:modified xsi:type="dcterms:W3CDTF">2026-03-12T08:20:31Z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D26CE9E1C3CD47D0AA62DE4CB84E5055_11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