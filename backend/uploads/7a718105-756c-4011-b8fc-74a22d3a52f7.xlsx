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260" windowHeight="10470" firstSheet="2" activeTab="4"/>
  </bookViews>
  <sheets>
    <sheet name="统计" sheetId="20" r:id="rId1"/>
    <sheet name="纯裸伤" sheetId="1" r:id="rId2"/>
    <sheet name="半裸伤" sheetId="2" r:id="rId3"/>
    <sheet name="西仇守" sheetId="3" r:id="rId4"/>
    <sheet name="2链" sheetId="4" r:id="rId5"/>
    <sheet name="65" sheetId="8" r:id="rId6"/>
    <sheet name="西琳莫" sheetId="16" r:id="rId7"/>
    <sheet name="西散守" sheetId="18" r:id="rId8"/>
    <sheet name="西坎守" sheetId="1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<sst xmlns="http://schemas.openxmlformats.org/spreadsheetml/2006/main" count="1606" uniqueCount="132">
  <si>
    <t>西格莉卡</t>
  </si>
  <si>
    <t>裸伤</t>
  </si>
  <si>
    <t>差距</t>
  </si>
  <si>
    <t>3声骸</t>
  </si>
  <si>
    <t>6声骸</t>
  </si>
  <si>
    <t>配置</t>
  </si>
  <si>
    <t>西仇守</t>
  </si>
  <si>
    <t>队提升</t>
  </si>
  <si>
    <t>01</t>
  </si>
  <si>
    <t>角色主类型</t>
  </si>
  <si>
    <t>q</t>
  </si>
  <si>
    <t>3C属伤数</t>
  </si>
  <si>
    <t>次数</t>
  </si>
  <si>
    <t>动作</t>
  </si>
  <si>
    <t>倍率</t>
  </si>
  <si>
    <t>类型</t>
  </si>
  <si>
    <t>面板攻击</t>
  </si>
  <si>
    <t>攻击区</t>
  </si>
  <si>
    <t>加成区</t>
  </si>
  <si>
    <t>双爆区</t>
  </si>
  <si>
    <t>加深区</t>
  </si>
  <si>
    <t>防御区</t>
  </si>
  <si>
    <t>抗性区</t>
  </si>
  <si>
    <t>倍率提升</t>
  </si>
  <si>
    <t>易伤区</t>
  </si>
  <si>
    <t>独立乘区</t>
  </si>
  <si>
    <t>伤害</t>
  </si>
  <si>
    <t>计数1</t>
  </si>
  <si>
    <t>计数2</t>
  </si>
  <si>
    <t>无视防御</t>
  </si>
  <si>
    <t>减防</t>
  </si>
  <si>
    <t>怪物等级</t>
  </si>
  <si>
    <t>攻击</t>
  </si>
  <si>
    <t>暴击</t>
  </si>
  <si>
    <t>暴击伤害</t>
  </si>
  <si>
    <t>副词条</t>
  </si>
  <si>
    <t>昭日的语源</t>
  </si>
  <si>
    <t>bz</t>
  </si>
  <si>
    <t>白值</t>
  </si>
  <si>
    <t>3C声骸</t>
  </si>
  <si>
    <t>基础与固有</t>
  </si>
  <si>
    <t>全加深</t>
  </si>
  <si>
    <t>大攻击</t>
  </si>
  <si>
    <t>a234</t>
  </si>
  <si>
    <t>a</t>
  </si>
  <si>
    <t>固有武器</t>
  </si>
  <si>
    <t>套装首位</t>
  </si>
  <si>
    <t>武器</t>
  </si>
  <si>
    <t>主类型加深</t>
  </si>
  <si>
    <t>共鸣效率</t>
  </si>
  <si>
    <t>大嘭嘭</t>
  </si>
  <si>
    <t>主副词条</t>
  </si>
  <si>
    <t>自拐属伤</t>
  </si>
  <si>
    <t>套装</t>
  </si>
  <si>
    <t>符语本源</t>
  </si>
  <si>
    <t xml:space="preserve">自拐攻击 </t>
  </si>
  <si>
    <t>被拐属伤</t>
  </si>
  <si>
    <t>爆伤</t>
  </si>
  <si>
    <t>符语日灵</t>
  </si>
  <si>
    <t>被拐攻击</t>
  </si>
  <si>
    <t>其他属伤</t>
  </si>
  <si>
    <t>共鸣链</t>
  </si>
  <si>
    <t>如那期望般！</t>
  </si>
  <si>
    <t>声骸固定攻击</t>
  </si>
  <si>
    <t>主类型加成</t>
  </si>
  <si>
    <t>队友</t>
  </si>
  <si>
    <t>a1234</t>
  </si>
  <si>
    <t>额外固定攻击</t>
  </si>
  <si>
    <t>面板暴击率</t>
  </si>
  <si>
    <t>面板暴击伤害</t>
  </si>
  <si>
    <t>日灵帮帮忙</t>
  </si>
  <si>
    <t>声骸次数</t>
  </si>
  <si>
    <t>溢出暴击</t>
  </si>
  <si>
    <t>光抗</t>
  </si>
  <si>
    <t>符语爆破</t>
  </si>
  <si>
    <t>暗抗</t>
  </si>
  <si>
    <t>我即语义</t>
  </si>
  <si>
    <t>风抗</t>
  </si>
  <si>
    <t>二号位</t>
  </si>
  <si>
    <t>在这一瞬间</t>
  </si>
  <si>
    <t>yz</t>
  </si>
  <si>
    <t>雷抗</t>
  </si>
  <si>
    <t>冰抗</t>
  </si>
  <si>
    <t>a123</t>
  </si>
  <si>
    <t>火抗</t>
  </si>
  <si>
    <t>共技伤害</t>
  </si>
  <si>
    <t>z</t>
  </si>
  <si>
    <t>物抗</t>
  </si>
  <si>
    <t>三号位</t>
  </si>
  <si>
    <t>琳奈震谐</t>
  </si>
  <si>
    <t>震谐</t>
  </si>
  <si>
    <t>莫宁震谐</t>
  </si>
  <si>
    <t>20抗100级怪</t>
  </si>
  <si>
    <t>爱弥斯震谐</t>
  </si>
  <si>
    <t>总伤</t>
  </si>
  <si>
    <t>dps</t>
  </si>
  <si>
    <t>秒数</t>
  </si>
  <si>
    <t>占比</t>
  </si>
  <si>
    <t>谐度破坏</t>
  </si>
  <si>
    <t>谐破</t>
  </si>
  <si>
    <t>一号位</t>
  </si>
  <si>
    <t>层数</t>
  </si>
  <si>
    <t>风蚀</t>
  </si>
  <si>
    <t>光躁</t>
  </si>
  <si>
    <t>霜渐</t>
  </si>
  <si>
    <t>合计</t>
  </si>
  <si>
    <t>聚爆</t>
  </si>
  <si>
    <t>14词1攻1效</t>
  </si>
  <si>
    <t>32%效率3C</t>
  </si>
  <si>
    <t>仇远</t>
  </si>
  <si>
    <t>攻其必救</t>
  </si>
  <si>
    <t>z伤害</t>
  </si>
  <si>
    <t>a34</t>
  </si>
  <si>
    <t>万钧一断</t>
  </si>
  <si>
    <t>挑灯问剑123</t>
  </si>
  <si>
    <t>穿林打叶</t>
  </si>
  <si>
    <t>z加成</t>
  </si>
  <si>
    <t>q大锤</t>
  </si>
  <si>
    <t>q属伤</t>
  </si>
  <si>
    <t>延奏</t>
  </si>
  <si>
    <t>轻云</t>
  </si>
  <si>
    <t>守岸人</t>
  </si>
  <si>
    <t>琳奈</t>
  </si>
  <si>
    <t>10莫宁</t>
  </si>
  <si>
    <t>西琳莫</t>
  </si>
  <si>
    <t>散华</t>
  </si>
  <si>
    <t>次轮</t>
  </si>
  <si>
    <t>西散守</t>
  </si>
  <si>
    <t>陆散守</t>
  </si>
  <si>
    <t>坎特蕾拉</t>
  </si>
  <si>
    <t xml:space="preserve"> </t>
  </si>
  <si>
    <t>西坎守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</si>
</sst>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 "/>
    <numFmt numFmtId="178" formatCode="0.0000_ "/>
    <numFmt numFmtId="179" formatCode="0.000%"/>
  </numFmts>
  <fonts count="32">
    <font>
      <sz val="11"/>
      <color theme="1"/>
      <name val="宋体"/>
      <charset val="134"/>
      <scheme val="minor"/>
    </font>
    <font>
      <b/>
      <i/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2"/>
      <name val="宋体"/>
      <charset val="134"/>
      <scheme val="minor"/>
    </font>
    <font>
      <b/>
      <i/>
      <sz val="12"/>
      <color theme="5" tint="-0.5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4"/>
      <color theme="9" tint="-0.25"/>
      <name val="宋体"/>
      <charset val="134"/>
      <scheme val="minor"/>
    </font>
    <font>
      <b/>
      <sz val="12"/>
      <color rgb="FFFF0000"/>
      <name val="宋体"/>
      <charset val="134"/>
      <scheme val="minor"/>
    </font>
    <font>
      <b/>
      <sz val="12"/>
      <color theme="9" tint="-0.25"/>
      <name val="宋体"/>
      <charset val="134"/>
      <scheme val="minor"/>
    </font>
    <font>
      <b/>
      <sz val="12"/>
      <color theme="6" tint="-0.5"/>
      <name val="宋体"/>
      <charset val="134"/>
      <scheme val="minor"/>
    </font>
    <font>
      <b/>
      <sz val="11"/>
      <color theme="9" tint="-0.25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6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5" borderId="1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0" borderId="20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6" borderId="21" applyNumberFormat="0" applyAlignment="0" applyProtection="0">
      <alignment vertical="center"/>
    </xf>
    <xf numFmtId="0" fontId="22" fillId="17" borderId="22" applyNumberFormat="0" applyAlignment="0" applyProtection="0">
      <alignment vertical="center"/>
    </xf>
    <xf numFmtId="0" fontId="23" fillId="17" borderId="21" applyNumberFormat="0" applyAlignment="0" applyProtection="0">
      <alignment vertical="center"/>
    </xf>
    <xf numFmtId="0" fontId="24" fillId="18" borderId="23" applyNumberFormat="0" applyAlignment="0" applyProtection="0">
      <alignment vertical="center"/>
    </xf>
    <xf numFmtId="0" fontId="25" fillId="0" borderId="24" applyNumberFormat="0" applyFill="0" applyAlignment="0" applyProtection="0">
      <alignment vertical="center"/>
    </xf>
    <xf numFmtId="0" fontId="26" fillId="0" borderId="25" applyNumberFormat="0" applyFill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0" fillId="45" borderId="0" applyNumberFormat="0" applyBorder="0" applyAlignment="0" applyProtection="0">
      <alignment vertical="center"/>
    </xf>
  </cellStyleXfs>
  <cellXfs count="171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10" fontId="0" fillId="0" borderId="0" xfId="0" applyNumberFormat="1" applyFill="1" applyAlignment="1">
      <alignment horizontal="center" vertical="center"/>
    </xf>
    <xf numFmtId="176" fontId="0" fillId="0" borderId="0" xfId="0" applyNumberFormat="1" applyFill="1" applyAlignment="1">
      <alignment horizontal="center" vertical="center"/>
    </xf>
    <xf numFmtId="177" fontId="0" fillId="0" borderId="0" xfId="0" applyNumberFormat="1" applyFill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10" fontId="2" fillId="0" borderId="5" xfId="0" applyNumberFormat="1" applyFont="1" applyFill="1" applyBorder="1" applyAlignment="1">
      <alignment horizontal="center" vertical="center"/>
    </xf>
    <xf numFmtId="178" fontId="2" fillId="0" borderId="5" xfId="0" applyNumberFormat="1" applyFont="1" applyFill="1" applyBorder="1" applyAlignment="1">
      <alignment horizontal="center" vertical="center"/>
    </xf>
    <xf numFmtId="177" fontId="2" fillId="0" borderId="5" xfId="0" applyNumberFormat="1" applyFont="1" applyFill="1" applyBorder="1" applyAlignment="1">
      <alignment horizontal="center" vertical="center"/>
    </xf>
    <xf numFmtId="177" fontId="2" fillId="0" borderId="6" xfId="0" applyNumberFormat="1" applyFont="1" applyFill="1" applyBorder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178" fontId="0" fillId="6" borderId="0" xfId="0" applyNumberFormat="1" applyFill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177" fontId="4" fillId="6" borderId="10" xfId="0" applyNumberFormat="1" applyFont="1" applyFill="1" applyBorder="1" applyAlignment="1">
      <alignment horizontal="center" vertical="center"/>
    </xf>
    <xf numFmtId="10" fontId="3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177" fontId="3" fillId="0" borderId="0" xfId="0" applyNumberFormat="1" applyFont="1" applyFill="1" applyBorder="1" applyAlignment="1">
      <alignment horizontal="center" vertical="center"/>
    </xf>
    <xf numFmtId="178" fontId="3" fillId="0" borderId="0" xfId="0" applyNumberFormat="1" applyFont="1" applyFill="1" applyBorder="1" applyAlignment="1">
      <alignment horizontal="center" vertic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9" fontId="3" fillId="0" borderId="0" xfId="0" applyNumberFormat="1" applyFont="1" applyFill="1" applyBorder="1" applyAlignment="1">
      <alignment horizontal="center" vertical="center"/>
    </xf>
    <xf numFmtId="177" fontId="4" fillId="6" borderId="11" xfId="0" applyNumberFormat="1" applyFont="1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177" fontId="0" fillId="6" borderId="0" xfId="0" applyNumberFormat="1" applyFill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9" fontId="0" fillId="0" borderId="12" xfId="0" applyNumberFormat="1" applyFill="1" applyBorder="1" applyAlignment="1">
      <alignment horizontal="center" vertical="center"/>
    </xf>
    <xf numFmtId="10" fontId="0" fillId="0" borderId="12" xfId="0" applyNumberFormat="1" applyFill="1" applyBorder="1" applyAlignment="1">
      <alignment horizontal="center" vertical="center"/>
    </xf>
    <xf numFmtId="9" fontId="0" fillId="0" borderId="9" xfId="0" applyNumberFormat="1" applyFill="1" applyBorder="1" applyAlignment="1">
      <alignment horizontal="center" vertical="center"/>
    </xf>
    <xf numFmtId="10" fontId="0" fillId="0" borderId="9" xfId="0" applyNumberFormat="1" applyFill="1" applyBorder="1" applyAlignment="1">
      <alignment horizontal="center" vertical="center"/>
    </xf>
    <xf numFmtId="179" fontId="0" fillId="0" borderId="12" xfId="0" applyNumberFormat="1" applyFill="1" applyBorder="1" applyAlignment="1">
      <alignment horizontal="center" vertical="center"/>
    </xf>
    <xf numFmtId="0" fontId="0" fillId="0" borderId="12" xfId="0" applyNumberFormat="1" applyFont="1" applyFill="1" applyBorder="1" applyAlignment="1" applyProtection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0" fillId="0" borderId="14" xfId="0" applyFill="1" applyBorder="1" applyAlignment="1">
      <alignment horizontal="center" vertical="center"/>
    </xf>
    <xf numFmtId="9" fontId="0" fillId="0" borderId="14" xfId="0" applyNumberFormat="1" applyFill="1" applyBorder="1" applyAlignment="1">
      <alignment horizontal="center" vertical="center"/>
    </xf>
    <xf numFmtId="0" fontId="0" fillId="7" borderId="13" xfId="0" applyFill="1" applyBorder="1" applyAlignment="1">
      <alignment horizontal="center" vertical="center"/>
    </xf>
    <xf numFmtId="10" fontId="0" fillId="7" borderId="14" xfId="0" applyNumberFormat="1" applyFill="1" applyBorder="1" applyAlignment="1">
      <alignment horizontal="center" vertical="center"/>
    </xf>
    <xf numFmtId="10" fontId="0" fillId="0" borderId="13" xfId="0" applyNumberFormat="1" applyFill="1" applyBorder="1" applyAlignment="1">
      <alignment horizontal="center" vertical="center"/>
    </xf>
    <xf numFmtId="10" fontId="0" fillId="0" borderId="14" xfId="0" applyNumberForma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NumberFormat="1" applyFont="1" applyFill="1" applyBorder="1" applyAlignment="1" applyProtection="1">
      <alignment horizontal="center" vertical="center"/>
    </xf>
    <xf numFmtId="10" fontId="0" fillId="0" borderId="8" xfId="0" applyNumberFormat="1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9" fontId="0" fillId="0" borderId="0" xfId="0" applyNumberFormat="1" applyFill="1" applyAlignment="1">
      <alignment horizontal="center" vertical="center"/>
    </xf>
    <xf numFmtId="10" fontId="0" fillId="0" borderId="0" xfId="0" applyNumberFormat="1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0" borderId="15" xfId="0" applyFill="1" applyBorder="1" applyAlignment="1">
      <alignment horizontal="center" vertical="center"/>
    </xf>
    <xf numFmtId="177" fontId="4" fillId="6" borderId="15" xfId="0" applyNumberFormat="1" applyFont="1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9" fontId="0" fillId="0" borderId="3" xfId="0" applyNumberFormat="1" applyFill="1" applyBorder="1" applyAlignment="1">
      <alignment horizontal="center" vertical="center"/>
    </xf>
    <xf numFmtId="10" fontId="0" fillId="0" borderId="3" xfId="0" applyNumberFormat="1" applyFill="1" applyBorder="1" applyAlignment="1">
      <alignment horizontal="center" vertical="center"/>
    </xf>
    <xf numFmtId="9" fontId="0" fillId="0" borderId="1" xfId="0" applyNumberFormat="1" applyFill="1" applyBorder="1" applyAlignment="1">
      <alignment horizontal="center" vertical="center"/>
    </xf>
    <xf numFmtId="177" fontId="2" fillId="11" borderId="11" xfId="0" applyNumberFormat="1" applyFont="1" applyFill="1" applyBorder="1" applyAlignment="1">
      <alignment horizontal="center" vertical="center"/>
    </xf>
    <xf numFmtId="10" fontId="0" fillId="0" borderId="2" xfId="0" applyNumberForma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177" fontId="0" fillId="0" borderId="2" xfId="0" applyNumberFormat="1" applyFill="1" applyBorder="1" applyAlignment="1">
      <alignment horizontal="center" vertical="center"/>
    </xf>
    <xf numFmtId="178" fontId="0" fillId="0" borderId="2" xfId="0" applyNumberFormat="1" applyFill="1" applyBorder="1" applyAlignment="1">
      <alignment horizontal="center" vertical="center"/>
    </xf>
    <xf numFmtId="0" fontId="0" fillId="0" borderId="2" xfId="0" applyNumberFormat="1" applyFont="1" applyFill="1" applyBorder="1" applyAlignment="1" applyProtection="1">
      <alignment horizontal="center" vertical="center"/>
    </xf>
    <xf numFmtId="9" fontId="0" fillId="0" borderId="2" xfId="0" applyNumberFormat="1" applyFill="1" applyBorder="1" applyAlignment="1">
      <alignment horizontal="center" vertical="center"/>
    </xf>
    <xf numFmtId="0" fontId="0" fillId="12" borderId="0" xfId="0" applyFill="1" applyAlignment="1">
      <alignment horizontal="center" vertical="center"/>
    </xf>
    <xf numFmtId="10" fontId="0" fillId="0" borderId="0" xfId="0" applyNumberFormat="1" applyFill="1" applyBorder="1" applyAlignment="1">
      <alignment horizontal="center" vertical="center"/>
    </xf>
    <xf numFmtId="177" fontId="0" fillId="0" borderId="0" xfId="0" applyNumberFormat="1" applyFill="1" applyBorder="1" applyAlignment="1">
      <alignment horizontal="center" vertical="center"/>
    </xf>
    <xf numFmtId="178" fontId="0" fillId="0" borderId="0" xfId="0" applyNumberFormat="1" applyFill="1" applyBorder="1" applyAlignment="1">
      <alignment horizontal="center" vertical="center"/>
    </xf>
    <xf numFmtId="9" fontId="0" fillId="0" borderId="0" xfId="0" applyNumberFormat="1" applyFill="1" applyBorder="1" applyAlignment="1">
      <alignment horizontal="center" vertical="center"/>
    </xf>
    <xf numFmtId="10" fontId="0" fillId="0" borderId="16" xfId="0" applyNumberFormat="1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178" fontId="0" fillId="0" borderId="16" xfId="0" applyNumberFormat="1" applyFill="1" applyBorder="1" applyAlignment="1">
      <alignment horizontal="center" vertical="center"/>
    </xf>
    <xf numFmtId="9" fontId="0" fillId="0" borderId="16" xfId="0" applyNumberFormat="1" applyFill="1" applyBorder="1" applyAlignment="1">
      <alignment horizontal="center" vertical="center"/>
    </xf>
    <xf numFmtId="177" fontId="0" fillId="0" borderId="16" xfId="0" applyNumberForma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177" fontId="2" fillId="13" borderId="11" xfId="0" applyNumberFormat="1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177" fontId="0" fillId="0" borderId="2" xfId="0" applyNumberFormat="1" applyFont="1" applyFill="1" applyBorder="1" applyAlignment="1">
      <alignment horizontal="center" vertical="center"/>
    </xf>
    <xf numFmtId="10" fontId="0" fillId="0" borderId="2" xfId="0" applyNumberFormat="1" applyFont="1" applyFill="1" applyBorder="1" applyAlignment="1">
      <alignment horizontal="center" vertical="center"/>
    </xf>
    <xf numFmtId="178" fontId="0" fillId="0" borderId="2" xfId="0" applyNumberFormat="1" applyFont="1" applyFill="1" applyBorder="1" applyAlignment="1">
      <alignment horizontal="center" vertical="center"/>
    </xf>
    <xf numFmtId="9" fontId="0" fillId="0" borderId="2" xfId="0" applyNumberFormat="1" applyFont="1" applyFill="1" applyBorder="1" applyAlignment="1">
      <alignment horizontal="center" vertical="center"/>
    </xf>
    <xf numFmtId="0" fontId="0" fillId="0" borderId="9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177" fontId="0" fillId="0" borderId="0" xfId="0" applyNumberFormat="1" applyFont="1" applyFill="1" applyBorder="1" applyAlignment="1">
      <alignment horizontal="center" vertical="center"/>
    </xf>
    <xf numFmtId="10" fontId="0" fillId="0" borderId="0" xfId="0" applyNumberFormat="1" applyFont="1" applyFill="1" applyBorder="1" applyAlignment="1">
      <alignment horizontal="center" vertical="center"/>
    </xf>
    <xf numFmtId="178" fontId="0" fillId="0" borderId="0" xfId="0" applyNumberFormat="1" applyFont="1" applyFill="1" applyBorder="1" applyAlignment="1">
      <alignment horizontal="center" vertical="center"/>
    </xf>
    <xf numFmtId="9" fontId="0" fillId="0" borderId="0" xfId="0" applyNumberFormat="1" applyFont="1" applyFill="1" applyBorder="1" applyAlignment="1">
      <alignment horizontal="center" vertical="center"/>
    </xf>
    <xf numFmtId="0" fontId="2" fillId="13" borderId="0" xfId="0" applyFont="1" applyFill="1" applyBorder="1" applyAlignment="1">
      <alignment horizontal="center" vertical="center"/>
    </xf>
    <xf numFmtId="176" fontId="0" fillId="0" borderId="0" xfId="0" applyNumberFormat="1" applyFont="1" applyFill="1" applyBorder="1" applyAlignment="1">
      <alignment horizontal="center" vertical="center"/>
    </xf>
    <xf numFmtId="0" fontId="0" fillId="0" borderId="13" xfId="0" applyFont="1" applyFill="1" applyBorder="1" applyAlignment="1">
      <alignment horizontal="center" vertical="center"/>
    </xf>
    <xf numFmtId="10" fontId="0" fillId="0" borderId="16" xfId="0" applyNumberFormat="1" applyFont="1" applyFill="1" applyBorder="1" applyAlignment="1">
      <alignment horizontal="center" vertical="center"/>
    </xf>
    <xf numFmtId="0" fontId="0" fillId="0" borderId="16" xfId="0" applyFont="1" applyFill="1" applyBorder="1" applyAlignment="1">
      <alignment horizontal="center" vertical="center"/>
    </xf>
    <xf numFmtId="176" fontId="0" fillId="0" borderId="16" xfId="0" applyNumberFormat="1" applyFont="1" applyFill="1" applyBorder="1" applyAlignment="1">
      <alignment horizontal="center" vertical="center"/>
    </xf>
    <xf numFmtId="177" fontId="0" fillId="0" borderId="16" xfId="0" applyNumberFormat="1" applyFont="1" applyFill="1" applyBorder="1" applyAlignment="1">
      <alignment horizontal="center" vertical="center"/>
    </xf>
    <xf numFmtId="177" fontId="2" fillId="8" borderId="11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177" fontId="2" fillId="8" borderId="15" xfId="0" applyNumberFormat="1" applyFont="1" applyFill="1" applyBorder="1" applyAlignment="1">
      <alignment horizontal="center" vertical="center"/>
    </xf>
    <xf numFmtId="0" fontId="6" fillId="12" borderId="0" xfId="0" applyFont="1" applyFill="1" applyAlignment="1">
      <alignment horizontal="center" vertical="center"/>
    </xf>
    <xf numFmtId="0" fontId="0" fillId="12" borderId="0" xfId="0" applyFont="1" applyFill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10" fontId="0" fillId="0" borderId="17" xfId="0" applyNumberFormat="1" applyFill="1" applyBorder="1" applyAlignment="1">
      <alignment horizontal="center" vertical="center"/>
    </xf>
    <xf numFmtId="178" fontId="0" fillId="0" borderId="17" xfId="0" applyNumberFormat="1" applyFill="1" applyBorder="1" applyAlignment="1">
      <alignment horizontal="center" vertical="center"/>
    </xf>
    <xf numFmtId="0" fontId="0" fillId="0" borderId="17" xfId="0" applyNumberFormat="1" applyFont="1" applyFill="1" applyBorder="1" applyAlignment="1" applyProtection="1">
      <alignment horizontal="center" vertical="center"/>
    </xf>
    <xf numFmtId="9" fontId="0" fillId="0" borderId="17" xfId="0" applyNumberFormat="1" applyFill="1" applyBorder="1" applyAlignment="1">
      <alignment horizontal="center" vertical="center"/>
    </xf>
    <xf numFmtId="9" fontId="0" fillId="0" borderId="8" xfId="0" applyNumberFormat="1" applyFill="1" applyBorder="1" applyAlignment="1">
      <alignment horizontal="center" vertical="center"/>
    </xf>
    <xf numFmtId="177" fontId="2" fillId="14" borderId="11" xfId="0" applyNumberFormat="1" applyFont="1" applyFill="1" applyBorder="1" applyAlignment="1">
      <alignment horizontal="center" vertical="center"/>
    </xf>
    <xf numFmtId="177" fontId="7" fillId="0" borderId="0" xfId="0" applyNumberFormat="1" applyFont="1" applyFill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10" fontId="7" fillId="0" borderId="0" xfId="0" applyNumberFormat="1" applyFont="1" applyFill="1" applyBorder="1" applyAlignment="1">
      <alignment horizontal="center" vertical="center"/>
    </xf>
    <xf numFmtId="10" fontId="7" fillId="0" borderId="0" xfId="0" applyNumberFormat="1" applyFont="1" applyFill="1" applyAlignment="1">
      <alignment horizontal="center" vertical="center"/>
    </xf>
    <xf numFmtId="176" fontId="0" fillId="0" borderId="2" xfId="0" applyNumberFormat="1" applyFont="1" applyFill="1" applyBorder="1" applyAlignment="1">
      <alignment horizontal="center" vertical="center"/>
    </xf>
    <xf numFmtId="177" fontId="0" fillId="0" borderId="3" xfId="0" applyNumberFormat="1" applyFont="1" applyFill="1" applyBorder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0" fillId="9" borderId="0" xfId="0" applyFill="1" applyBorder="1" applyAlignment="1">
      <alignment horizontal="center" vertical="center"/>
    </xf>
    <xf numFmtId="10" fontId="0" fillId="9" borderId="0" xfId="0" applyNumberFormat="1" applyFill="1" applyBorder="1" applyAlignment="1">
      <alignment horizontal="center" vertical="center" wrapText="1"/>
    </xf>
    <xf numFmtId="177" fontId="0" fillId="9" borderId="0" xfId="0" applyNumberFormat="1" applyFill="1" applyBorder="1" applyAlignment="1">
      <alignment horizontal="center" vertical="center"/>
    </xf>
    <xf numFmtId="10" fontId="0" fillId="9" borderId="0" xfId="0" applyNumberFormat="1" applyFill="1" applyBorder="1" applyAlignment="1">
      <alignment horizontal="center" vertical="center"/>
    </xf>
    <xf numFmtId="178" fontId="0" fillId="9" borderId="0" xfId="0" applyNumberFormat="1" applyFill="1" applyBorder="1" applyAlignment="1">
      <alignment horizontal="center" vertical="center"/>
    </xf>
    <xf numFmtId="0" fontId="0" fillId="9" borderId="0" xfId="0" applyNumberFormat="1" applyFont="1" applyFill="1" applyBorder="1" applyAlignment="1" applyProtection="1">
      <alignment horizontal="center" vertical="center"/>
    </xf>
    <xf numFmtId="9" fontId="0" fillId="9" borderId="0" xfId="0" applyNumberFormat="1" applyFill="1" applyBorder="1" applyAlignment="1">
      <alignment horizontal="center" vertical="center"/>
    </xf>
    <xf numFmtId="177" fontId="2" fillId="9" borderId="12" xfId="0" applyNumberFormat="1" applyFont="1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10" fontId="0" fillId="3" borderId="0" xfId="0" applyNumberFormat="1" applyFill="1" applyBorder="1" applyAlignment="1">
      <alignment horizontal="center" vertical="center" wrapText="1"/>
    </xf>
    <xf numFmtId="177" fontId="0" fillId="3" borderId="0" xfId="0" applyNumberFormat="1" applyFill="1" applyBorder="1" applyAlignment="1">
      <alignment horizontal="center" vertical="center"/>
    </xf>
    <xf numFmtId="10" fontId="0" fillId="3" borderId="0" xfId="0" applyNumberFormat="1" applyFill="1" applyBorder="1" applyAlignment="1">
      <alignment horizontal="center" vertical="center"/>
    </xf>
    <xf numFmtId="178" fontId="0" fillId="3" borderId="0" xfId="0" applyNumberFormat="1" applyFill="1" applyBorder="1" applyAlignment="1">
      <alignment horizontal="center" vertical="center"/>
    </xf>
    <xf numFmtId="0" fontId="0" fillId="3" borderId="0" xfId="0" applyNumberFormat="1" applyFont="1" applyFill="1" applyBorder="1" applyAlignment="1" applyProtection="1">
      <alignment horizontal="center" vertical="center"/>
    </xf>
    <xf numFmtId="9" fontId="0" fillId="3" borderId="0" xfId="0" applyNumberFormat="1" applyFill="1" applyBorder="1" applyAlignment="1">
      <alignment horizontal="center" vertical="center"/>
    </xf>
    <xf numFmtId="177" fontId="2" fillId="3" borderId="12" xfId="0" applyNumberFormat="1" applyFont="1" applyFill="1" applyBorder="1" applyAlignment="1">
      <alignment horizontal="center" vertical="center"/>
    </xf>
    <xf numFmtId="10" fontId="0" fillId="2" borderId="0" xfId="0" applyNumberFormat="1" applyFill="1" applyBorder="1" applyAlignment="1">
      <alignment horizontal="center" vertical="center" wrapText="1"/>
    </xf>
    <xf numFmtId="177" fontId="0" fillId="2" borderId="0" xfId="0" applyNumberFormat="1" applyFill="1" applyBorder="1" applyAlignment="1">
      <alignment horizontal="center" vertical="center"/>
    </xf>
    <xf numFmtId="10" fontId="0" fillId="2" borderId="0" xfId="0" applyNumberFormat="1" applyFill="1" applyBorder="1" applyAlignment="1">
      <alignment horizontal="center" vertical="center"/>
    </xf>
    <xf numFmtId="178" fontId="0" fillId="2" borderId="0" xfId="0" applyNumberFormat="1" applyFill="1" applyBorder="1" applyAlignment="1">
      <alignment horizontal="center" vertical="center"/>
    </xf>
    <xf numFmtId="0" fontId="0" fillId="2" borderId="0" xfId="0" applyNumberFormat="1" applyFont="1" applyFill="1" applyBorder="1" applyAlignment="1" applyProtection="1">
      <alignment horizontal="center" vertical="center"/>
    </xf>
    <xf numFmtId="9" fontId="0" fillId="2" borderId="0" xfId="0" applyNumberFormat="1" applyFill="1" applyBorder="1" applyAlignment="1">
      <alignment horizontal="center" vertical="center"/>
    </xf>
    <xf numFmtId="177" fontId="2" fillId="2" borderId="12" xfId="0" applyNumberFormat="1" applyFont="1" applyFill="1" applyBorder="1" applyAlignment="1">
      <alignment horizontal="center" vertical="center"/>
    </xf>
    <xf numFmtId="177" fontId="2" fillId="0" borderId="0" xfId="0" applyNumberFormat="1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10" fontId="2" fillId="0" borderId="0" xfId="0" applyNumberFormat="1" applyFont="1" applyFill="1" applyBorder="1" applyAlignment="1">
      <alignment horizontal="center" vertical="center"/>
    </xf>
    <xf numFmtId="0" fontId="0" fillId="12" borderId="16" xfId="0" applyFill="1" applyBorder="1" applyAlignment="1">
      <alignment horizontal="center" vertical="center"/>
    </xf>
    <xf numFmtId="10" fontId="0" fillId="12" borderId="16" xfId="0" applyNumberFormat="1" applyFill="1" applyBorder="1" applyAlignment="1">
      <alignment horizontal="center" vertical="center" wrapText="1"/>
    </xf>
    <xf numFmtId="177" fontId="0" fillId="12" borderId="16" xfId="0" applyNumberFormat="1" applyFill="1" applyBorder="1" applyAlignment="1">
      <alignment horizontal="center" vertical="center"/>
    </xf>
    <xf numFmtId="10" fontId="0" fillId="12" borderId="16" xfId="0" applyNumberFormat="1" applyFill="1" applyBorder="1" applyAlignment="1">
      <alignment horizontal="center" vertical="center"/>
    </xf>
    <xf numFmtId="178" fontId="0" fillId="12" borderId="16" xfId="0" applyNumberFormat="1" applyFill="1" applyBorder="1" applyAlignment="1">
      <alignment horizontal="center" vertical="center"/>
    </xf>
    <xf numFmtId="0" fontId="0" fillId="12" borderId="16" xfId="0" applyNumberFormat="1" applyFont="1" applyFill="1" applyBorder="1" applyAlignment="1" applyProtection="1">
      <alignment horizontal="center" vertical="center"/>
    </xf>
    <xf numFmtId="9" fontId="0" fillId="12" borderId="16" xfId="0" applyNumberFormat="1" applyFill="1" applyBorder="1" applyAlignment="1">
      <alignment horizontal="center" vertical="center"/>
    </xf>
    <xf numFmtId="177" fontId="2" fillId="12" borderId="14" xfId="0" applyNumberFormat="1" applyFont="1" applyFill="1" applyBorder="1" applyAlignment="1">
      <alignment horizontal="center" vertical="center"/>
    </xf>
    <xf numFmtId="0" fontId="0" fillId="11" borderId="0" xfId="0" applyFill="1" applyAlignment="1">
      <alignment horizontal="center" vertical="center"/>
    </xf>
    <xf numFmtId="49" fontId="0" fillId="0" borderId="0" xfId="0" applyNumberForma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10" fontId="2" fillId="0" borderId="0" xfId="0" applyNumberFormat="1" applyFont="1" applyFill="1" applyAlignment="1">
      <alignment horizontal="center" vertical="center"/>
    </xf>
    <xf numFmtId="10" fontId="9" fillId="0" borderId="0" xfId="0" applyNumberFormat="1" applyFont="1" applyFill="1" applyAlignment="1">
      <alignment horizontal="center" vertical="center"/>
    </xf>
    <xf numFmtId="10" fontId="10" fillId="0" borderId="0" xfId="0" applyNumberFormat="1" applyFont="1" applyFill="1" applyAlignment="1">
      <alignment horizontal="center" vertical="center"/>
    </xf>
    <xf numFmtId="10" fontId="11" fillId="0" borderId="0" xfId="0" applyNumberFormat="1" applyFont="1" applyFill="1" applyAlignment="1">
      <alignment horizontal="center" vertical="center"/>
    </xf>
    <xf numFmtId="0" fontId="12" fillId="0" borderId="0" xfId="0" applyFont="1" applyFill="1" applyAlignment="1">
      <alignment horizontal="center" vertical="center"/>
    </xf>
    <xf numFmtId="9" fontId="0" fillId="0" borderId="12" xfId="0" applyNumberFormat="1" applyFont="1" applyFill="1" applyBorder="1" applyAlignment="1" applyProtection="1">
      <alignment horizontal="center" vertical="center"/>
    </xf>
    <xf numFmtId="0" fontId="0" fillId="0" borderId="16" xfId="0" applyNumberFormat="1" applyFont="1" applyFill="1" applyBorder="1" applyAlignment="1" applyProtection="1">
      <alignment horizontal="center" vertical="center"/>
    </xf>
    <xf numFmtId="10" fontId="0" fillId="11" borderId="0" xfId="0" applyNumberFormat="1" applyFill="1" applyAlignment="1">
      <alignment horizontal="center" vertical="center"/>
    </xf>
    <xf numFmtId="0" fontId="0" fillId="0" borderId="0" xfId="0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0" fillId="0" borderId="0" xfId="0" applyNumberFormat="1" applyFont="1" applyFill="1" applyBorder="1" applyAlignment="1" applyProtection="1" quotePrefix="1">
      <alignment horizontal="center" vertical="center"/>
    </xf>
    <xf numFmtId="0" fontId="7" fillId="0" borderId="0" xfId="0" applyFont="1" applyFill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D16"/>
  <sheetViews>
    <sheetView workbookViewId="0">
      <selection activeCell="H4" sqref="H4"/>
    </sheetView>
  </sheetViews>
  <sheetFormatPr defaultColWidth="8.72727272727273" defaultRowHeight="14" outlineLevelCol="3"/>
  <cols>
    <col min="1" max="1" width="9.54545454545454" style="168" customWidth="1"/>
    <col min="2" max="2" width="8.54545454545454" style="168" customWidth="1"/>
    <col min="3" max="3" width="7.54545454545455" style="168" customWidth="1"/>
    <col min="4" max="16384" width="8.72727272727273" style="168"/>
  </cols>
  <sheetData>
    <row r="4" spans="1:4">
      <c r="A4" s="54" t="s">
        <v>0</v>
      </c>
      <c r="B4" s="54" t="s">
        <v>1</v>
      </c>
      <c r="C4" s="54" t="s">
        <v>2</v>
      </c>
    </row>
    <row r="5" spans="1:4">
      <c r="A5" s="168" t="s">
        <v>3</v>
      </c>
      <c r="B5" s="169">
        <v>467351</v>
      </c>
    </row>
    <row r="6" spans="1:4">
      <c r="A6" s="168" t="s">
        <v>4</v>
      </c>
      <c r="B6" s="169">
        <v>712346</v>
      </c>
      <c r="C6" s="170">
        <f>B6/B5-1</f>
        <v>0.524220553716586</v>
      </c>
    </row>
    <row r="8" spans="1:4">
      <c r="B8" s="167" t="s">
        <v>5</v>
      </c>
      <c r="C8" s="156" t="s">
        <v>6</v>
      </c>
      <c r="D8" s="156" t="s">
        <v>7</v>
      </c>
    </row>
    <row r="9" spans="1:4">
      <c r="B9" s="171" t="s">
        <v>8</v>
      </c>
      <c r="C9" s="1">
        <v>90761</v>
      </c>
      <c r="D9" s="1"/>
    </row>
    <row r="10" spans="1:4">
      <c r="B10" s="48">
        <v>11</v>
      </c>
      <c r="C10" s="1">
        <v>95736</v>
      </c>
      <c r="D10" s="2">
        <f t="shared" ref="D10:D16" si="0">C10/C9-1</f>
        <v>0.054814292482454</v>
      </c>
    </row>
    <row r="11" spans="1:4">
      <c r="B11" s="48">
        <v>21</v>
      </c>
      <c r="C11" s="1">
        <v>118411</v>
      </c>
      <c r="D11" s="2">
        <f t="shared" si="0"/>
        <v>0.236849252109969</v>
      </c>
    </row>
    <row r="12" spans="1:4">
      <c r="B12" s="48">
        <v>31</v>
      </c>
      <c r="C12" s="1">
        <v>134933</v>
      </c>
      <c r="D12" s="2">
        <f t="shared" si="0"/>
        <v>0.13953095573891</v>
      </c>
    </row>
    <row r="13" spans="1:4">
      <c r="B13" s="48">
        <v>41</v>
      </c>
      <c r="C13" s="1">
        <v>143642</v>
      </c>
      <c r="D13" s="2">
        <f t="shared" si="0"/>
        <v>0.0645431436342481</v>
      </c>
    </row>
    <row r="14" spans="1:4">
      <c r="B14" s="48">
        <v>51</v>
      </c>
      <c r="C14" s="1">
        <v>147079</v>
      </c>
      <c r="D14" s="2">
        <f t="shared" si="0"/>
        <v>0.0239275420837917</v>
      </c>
    </row>
    <row r="15" spans="1:4">
      <c r="B15" s="48">
        <v>61</v>
      </c>
      <c r="C15" s="1">
        <v>224220</v>
      </c>
      <c r="D15" s="2">
        <f t="shared" si="0"/>
        <v>0.524486840405496</v>
      </c>
    </row>
    <row r="16" spans="1:4">
      <c r="B16" s="48">
        <v>65</v>
      </c>
      <c r="C16" s="1">
        <v>267499</v>
      </c>
      <c r="D16" s="2">
        <f t="shared" si="0"/>
        <v>0.193020247970743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I59"/>
  <sheetViews>
    <sheetView workbookViewId="0">
      <selection activeCell="E1" sqref="E1"/>
    </sheetView>
  </sheetViews>
  <sheetFormatPr defaultColWidth="9.69090909090909" defaultRowHeight="14"/>
  <cols>
    <col min="1" max="1" width="9.69090909090909" style="1"/>
    <col min="2" max="2" width="15.4545454545455" style="1" customWidth="1"/>
    <col min="3" max="3" width="10" style="1" customWidth="1"/>
    <col min="4" max="4" width="11.8181818181818" style="1" customWidth="1"/>
    <col min="5" max="5" width="5.54545454545455" style="1" customWidth="1"/>
    <col min="6" max="6" width="11.8181818181818" style="1" customWidth="1"/>
    <col min="7" max="7" width="7.54545454545455" style="2" customWidth="1"/>
    <col min="8" max="8" width="14" style="1" customWidth="1"/>
    <col min="9" max="9" width="8.54545454545454" style="1" customWidth="1"/>
    <col min="10" max="10" width="11.8181818181818" style="1" customWidth="1"/>
    <col min="11" max="11" width="4.54545454545455" style="1" customWidth="1"/>
    <col min="12" max="12" width="9.54545454545454" style="1" customWidth="1"/>
    <col min="13" max="13" width="7.54545454545455" style="1" customWidth="1"/>
    <col min="14" max="14" width="5.54545454545455" style="1" customWidth="1"/>
    <col min="15" max="15" width="6.27272727272727" style="1" customWidth="1"/>
    <col min="16" max="16" width="21.2727272727273" style="1" customWidth="1"/>
    <col min="17" max="17" width="9.54545454545454" style="2" customWidth="1"/>
    <col min="18" max="18" width="6.27272727272727" style="1" customWidth="1"/>
    <col min="19" max="19" width="11" style="1" customWidth="1"/>
    <col min="20" max="20" width="8.54545454545454" style="1" customWidth="1"/>
    <col min="21" max="21" width="8.54545454545454" style="2" customWidth="1"/>
    <col min="22" max="22" width="8.54545454545454" style="3" customWidth="1"/>
    <col min="23" max="25" width="8.54545454545454" style="1" customWidth="1"/>
    <col min="26" max="26" width="11" style="1" customWidth="1"/>
    <col min="27" max="27" width="8.54545454545454" style="1" customWidth="1"/>
    <col min="28" max="28" width="11" style="4" customWidth="1"/>
    <col min="29" max="29" width="10" style="4" customWidth="1"/>
    <col min="30" max="31" width="7.18181818181818" style="1" customWidth="1"/>
    <col min="32" max="32" width="9.54545454545454" style="1" customWidth="1"/>
    <col min="33" max="33" width="5.54545454545455" style="1" customWidth="1"/>
    <col min="34" max="34" width="8.54545454545454" style="1" customWidth="1"/>
    <col min="35" max="35" width="9.54545454545454" style="1" customWidth="1"/>
    <col min="36" max="16384" width="9.69090909090909" style="1"/>
  </cols>
  <sheetData>
    <row r="1" s="1" customFormat="1" ht="14.75" spans="2:35">
      <c r="B1" s="5" t="s">
        <v>9</v>
      </c>
      <c r="C1" s="5" t="s">
        <v>10</v>
      </c>
      <c r="D1" s="6" t="s">
        <v>11</v>
      </c>
      <c r="E1" s="6">
        <v>1</v>
      </c>
      <c r="Q1" s="2">
        <f>SUM(Q3:Q15)</f>
        <v>59.9057</v>
      </c>
      <c r="U1" s="2"/>
      <c r="V1" s="3"/>
      <c r="AB1" s="4"/>
      <c r="AC1" s="4"/>
    </row>
    <row r="2" s="1" customFormat="1" ht="15.75" spans="2:35">
      <c r="B2" s="7" t="s">
        <v>0</v>
      </c>
      <c r="C2" s="8"/>
      <c r="D2" s="8"/>
      <c r="E2" s="8"/>
      <c r="F2" s="8"/>
      <c r="G2" s="8"/>
      <c r="H2" s="8"/>
      <c r="I2" s="8"/>
      <c r="J2" s="8"/>
      <c r="K2" s="8"/>
      <c r="L2" s="8"/>
      <c r="M2" s="9"/>
      <c r="O2" s="10" t="s">
        <v>12</v>
      </c>
      <c r="P2" s="11" t="s">
        <v>13</v>
      </c>
      <c r="Q2" s="12" t="s">
        <v>14</v>
      </c>
      <c r="R2" s="11" t="s">
        <v>15</v>
      </c>
      <c r="S2" s="11" t="s">
        <v>16</v>
      </c>
      <c r="T2" s="11" t="s">
        <v>17</v>
      </c>
      <c r="U2" s="12" t="s">
        <v>18</v>
      </c>
      <c r="V2" s="13" t="s">
        <v>19</v>
      </c>
      <c r="W2" s="11" t="s">
        <v>20</v>
      </c>
      <c r="X2" s="11" t="s">
        <v>21</v>
      </c>
      <c r="Y2" s="11" t="s">
        <v>22</v>
      </c>
      <c r="Z2" s="11" t="s">
        <v>23</v>
      </c>
      <c r="AA2" s="11" t="s">
        <v>24</v>
      </c>
      <c r="AB2" s="14" t="s">
        <v>25</v>
      </c>
      <c r="AC2" s="15" t="s">
        <v>26</v>
      </c>
      <c r="AD2" s="16" t="s">
        <v>27</v>
      </c>
      <c r="AE2" s="16" t="s">
        <v>28</v>
      </c>
      <c r="AF2" s="17" t="s">
        <v>29</v>
      </c>
      <c r="AG2" s="17" t="s">
        <v>30</v>
      </c>
      <c r="AH2" s="18" t="s">
        <v>21</v>
      </c>
      <c r="AI2" s="18" t="s">
        <v>31</v>
      </c>
    </row>
    <row r="3" s="1" customFormat="1" ht="15" spans="2:35">
      <c r="B3" s="19" t="s">
        <v>32</v>
      </c>
      <c r="C3" s="20"/>
      <c r="D3" s="19" t="s">
        <v>18</v>
      </c>
      <c r="E3" s="20"/>
      <c r="F3" s="19" t="s">
        <v>33</v>
      </c>
      <c r="G3" s="20"/>
      <c r="H3" s="19" t="s">
        <v>34</v>
      </c>
      <c r="I3" s="20"/>
      <c r="J3" s="19" t="s">
        <v>20</v>
      </c>
      <c r="K3" s="20"/>
      <c r="L3" s="19" t="s">
        <v>35</v>
      </c>
      <c r="M3" s="20"/>
      <c r="O3" s="21">
        <v>1</v>
      </c>
      <c r="P3" s="22" t="s">
        <v>36</v>
      </c>
      <c r="Q3" s="23">
        <f>163.42%</f>
        <v>1.6342</v>
      </c>
      <c r="R3" s="24" t="s">
        <v>37</v>
      </c>
      <c r="S3" s="25">
        <f>$C$4*(1+C$5+C$6+C$7+C$8)+C$9</f>
        <v>2164.528</v>
      </c>
      <c r="T3" s="23">
        <f t="shared" ref="T3:T10" si="0">($C$5+$C$6+$C$7+$C$8)+($C$9+$C$10)/$C$4</f>
        <v>1.113796875</v>
      </c>
      <c r="U3" s="23">
        <f t="shared" ref="U3:U10" si="1">IF(R3=$C$1,SUM($E$4:$E$9),SUM($E$4:$E$8))</f>
        <v>0.76</v>
      </c>
      <c r="V3" s="26">
        <f t="shared" ref="V3:V10" si="2">1+$G$10*($I$10-1)</f>
        <v>2.64346</v>
      </c>
      <c r="W3" s="27">
        <f t="shared" ref="W3:W10" si="3">IF(R3=$C$1,$K$4+$K$5,$K$4)</f>
        <v>0</v>
      </c>
      <c r="X3" s="26">
        <f>$AH$4</f>
        <v>0.514765646166351</v>
      </c>
      <c r="Y3" s="24">
        <f t="shared" ref="Y3:Y10" si="4">$AH$11</f>
        <v>0.8</v>
      </c>
      <c r="Z3" s="28">
        <v>0</v>
      </c>
      <c r="AA3" s="28">
        <v>0</v>
      </c>
      <c r="AB3" s="28">
        <v>0</v>
      </c>
      <c r="AC3" s="29">
        <f>Q3*$C$4*(1+T3)*(1+U3)*V3*(1+W3)*X3*Y3*(1+Z3)*(1+AA3)*(1+AB3)*O3</f>
        <v>6777.24784368067</v>
      </c>
      <c r="AD3" s="30">
        <v>10</v>
      </c>
      <c r="AE3" s="30"/>
      <c r="AF3" s="17">
        <v>0</v>
      </c>
      <c r="AG3" s="17">
        <v>0</v>
      </c>
      <c r="AH3" s="18">
        <f t="shared" ref="AH3:AH8" si="5">1520/(1520+(792+8*AI3)*(1-AG3/100))</f>
        <v>0.488431876606684</v>
      </c>
      <c r="AI3" s="31">
        <v>100</v>
      </c>
    </row>
    <row r="4" s="1" customFormat="1" ht="15" spans="2:35">
      <c r="B4" s="32" t="s">
        <v>38</v>
      </c>
      <c r="C4" s="33">
        <f>437+587</f>
        <v>1024</v>
      </c>
      <c r="D4" s="32" t="s">
        <v>39</v>
      </c>
      <c r="E4" s="34">
        <f>E1*30%</f>
        <v>0.3</v>
      </c>
      <c r="F4" s="32" t="s">
        <v>40</v>
      </c>
      <c r="G4" s="35">
        <v>0.13</v>
      </c>
      <c r="H4" s="32" t="s">
        <v>40</v>
      </c>
      <c r="I4" s="35">
        <v>1.5</v>
      </c>
      <c r="J4" s="36" t="s">
        <v>41</v>
      </c>
      <c r="K4" s="34"/>
      <c r="L4" s="32" t="s">
        <v>42</v>
      </c>
      <c r="M4" s="35">
        <f>8.6%*2</f>
        <v>0.172</v>
      </c>
      <c r="O4" s="21">
        <v>1</v>
      </c>
      <c r="P4" s="29" t="s">
        <v>43</v>
      </c>
      <c r="Q4" s="23">
        <f>50.34%*2+33.41%*3+51.7%*4</f>
        <v>4.0771</v>
      </c>
      <c r="R4" s="24" t="s">
        <v>44</v>
      </c>
      <c r="S4" s="25">
        <f>$C$4*(1+C$5+C$6+C$7+C$8)+C$9</f>
        <v>2164.528</v>
      </c>
      <c r="T4" s="23">
        <f t="shared" si="0"/>
        <v>1.113796875</v>
      </c>
      <c r="U4" s="23">
        <f t="shared" si="1"/>
        <v>0.76</v>
      </c>
      <c r="V4" s="26">
        <f t="shared" si="2"/>
        <v>2.64346</v>
      </c>
      <c r="W4" s="27">
        <f t="shared" si="3"/>
        <v>0</v>
      </c>
      <c r="X4" s="26">
        <f t="shared" ref="X4:X15" si="6">$AH$4</f>
        <v>0.514765646166351</v>
      </c>
      <c r="Y4" s="24">
        <f t="shared" si="4"/>
        <v>0.8</v>
      </c>
      <c r="Z4" s="28">
        <v>0</v>
      </c>
      <c r="AA4" s="28">
        <v>0</v>
      </c>
      <c r="AB4" s="28">
        <v>0</v>
      </c>
      <c r="AC4" s="29">
        <f t="shared" ref="AC4:AC15" si="7">Q4*$C$4*(1+T4)*(1+U4)*V4*(1+W4)*X4*Y4*(1+Z4)*(1+AA4)*(1+AB4)*O4</f>
        <v>16908.2836760925</v>
      </c>
      <c r="AD4" s="30">
        <v>10</v>
      </c>
      <c r="AE4" s="30"/>
      <c r="AF4" s="17">
        <v>10</v>
      </c>
      <c r="AG4" s="17"/>
      <c r="AH4" s="18">
        <f>1520/(1520+(792+8*AI4)*(1-AG4/100)*(1-AF4/100))</f>
        <v>0.514765646166351</v>
      </c>
      <c r="AI4" s="31">
        <v>100</v>
      </c>
    </row>
    <row r="5" s="1" customFormat="1" ht="15" spans="2:35">
      <c r="B5" s="32" t="s">
        <v>45</v>
      </c>
      <c r="C5" s="34">
        <f>12%+12%</f>
        <v>0.24</v>
      </c>
      <c r="D5" s="32" t="s">
        <v>46</v>
      </c>
      <c r="E5" s="34">
        <f>12%+25%</f>
        <v>0.37</v>
      </c>
      <c r="F5" s="32" t="s">
        <v>47</v>
      </c>
      <c r="G5" s="35"/>
      <c r="H5" s="32" t="s">
        <v>47</v>
      </c>
      <c r="I5" s="35">
        <v>0.486</v>
      </c>
      <c r="J5" s="37" t="s">
        <v>48</v>
      </c>
      <c r="K5" s="34">
        <v>0.32</v>
      </c>
      <c r="L5" s="32" t="s">
        <v>49</v>
      </c>
      <c r="M5" s="35">
        <f>9.2%*2+32%</f>
        <v>0.504</v>
      </c>
      <c r="O5" s="21">
        <v>1</v>
      </c>
      <c r="P5" s="29" t="s">
        <v>50</v>
      </c>
      <c r="Q5" s="23">
        <f>28.81%*4+172.85%</f>
        <v>2.8809</v>
      </c>
      <c r="R5" s="24" t="s">
        <v>10</v>
      </c>
      <c r="S5" s="25">
        <f>$C$4*(1+C$5+C$6+C$7+C$8)+C$9</f>
        <v>2164.528</v>
      </c>
      <c r="T5" s="23">
        <f t="shared" si="0"/>
        <v>1.113796875</v>
      </c>
      <c r="U5" s="23">
        <f t="shared" si="1"/>
        <v>1.55</v>
      </c>
      <c r="V5" s="26">
        <f t="shared" si="2"/>
        <v>2.64346</v>
      </c>
      <c r="W5" s="27">
        <f t="shared" si="3"/>
        <v>0.32</v>
      </c>
      <c r="X5" s="26">
        <f t="shared" si="6"/>
        <v>0.514765646166351</v>
      </c>
      <c r="Y5" s="24">
        <f t="shared" si="4"/>
        <v>0.8</v>
      </c>
      <c r="Z5" s="28">
        <v>0</v>
      </c>
      <c r="AA5" s="28">
        <v>0</v>
      </c>
      <c r="AB5" s="28">
        <v>0</v>
      </c>
      <c r="AC5" s="29">
        <f t="shared" si="7"/>
        <v>22849.5572517709</v>
      </c>
      <c r="AD5" s="30">
        <v>10</v>
      </c>
      <c r="AE5" s="30"/>
      <c r="AF5" s="17">
        <v>0</v>
      </c>
      <c r="AG5" s="17"/>
      <c r="AH5" s="18">
        <f t="shared" si="5"/>
        <v>0.488431876606684</v>
      </c>
      <c r="AI5" s="31">
        <v>100</v>
      </c>
    </row>
    <row r="6" s="1" customFormat="1" ht="15" spans="2:35">
      <c r="B6" s="32" t="s">
        <v>51</v>
      </c>
      <c r="C6" s="34">
        <f>18%+18%+M4+(1-E1)*30%</f>
        <v>0.532</v>
      </c>
      <c r="D6" s="32" t="s">
        <v>52</v>
      </c>
      <c r="E6" s="34">
        <f>E11*3%</f>
        <v>0.09</v>
      </c>
      <c r="F6" s="32" t="s">
        <v>53</v>
      </c>
      <c r="G6" s="35">
        <v>0.2</v>
      </c>
      <c r="H6" s="32" t="s">
        <v>53</v>
      </c>
      <c r="I6" s="35">
        <v>0</v>
      </c>
      <c r="J6" s="37"/>
      <c r="K6" s="35"/>
      <c r="L6" s="32" t="s">
        <v>33</v>
      </c>
      <c r="M6" s="35">
        <f>8.1*5%</f>
        <v>0.405</v>
      </c>
      <c r="O6" s="21">
        <v>1</v>
      </c>
      <c r="P6" s="29" t="s">
        <v>54</v>
      </c>
      <c r="Q6" s="23">
        <f>132.51%</f>
        <v>1.3251</v>
      </c>
      <c r="R6" s="24" t="s">
        <v>10</v>
      </c>
      <c r="S6" s="25">
        <f>$C$4*(1+C$5+C$6+C$7+C$8)+C$9</f>
        <v>2164.528</v>
      </c>
      <c r="T6" s="23">
        <f t="shared" si="0"/>
        <v>1.113796875</v>
      </c>
      <c r="U6" s="23">
        <f t="shared" si="1"/>
        <v>1.55</v>
      </c>
      <c r="V6" s="26">
        <f t="shared" si="2"/>
        <v>2.64346</v>
      </c>
      <c r="W6" s="27">
        <f t="shared" si="3"/>
        <v>0.32</v>
      </c>
      <c r="X6" s="26">
        <f t="shared" si="6"/>
        <v>0.514765646166351</v>
      </c>
      <c r="Y6" s="24">
        <f t="shared" si="4"/>
        <v>0.8</v>
      </c>
      <c r="Z6" s="28">
        <v>0</v>
      </c>
      <c r="AA6" s="28">
        <v>0</v>
      </c>
      <c r="AB6" s="28">
        <v>0</v>
      </c>
      <c r="AC6" s="29">
        <f t="shared" si="7"/>
        <v>10509.8921567294</v>
      </c>
      <c r="AD6" s="30">
        <v>10</v>
      </c>
      <c r="AE6" s="30"/>
      <c r="AF6" s="17">
        <v>0</v>
      </c>
      <c r="AG6" s="17"/>
      <c r="AH6" s="18">
        <f t="shared" si="5"/>
        <v>0.488431876606684</v>
      </c>
      <c r="AI6" s="31">
        <v>100</v>
      </c>
    </row>
    <row r="7" s="1" customFormat="1" ht="15" spans="2:35">
      <c r="B7" s="32" t="s">
        <v>55</v>
      </c>
      <c r="C7" s="38"/>
      <c r="D7" s="32" t="s">
        <v>56</v>
      </c>
      <c r="E7" s="34"/>
      <c r="F7" s="32" t="s">
        <v>51</v>
      </c>
      <c r="G7" s="35">
        <f>M6</f>
        <v>0.405</v>
      </c>
      <c r="H7" s="32" t="s">
        <v>51</v>
      </c>
      <c r="I7" s="35">
        <f>M7+44%</f>
        <v>1.25</v>
      </c>
      <c r="J7" s="37"/>
      <c r="K7" s="35"/>
      <c r="L7" s="32" t="s">
        <v>57</v>
      </c>
      <c r="M7" s="34">
        <f>16.2%*5</f>
        <v>0.81</v>
      </c>
      <c r="O7" s="21">
        <v>1</v>
      </c>
      <c r="P7" s="29" t="s">
        <v>58</v>
      </c>
      <c r="Q7" s="23">
        <f>39.76%+59.63%*4+119.26%</f>
        <v>3.9754</v>
      </c>
      <c r="R7" s="24" t="s">
        <v>10</v>
      </c>
      <c r="S7" s="25">
        <f t="shared" ref="S7:S15" si="8">$C$4*(1+C$5+C$6+C$7+C$8)+C$9</f>
        <v>2164.528</v>
      </c>
      <c r="T7" s="23">
        <f t="shared" si="0"/>
        <v>1.113796875</v>
      </c>
      <c r="U7" s="23">
        <f t="shared" si="1"/>
        <v>1.55</v>
      </c>
      <c r="V7" s="26">
        <f t="shared" si="2"/>
        <v>2.64346</v>
      </c>
      <c r="W7" s="27">
        <f>IF(R7=$C$1,$K$4+$K$5,$K$4)+0.3</f>
        <v>0.62</v>
      </c>
      <c r="X7" s="26">
        <f t="shared" si="6"/>
        <v>0.514765646166351</v>
      </c>
      <c r="Y7" s="24">
        <f t="shared" si="4"/>
        <v>0.8</v>
      </c>
      <c r="Z7" s="28">
        <v>0.5</v>
      </c>
      <c r="AA7" s="28">
        <v>0</v>
      </c>
      <c r="AB7" s="28">
        <v>0</v>
      </c>
      <c r="AC7" s="29">
        <f t="shared" si="7"/>
        <v>58044.7281451969</v>
      </c>
      <c r="AD7" s="30">
        <v>10</v>
      </c>
      <c r="AE7" s="30"/>
      <c r="AF7" s="17">
        <v>0</v>
      </c>
      <c r="AG7" s="17"/>
      <c r="AH7" s="18">
        <f t="shared" si="5"/>
        <v>0.488431876606684</v>
      </c>
      <c r="AI7" s="31">
        <v>100</v>
      </c>
    </row>
    <row r="8" s="1" customFormat="1" ht="15" spans="2:35">
      <c r="B8" s="32" t="s">
        <v>59</v>
      </c>
      <c r="C8" s="38"/>
      <c r="D8" s="32" t="s">
        <v>60</v>
      </c>
      <c r="E8" s="39"/>
      <c r="F8" s="32" t="s">
        <v>61</v>
      </c>
      <c r="G8" s="35">
        <v>0</v>
      </c>
      <c r="H8" s="32" t="s">
        <v>61</v>
      </c>
      <c r="I8" s="35">
        <v>0</v>
      </c>
      <c r="J8" s="37"/>
      <c r="K8" s="35"/>
      <c r="L8" s="32"/>
      <c r="M8" s="33"/>
      <c r="O8" s="21">
        <v>1</v>
      </c>
      <c r="P8" s="29" t="s">
        <v>62</v>
      </c>
      <c r="Q8" s="23">
        <v>8.6143</v>
      </c>
      <c r="R8" s="24" t="s">
        <v>10</v>
      </c>
      <c r="S8" s="25">
        <f t="shared" si="8"/>
        <v>2164.528</v>
      </c>
      <c r="T8" s="23">
        <f t="shared" si="0"/>
        <v>1.113796875</v>
      </c>
      <c r="U8" s="23">
        <f t="shared" si="1"/>
        <v>1.55</v>
      </c>
      <c r="V8" s="26">
        <f t="shared" si="2"/>
        <v>2.64346</v>
      </c>
      <c r="W8" s="27">
        <f t="shared" si="3"/>
        <v>0.32</v>
      </c>
      <c r="X8" s="26">
        <f t="shared" si="6"/>
        <v>0.514765646166351</v>
      </c>
      <c r="Y8" s="24">
        <f t="shared" si="4"/>
        <v>0.8</v>
      </c>
      <c r="Z8" s="28">
        <v>0</v>
      </c>
      <c r="AA8" s="28">
        <v>0</v>
      </c>
      <c r="AB8" s="28">
        <v>0</v>
      </c>
      <c r="AC8" s="29">
        <f t="shared" si="7"/>
        <v>68323.4201235483</v>
      </c>
      <c r="AD8" s="30">
        <v>10</v>
      </c>
      <c r="AE8" s="30"/>
      <c r="AF8" s="17">
        <v>0</v>
      </c>
      <c r="AG8" s="17"/>
      <c r="AH8" s="18">
        <f t="shared" si="5"/>
        <v>0.488431876606684</v>
      </c>
      <c r="AI8" s="31">
        <v>100</v>
      </c>
    </row>
    <row r="9" s="1" customFormat="1" ht="15" spans="2:35">
      <c r="B9" s="32" t="s">
        <v>63</v>
      </c>
      <c r="C9" s="33">
        <v>350</v>
      </c>
      <c r="D9" s="32" t="s">
        <v>64</v>
      </c>
      <c r="E9" s="34">
        <f>50%+20%+E11*3%</f>
        <v>0.79</v>
      </c>
      <c r="F9" s="32" t="s">
        <v>65</v>
      </c>
      <c r="G9" s="35"/>
      <c r="H9" s="32" t="s">
        <v>65</v>
      </c>
      <c r="I9" s="35"/>
      <c r="J9" s="37"/>
      <c r="K9" s="35"/>
      <c r="L9" s="32"/>
      <c r="M9" s="33"/>
      <c r="O9" s="21">
        <v>1</v>
      </c>
      <c r="P9" s="29" t="s">
        <v>66</v>
      </c>
      <c r="Q9" s="23">
        <f>52.97%+50.34%*2+33.41%*3+51.7%*4</f>
        <v>4.6068</v>
      </c>
      <c r="R9" s="24" t="s">
        <v>44</v>
      </c>
      <c r="S9" s="25">
        <f t="shared" si="8"/>
        <v>2164.528</v>
      </c>
      <c r="T9" s="23">
        <f t="shared" si="0"/>
        <v>1.113796875</v>
      </c>
      <c r="U9" s="23">
        <f t="shared" si="1"/>
        <v>0.76</v>
      </c>
      <c r="V9" s="26">
        <f t="shared" si="2"/>
        <v>2.64346</v>
      </c>
      <c r="W9" s="27">
        <f t="shared" si="3"/>
        <v>0</v>
      </c>
      <c r="X9" s="26">
        <f t="shared" si="6"/>
        <v>0.514765646166351</v>
      </c>
      <c r="Y9" s="24">
        <f t="shared" si="4"/>
        <v>0.8</v>
      </c>
      <c r="Z9" s="28">
        <v>0</v>
      </c>
      <c r="AA9" s="28">
        <v>0</v>
      </c>
      <c r="AB9" s="28">
        <v>0</v>
      </c>
      <c r="AC9" s="29">
        <f t="shared" si="7"/>
        <v>19105.0210294138</v>
      </c>
      <c r="AD9" s="30">
        <v>10</v>
      </c>
      <c r="AE9" s="30"/>
    </row>
    <row r="10" s="1" customFormat="1" ht="15" spans="2:35">
      <c r="B10" s="40" t="s">
        <v>67</v>
      </c>
      <c r="C10" s="41"/>
      <c r="D10" s="40"/>
      <c r="E10" s="42"/>
      <c r="F10" s="43" t="s">
        <v>68</v>
      </c>
      <c r="G10" s="44">
        <f>MIN(100%,SUM(G4:G9))</f>
        <v>0.735</v>
      </c>
      <c r="H10" s="43" t="s">
        <v>69</v>
      </c>
      <c r="I10" s="44">
        <f>SUM(I4:I9)</f>
        <v>3.236</v>
      </c>
      <c r="J10" s="45"/>
      <c r="K10" s="46"/>
      <c r="L10" s="40"/>
      <c r="M10" s="41"/>
      <c r="O10" s="21">
        <v>1</v>
      </c>
      <c r="P10" s="29" t="s">
        <v>70</v>
      </c>
      <c r="Q10" s="23">
        <f>27.83%*3+194.77%</f>
        <v>2.7826</v>
      </c>
      <c r="R10" s="24" t="s">
        <v>10</v>
      </c>
      <c r="S10" s="25">
        <f t="shared" si="8"/>
        <v>2164.528</v>
      </c>
      <c r="T10" s="23">
        <f t="shared" si="0"/>
        <v>1.113796875</v>
      </c>
      <c r="U10" s="23">
        <f t="shared" si="1"/>
        <v>1.55</v>
      </c>
      <c r="V10" s="26">
        <f t="shared" si="2"/>
        <v>2.64346</v>
      </c>
      <c r="W10" s="27">
        <f t="shared" si="3"/>
        <v>0.32</v>
      </c>
      <c r="X10" s="26">
        <f t="shared" si="6"/>
        <v>0.514765646166351</v>
      </c>
      <c r="Y10" s="24">
        <f t="shared" si="4"/>
        <v>0.8</v>
      </c>
      <c r="Z10" s="28">
        <v>0</v>
      </c>
      <c r="AA10" s="28">
        <v>0</v>
      </c>
      <c r="AB10" s="28">
        <v>0</v>
      </c>
      <c r="AC10" s="29">
        <f t="shared" si="7"/>
        <v>22069.9010756284</v>
      </c>
      <c r="AD10" s="30">
        <v>10</v>
      </c>
      <c r="AE10" s="30"/>
    </row>
    <row r="11" s="1" customFormat="1" ht="15" spans="2:35">
      <c r="B11" s="47"/>
      <c r="C11" s="47"/>
      <c r="D11" s="1" t="s">
        <v>71</v>
      </c>
      <c r="E11" s="48">
        <v>3</v>
      </c>
      <c r="F11" s="19" t="s">
        <v>72</v>
      </c>
      <c r="G11" s="49">
        <f>MAX(0,SUM(G4:G9)-1)</f>
        <v>0</v>
      </c>
      <c r="J11" s="2"/>
      <c r="K11" s="2"/>
      <c r="O11" s="21">
        <v>1</v>
      </c>
      <c r="P11" s="29" t="s">
        <v>54</v>
      </c>
      <c r="Q11" s="23">
        <f>132.51%</f>
        <v>1.3251</v>
      </c>
      <c r="R11" s="24" t="s">
        <v>10</v>
      </c>
      <c r="S11" s="25">
        <f t="shared" si="8"/>
        <v>2164.528</v>
      </c>
      <c r="T11" s="23">
        <f t="shared" ref="T11:T15" si="9">($C$5+$C$6+$C$7+$C$8)+($C$9+$C$10)/$C$4</f>
        <v>1.113796875</v>
      </c>
      <c r="U11" s="23">
        <f t="shared" ref="U11:U15" si="10">IF(R11=$C$1,SUM($E$4:$E$9),SUM($E$4:$E$8))</f>
        <v>1.55</v>
      </c>
      <c r="V11" s="26">
        <f t="shared" ref="V11:V15" si="11">1+$G$10*($I$10-1)</f>
        <v>2.64346</v>
      </c>
      <c r="W11" s="27">
        <f>IF(R11=$C$1,$K$4+$K$5,$K$4)+0.3</f>
        <v>0.62</v>
      </c>
      <c r="X11" s="26">
        <f t="shared" si="6"/>
        <v>0.514765646166351</v>
      </c>
      <c r="Y11" s="24">
        <f t="shared" ref="Y11:Y15" si="12">$AH$11</f>
        <v>0.8</v>
      </c>
      <c r="Z11" s="28">
        <v>0</v>
      </c>
      <c r="AA11" s="28">
        <v>0</v>
      </c>
      <c r="AB11" s="28">
        <v>0</v>
      </c>
      <c r="AC11" s="29">
        <f t="shared" si="7"/>
        <v>12898.5040105315</v>
      </c>
      <c r="AD11" s="30">
        <v>10</v>
      </c>
      <c r="AE11" s="30"/>
      <c r="AG11" s="50" t="s">
        <v>73</v>
      </c>
      <c r="AH11" s="50">
        <v>0.8</v>
      </c>
    </row>
    <row r="12" s="1" customFormat="1" ht="15" spans="2:35">
      <c r="B12" s="47"/>
      <c r="C12" s="47"/>
      <c r="E12" s="51"/>
      <c r="G12" s="52"/>
      <c r="J12" s="2"/>
      <c r="K12" s="2"/>
      <c r="O12" s="1">
        <v>1</v>
      </c>
      <c r="P12" s="29" t="s">
        <v>74</v>
      </c>
      <c r="Q12" s="23">
        <f>117.67%+205.92%+264.75%</f>
        <v>5.8834</v>
      </c>
      <c r="R12" s="24" t="s">
        <v>10</v>
      </c>
      <c r="S12" s="25">
        <f t="shared" si="8"/>
        <v>2164.528</v>
      </c>
      <c r="T12" s="23">
        <f t="shared" si="9"/>
        <v>1.113796875</v>
      </c>
      <c r="U12" s="23">
        <f t="shared" si="10"/>
        <v>1.55</v>
      </c>
      <c r="V12" s="26">
        <f t="shared" si="11"/>
        <v>2.64346</v>
      </c>
      <c r="W12" s="27">
        <f>IF(R12=$C$1,$K$4+$K$5,$K$4)+0.3</f>
        <v>0.62</v>
      </c>
      <c r="X12" s="26">
        <f t="shared" si="6"/>
        <v>0.514765646166351</v>
      </c>
      <c r="Y12" s="24">
        <f t="shared" si="12"/>
        <v>0.8</v>
      </c>
      <c r="Z12" s="28">
        <v>0</v>
      </c>
      <c r="AA12" s="28">
        <v>0</v>
      </c>
      <c r="AB12" s="28">
        <v>0</v>
      </c>
      <c r="AC12" s="29">
        <f t="shared" si="7"/>
        <v>57268.9295114037</v>
      </c>
      <c r="AD12" s="30">
        <v>10</v>
      </c>
      <c r="AE12" s="30"/>
      <c r="AG12" s="53" t="s">
        <v>75</v>
      </c>
      <c r="AH12" s="53">
        <v>0.8</v>
      </c>
    </row>
    <row r="13" s="1" customFormat="1" ht="15" spans="2:35">
      <c r="B13" s="5" t="s">
        <v>9</v>
      </c>
      <c r="C13" s="5" t="s">
        <v>44</v>
      </c>
      <c r="D13" s="6" t="s">
        <v>11</v>
      </c>
      <c r="E13" s="6">
        <v>2</v>
      </c>
      <c r="O13" s="21">
        <v>1</v>
      </c>
      <c r="P13" s="29" t="s">
        <v>76</v>
      </c>
      <c r="Q13" s="23">
        <f>302.87%+908.61%</f>
        <v>12.1148</v>
      </c>
      <c r="R13" s="24" t="s">
        <v>10</v>
      </c>
      <c r="S13" s="25">
        <f t="shared" si="8"/>
        <v>2164.528</v>
      </c>
      <c r="T13" s="23">
        <f t="shared" si="9"/>
        <v>1.113796875</v>
      </c>
      <c r="U13" s="23">
        <f t="shared" si="10"/>
        <v>1.55</v>
      </c>
      <c r="V13" s="26">
        <f t="shared" si="11"/>
        <v>2.64346</v>
      </c>
      <c r="W13" s="27">
        <f>IF(R13=$C$1,$K$4+$K$5,$K$4)+0.3</f>
        <v>0.62</v>
      </c>
      <c r="X13" s="26">
        <f t="shared" si="6"/>
        <v>0.514765646166351</v>
      </c>
      <c r="Y13" s="24">
        <f t="shared" si="12"/>
        <v>0.8</v>
      </c>
      <c r="Z13" s="28">
        <v>0</v>
      </c>
      <c r="AA13" s="28">
        <v>0</v>
      </c>
      <c r="AB13" s="28">
        <v>0</v>
      </c>
      <c r="AC13" s="29">
        <f t="shared" si="7"/>
        <v>117925.285930712</v>
      </c>
      <c r="AD13" s="30">
        <v>10</v>
      </c>
      <c r="AE13" s="30"/>
      <c r="AG13" s="54" t="s">
        <v>77</v>
      </c>
      <c r="AH13" s="54">
        <v>0.8</v>
      </c>
    </row>
    <row r="14" s="1" customFormat="1" ht="15" spans="2:35">
      <c r="B14" s="55" t="s">
        <v>78</v>
      </c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O14" s="21">
        <v>1</v>
      </c>
      <c r="P14" s="29" t="s">
        <v>79</v>
      </c>
      <c r="Q14" s="23">
        <v>7.95</v>
      </c>
      <c r="R14" s="24" t="s">
        <v>80</v>
      </c>
      <c r="S14" s="25">
        <f t="shared" si="8"/>
        <v>2164.528</v>
      </c>
      <c r="T14" s="23">
        <f t="shared" si="9"/>
        <v>1.113796875</v>
      </c>
      <c r="U14" s="23">
        <f t="shared" si="10"/>
        <v>0.76</v>
      </c>
      <c r="V14" s="26">
        <f t="shared" si="11"/>
        <v>2.64346</v>
      </c>
      <c r="W14" s="27">
        <f t="shared" ref="W11:W15" si="13">IF(R14=$C$1,$K$4+$K$5,$K$4)</f>
        <v>0</v>
      </c>
      <c r="X14" s="26">
        <f t="shared" si="6"/>
        <v>0.514765646166351</v>
      </c>
      <c r="Y14" s="24">
        <f t="shared" si="12"/>
        <v>0.8</v>
      </c>
      <c r="Z14" s="28">
        <v>0</v>
      </c>
      <c r="AA14" s="28">
        <v>0</v>
      </c>
      <c r="AB14" s="28">
        <v>0</v>
      </c>
      <c r="AC14" s="29">
        <f t="shared" si="7"/>
        <v>32969.7224068421</v>
      </c>
      <c r="AD14" s="30">
        <v>10</v>
      </c>
      <c r="AE14" s="30"/>
      <c r="AG14" s="56" t="s">
        <v>81</v>
      </c>
      <c r="AH14" s="56">
        <v>0.8</v>
      </c>
    </row>
    <row r="15" s="1" customFormat="1" ht="12" customHeight="1" spans="2:35">
      <c r="B15" s="57" t="s">
        <v>32</v>
      </c>
      <c r="C15" s="57"/>
      <c r="D15" s="57" t="s">
        <v>18</v>
      </c>
      <c r="E15" s="57"/>
      <c r="F15" s="57" t="s">
        <v>33</v>
      </c>
      <c r="G15" s="57"/>
      <c r="H15" s="57" t="s">
        <v>34</v>
      </c>
      <c r="I15" s="57"/>
      <c r="J15" s="57" t="s">
        <v>20</v>
      </c>
      <c r="K15" s="57"/>
      <c r="L15" s="57" t="s">
        <v>35</v>
      </c>
      <c r="M15" s="57"/>
      <c r="O15" s="21">
        <v>1</v>
      </c>
      <c r="P15" s="58" t="s">
        <v>10</v>
      </c>
      <c r="Q15" s="23">
        <v>2.736</v>
      </c>
      <c r="R15" s="24" t="s">
        <v>10</v>
      </c>
      <c r="S15" s="25">
        <f t="shared" si="8"/>
        <v>2164.528</v>
      </c>
      <c r="T15" s="23">
        <f t="shared" si="9"/>
        <v>1.113796875</v>
      </c>
      <c r="U15" s="23">
        <f t="shared" si="10"/>
        <v>1.55</v>
      </c>
      <c r="V15" s="26">
        <f t="shared" si="11"/>
        <v>2.64346</v>
      </c>
      <c r="W15" s="27">
        <f t="shared" si="13"/>
        <v>0.32</v>
      </c>
      <c r="X15" s="26">
        <f t="shared" si="6"/>
        <v>0.514765646166351</v>
      </c>
      <c r="Y15" s="24">
        <f t="shared" si="12"/>
        <v>0.8</v>
      </c>
      <c r="Z15" s="28">
        <v>0</v>
      </c>
      <c r="AA15" s="28">
        <v>0</v>
      </c>
      <c r="AB15" s="28">
        <v>0</v>
      </c>
      <c r="AC15" s="29">
        <f t="shared" si="7"/>
        <v>21700.298046043</v>
      </c>
      <c r="AD15" s="30">
        <v>10</v>
      </c>
      <c r="AE15" s="30"/>
      <c r="AG15" s="59" t="s">
        <v>82</v>
      </c>
      <c r="AH15" s="60">
        <v>0.8</v>
      </c>
    </row>
    <row r="16" s="1" customFormat="1" ht="15" spans="2:35">
      <c r="B16" s="61" t="s">
        <v>38</v>
      </c>
      <c r="C16" s="62">
        <f>437+587</f>
        <v>1024</v>
      </c>
      <c r="D16" s="61" t="s">
        <v>39</v>
      </c>
      <c r="E16" s="63">
        <f>E13*30%</f>
        <v>0.6</v>
      </c>
      <c r="F16" s="61" t="s">
        <v>40</v>
      </c>
      <c r="G16" s="64">
        <v>0.13</v>
      </c>
      <c r="H16" s="61" t="s">
        <v>40</v>
      </c>
      <c r="I16" s="64">
        <v>1.5</v>
      </c>
      <c r="J16" s="65" t="s">
        <v>41</v>
      </c>
      <c r="K16" s="63">
        <v>0.15</v>
      </c>
      <c r="L16" s="61" t="s">
        <v>42</v>
      </c>
      <c r="M16" s="64">
        <f>8.6%*2</f>
        <v>0.172</v>
      </c>
      <c r="O16" s="61"/>
      <c r="P16" s="66" t="s">
        <v>83</v>
      </c>
      <c r="Q16" s="67">
        <f>53.45%*2+95.43%+39.23%+26.15%*6</f>
        <v>3.9846</v>
      </c>
      <c r="R16" s="68" t="s">
        <v>44</v>
      </c>
      <c r="S16" s="69">
        <f>$C$16*(1+$C$17+$C$18+$C$19+$C$20)+($C$21+$C$22)</f>
        <v>2650.928</v>
      </c>
      <c r="T16" s="67">
        <f>($C$17+$C$18+$C$19+$C$20)+($C$21+$C$22)/$C$16</f>
        <v>1.588796875</v>
      </c>
      <c r="U16" s="67">
        <f>IF(R16=$C$13,SUM($E$16:$E$21),SUM($E$16:$E$20))</f>
        <v>0.9</v>
      </c>
      <c r="V16" s="70">
        <f>1+$G$22*($I$22-1)</f>
        <v>2.7115</v>
      </c>
      <c r="W16" s="71">
        <f>IF(R16=$C$1,$K$16+$K$17,$K$16)</f>
        <v>0.15</v>
      </c>
      <c r="X16" s="70">
        <f>$AH$3</f>
        <v>0.488431876606684</v>
      </c>
      <c r="Y16" s="68">
        <f>$AH$12</f>
        <v>0.8</v>
      </c>
      <c r="Z16" s="72">
        <v>0</v>
      </c>
      <c r="AA16" s="72">
        <v>0</v>
      </c>
      <c r="AB16" s="72">
        <v>0</v>
      </c>
      <c r="AC16" s="66"/>
      <c r="AG16" s="73" t="s">
        <v>84</v>
      </c>
      <c r="AH16" s="73">
        <v>0.8</v>
      </c>
    </row>
    <row r="17" s="1" customFormat="1" ht="15" spans="2:34">
      <c r="B17" s="32" t="s">
        <v>45</v>
      </c>
      <c r="C17" s="34">
        <f>12%+12%</f>
        <v>0.24</v>
      </c>
      <c r="D17" s="32" t="s">
        <v>46</v>
      </c>
      <c r="E17" s="34"/>
      <c r="F17" s="32" t="s">
        <v>47</v>
      </c>
      <c r="G17" s="35">
        <v>0.243</v>
      </c>
      <c r="H17" s="32" t="s">
        <v>47</v>
      </c>
      <c r="I17" s="35">
        <v>0</v>
      </c>
      <c r="J17" s="37" t="s">
        <v>48</v>
      </c>
      <c r="K17" s="34">
        <v>0.25</v>
      </c>
      <c r="L17" s="32" t="s">
        <v>85</v>
      </c>
      <c r="M17" s="35">
        <f>8.6%*2</f>
        <v>0.172</v>
      </c>
      <c r="O17" s="32"/>
      <c r="P17" s="66" t="s">
        <v>83</v>
      </c>
      <c r="Q17" s="74">
        <f>53.45%*2+95.43%+39.23%+26.15%*6</f>
        <v>3.9846</v>
      </c>
      <c r="R17" s="47" t="s">
        <v>86</v>
      </c>
      <c r="S17" s="75">
        <f>$C$16*(1+$C$17+$C$18+$C$19+$C$20)+($C$21+$C$22)</f>
        <v>2650.928</v>
      </c>
      <c r="T17" s="74">
        <f>($C$17+$C$18+$C$19+$C$20)+($C$21+$C$22)/$C$16</f>
        <v>1.588796875</v>
      </c>
      <c r="U17" s="74">
        <f>IF(R17=$C$13,SUM($E$16:$E$21),SUM($E$16:$E$20))</f>
        <v>0.6</v>
      </c>
      <c r="V17" s="76">
        <f>1+$G$22*($I$22-1)</f>
        <v>2.7115</v>
      </c>
      <c r="W17" s="71">
        <f>IF(R17=$C$1,$K$16+$K$17,$K$16)</f>
        <v>0.15</v>
      </c>
      <c r="X17" s="76">
        <f>$AH$3</f>
        <v>0.488431876606684</v>
      </c>
      <c r="Y17" s="47">
        <f>$AH$12</f>
        <v>0.8</v>
      </c>
      <c r="Z17" s="77">
        <v>0</v>
      </c>
      <c r="AA17" s="77">
        <v>0</v>
      </c>
      <c r="AB17" s="77">
        <v>0</v>
      </c>
      <c r="AC17" s="66"/>
    </row>
    <row r="18" s="1" customFormat="1" ht="15" spans="2:34">
      <c r="B18" s="32" t="s">
        <v>51</v>
      </c>
      <c r="C18" s="34">
        <f>18%+18%+M16+(2-E13)*30%</f>
        <v>0.532</v>
      </c>
      <c r="D18" s="32" t="s">
        <v>52</v>
      </c>
      <c r="E18" s="34"/>
      <c r="F18" s="32" t="s">
        <v>53</v>
      </c>
      <c r="G18" s="35">
        <v>0.2</v>
      </c>
      <c r="H18" s="32" t="s">
        <v>53</v>
      </c>
      <c r="I18" s="35">
        <v>0</v>
      </c>
      <c r="J18" s="37"/>
      <c r="K18" s="35"/>
      <c r="L18" s="32" t="s">
        <v>33</v>
      </c>
      <c r="M18" s="35">
        <f>8.1*5%</f>
        <v>0.405</v>
      </c>
      <c r="O18" s="32"/>
      <c r="P18" s="66"/>
      <c r="Q18" s="74"/>
      <c r="R18" s="47"/>
      <c r="S18" s="47"/>
      <c r="T18" s="47"/>
      <c r="U18" s="74"/>
      <c r="V18" s="76"/>
      <c r="W18" s="77"/>
      <c r="X18" s="47"/>
      <c r="Y18" s="47"/>
      <c r="Z18" s="77"/>
      <c r="AA18" s="77"/>
      <c r="AB18" s="75"/>
      <c r="AC18" s="66"/>
      <c r="AG18" s="1" t="s">
        <v>87</v>
      </c>
      <c r="AH18" s="1">
        <v>0.8</v>
      </c>
    </row>
    <row r="19" s="1" customFormat="1" ht="15" spans="2:34">
      <c r="B19" s="32" t="s">
        <v>55</v>
      </c>
      <c r="C19" s="38"/>
      <c r="D19" s="32" t="s">
        <v>56</v>
      </c>
      <c r="E19" s="34"/>
      <c r="F19" s="32" t="s">
        <v>51</v>
      </c>
      <c r="G19" s="35">
        <f>M18</f>
        <v>0.405</v>
      </c>
      <c r="H19" s="32" t="s">
        <v>51</v>
      </c>
      <c r="I19" s="35">
        <f>M19+44%</f>
        <v>1.25</v>
      </c>
      <c r="J19" s="37"/>
      <c r="K19" s="35"/>
      <c r="L19" s="32" t="s">
        <v>57</v>
      </c>
      <c r="M19" s="34">
        <f>16.2%*5</f>
        <v>0.81</v>
      </c>
      <c r="O19" s="32"/>
      <c r="P19" s="66"/>
      <c r="Q19" s="74"/>
      <c r="R19" s="47"/>
      <c r="S19" s="47"/>
      <c r="T19" s="47"/>
      <c r="U19" s="74"/>
      <c r="V19" s="76"/>
      <c r="W19" s="77"/>
      <c r="X19" s="47"/>
      <c r="Y19" s="47"/>
      <c r="Z19" s="77"/>
      <c r="AA19" s="77"/>
      <c r="AB19" s="75"/>
      <c r="AC19" s="66"/>
    </row>
    <row r="20" s="1" customFormat="1" ht="15" spans="2:34">
      <c r="B20" s="32" t="s">
        <v>59</v>
      </c>
      <c r="C20" s="38">
        <f>22.5%+25%</f>
        <v>0.475</v>
      </c>
      <c r="D20" s="32" t="s">
        <v>60</v>
      </c>
      <c r="E20" s="39"/>
      <c r="F20" s="32" t="s">
        <v>61</v>
      </c>
      <c r="G20" s="35">
        <v>0</v>
      </c>
      <c r="H20" s="32" t="s">
        <v>61</v>
      </c>
      <c r="I20" s="35">
        <v>0</v>
      </c>
      <c r="J20" s="37"/>
      <c r="K20" s="35"/>
      <c r="L20" s="32"/>
      <c r="M20" s="33"/>
      <c r="O20" s="32"/>
      <c r="P20" s="66"/>
      <c r="Q20" s="74"/>
      <c r="R20" s="47"/>
      <c r="S20" s="47"/>
      <c r="T20" s="47"/>
      <c r="U20" s="74"/>
      <c r="V20" s="76"/>
      <c r="W20" s="77"/>
      <c r="X20" s="47"/>
      <c r="Y20" s="47"/>
      <c r="Z20" s="77"/>
      <c r="AA20" s="77"/>
      <c r="AB20" s="75"/>
      <c r="AC20" s="66"/>
    </row>
    <row r="21" s="1" customFormat="1" ht="15" spans="2:34">
      <c r="B21" s="32" t="s">
        <v>63</v>
      </c>
      <c r="C21" s="33">
        <v>350</v>
      </c>
      <c r="D21" s="32" t="s">
        <v>64</v>
      </c>
      <c r="E21" s="34">
        <v>0.3</v>
      </c>
      <c r="F21" s="32" t="s">
        <v>65</v>
      </c>
      <c r="G21" s="35">
        <v>0</v>
      </c>
      <c r="H21" s="32" t="s">
        <v>65</v>
      </c>
      <c r="I21" s="35">
        <v>0</v>
      </c>
      <c r="J21" s="37"/>
      <c r="K21" s="35"/>
      <c r="L21" s="32"/>
      <c r="M21" s="33"/>
      <c r="O21" s="32"/>
      <c r="P21" s="66"/>
      <c r="Q21" s="74"/>
      <c r="R21" s="47"/>
      <c r="S21" s="47"/>
      <c r="T21" s="47"/>
      <c r="U21" s="74"/>
      <c r="V21" s="76"/>
      <c r="W21" s="77"/>
      <c r="X21" s="47"/>
      <c r="Y21" s="47"/>
      <c r="Z21" s="77"/>
      <c r="AA21" s="77"/>
      <c r="AB21" s="75"/>
      <c r="AC21" s="66"/>
    </row>
    <row r="22" s="1" customFormat="1" ht="15" spans="2:34">
      <c r="B22" s="40" t="s">
        <v>67</v>
      </c>
      <c r="C22" s="41"/>
      <c r="D22" s="40"/>
      <c r="E22" s="42"/>
      <c r="F22" s="43" t="s">
        <v>68</v>
      </c>
      <c r="G22" s="44">
        <f>MIN(100%,SUM(G16:G21))</f>
        <v>0.978</v>
      </c>
      <c r="H22" s="43" t="s">
        <v>69</v>
      </c>
      <c r="I22" s="44">
        <f>SUM(I16:I21)</f>
        <v>2.75</v>
      </c>
      <c r="J22" s="45"/>
      <c r="K22" s="46"/>
      <c r="L22" s="40"/>
      <c r="M22" s="41"/>
      <c r="O22" s="32"/>
      <c r="P22" s="66"/>
      <c r="Q22" s="74"/>
      <c r="R22" s="47"/>
      <c r="S22" s="47"/>
      <c r="T22" s="47"/>
      <c r="U22" s="74"/>
      <c r="V22" s="76"/>
      <c r="W22" s="77"/>
      <c r="X22" s="47"/>
      <c r="Y22" s="47"/>
      <c r="Z22" s="77"/>
      <c r="AA22" s="77"/>
      <c r="AB22" s="75"/>
      <c r="AC22" s="66"/>
    </row>
    <row r="23" s="1" customFormat="1" ht="15" spans="2:34">
      <c r="B23" s="47"/>
      <c r="C23" s="47"/>
      <c r="E23" s="51"/>
      <c r="F23" s="19" t="s">
        <v>72</v>
      </c>
      <c r="G23" s="49">
        <f>MAX(0,SUM(G16:G21)-1)</f>
        <v>0</v>
      </c>
      <c r="J23" s="2"/>
      <c r="K23" s="2"/>
      <c r="O23" s="40"/>
      <c r="P23" s="66"/>
      <c r="Q23" s="78"/>
      <c r="R23" s="79"/>
      <c r="S23" s="79"/>
      <c r="T23" s="79"/>
      <c r="U23" s="78"/>
      <c r="V23" s="80"/>
      <c r="W23" s="81"/>
      <c r="X23" s="79"/>
      <c r="Y23" s="79"/>
      <c r="Z23" s="81"/>
      <c r="AA23" s="81"/>
      <c r="AB23" s="82"/>
      <c r="AC23" s="66"/>
    </row>
    <row r="24" s="1" customFormat="1" ht="15" spans="2:34">
      <c r="B24" s="47"/>
      <c r="C24" s="47"/>
      <c r="E24" s="51"/>
      <c r="J24" s="2"/>
      <c r="K24" s="2"/>
      <c r="O24" s="83"/>
      <c r="P24" s="84" t="s">
        <v>83</v>
      </c>
      <c r="Q24" s="85">
        <f>53.45%*2+95.43%+39.23%+26.15%*6</f>
        <v>3.9846</v>
      </c>
      <c r="R24" s="85" t="s">
        <v>44</v>
      </c>
      <c r="S24" s="86">
        <f>$C$28*(1+$C$29+$C$30+$C$31+$C$32)+($C$33+$C$34)</f>
        <v>2650.928</v>
      </c>
      <c r="T24" s="87">
        <f>S24/$C$28-1</f>
        <v>1.588796875</v>
      </c>
      <c r="U24" s="87">
        <f>IF(R24=$C$25,SUM($E$28:$E$33),SUM($E$28:$E$32))</f>
        <v>0.9</v>
      </c>
      <c r="V24" s="88">
        <f>1+$G$34*($I$34-1)</f>
        <v>2.7115</v>
      </c>
      <c r="W24" s="85">
        <f>IF(R24=$C$1,$K$28+$K$29,$K$28)</f>
        <v>0.15</v>
      </c>
      <c r="X24" s="88">
        <f>$AH$3</f>
        <v>0.488431876606684</v>
      </c>
      <c r="Y24" s="85">
        <f>$AH$13</f>
        <v>0.8</v>
      </c>
      <c r="Z24" s="89">
        <v>0</v>
      </c>
      <c r="AA24" s="89">
        <v>0</v>
      </c>
      <c r="AB24" s="89">
        <v>0</v>
      </c>
      <c r="AC24" s="84"/>
    </row>
    <row r="25" s="1" customFormat="1" ht="15" spans="2:34">
      <c r="B25" s="5" t="s">
        <v>9</v>
      </c>
      <c r="C25" s="5" t="s">
        <v>44</v>
      </c>
      <c r="D25" s="6" t="s">
        <v>11</v>
      </c>
      <c r="E25" s="6">
        <v>2</v>
      </c>
      <c r="O25" s="90"/>
      <c r="P25" s="84" t="s">
        <v>83</v>
      </c>
      <c r="Q25" s="91">
        <f>53.45%*2+95.43%+39.23%+26.15%*6</f>
        <v>3.9846</v>
      </c>
      <c r="R25" s="91" t="s">
        <v>86</v>
      </c>
      <c r="S25" s="92">
        <f>$C$28*(1+$C$29+$C$30+$C$31+$C$32)+($C$33+$C$34)</f>
        <v>2650.928</v>
      </c>
      <c r="T25" s="93">
        <f>S25/$C$28-1</f>
        <v>1.588796875</v>
      </c>
      <c r="U25" s="93">
        <f>IF(R25=$C$25,SUM($E$28:$E$33),SUM($E$28:$E$32))</f>
        <v>0.6</v>
      </c>
      <c r="V25" s="94">
        <f>1+$G$34*($I$34-1)</f>
        <v>2.7115</v>
      </c>
      <c r="W25" s="85">
        <f>IF(R25=$C$1,$K$28+$K$29,$K$28)</f>
        <v>0.15</v>
      </c>
      <c r="X25" s="94">
        <f>$AH$3</f>
        <v>0.488431876606684</v>
      </c>
      <c r="Y25" s="91">
        <f>$AH$13</f>
        <v>0.8</v>
      </c>
      <c r="Z25" s="95">
        <v>0</v>
      </c>
      <c r="AA25" s="95">
        <v>0</v>
      </c>
      <c r="AB25" s="95">
        <v>0</v>
      </c>
      <c r="AC25" s="84"/>
    </row>
    <row r="26" s="1" customFormat="1" ht="15" spans="2:34">
      <c r="B26" s="96" t="s">
        <v>88</v>
      </c>
      <c r="C26" s="96"/>
      <c r="D26" s="96"/>
      <c r="E26" s="96"/>
      <c r="F26" s="96"/>
      <c r="G26" s="96"/>
      <c r="H26" s="96"/>
      <c r="I26" s="96"/>
      <c r="J26" s="96"/>
      <c r="K26" s="96"/>
      <c r="L26" s="96"/>
      <c r="M26" s="96"/>
      <c r="O26" s="90"/>
      <c r="P26" s="84"/>
      <c r="Q26" s="91"/>
      <c r="R26" s="91"/>
      <c r="S26" s="91"/>
      <c r="T26" s="91"/>
      <c r="U26" s="93"/>
      <c r="V26" s="97"/>
      <c r="W26" s="91"/>
      <c r="X26" s="91"/>
      <c r="Y26" s="91"/>
      <c r="Z26" s="91"/>
      <c r="AA26" s="91"/>
      <c r="AB26" s="92"/>
      <c r="AC26" s="84"/>
    </row>
    <row r="27" s="1" customFormat="1" ht="15" spans="2:34">
      <c r="B27" s="19" t="s">
        <v>32</v>
      </c>
      <c r="C27" s="20"/>
      <c r="D27" s="19" t="s">
        <v>18</v>
      </c>
      <c r="E27" s="20"/>
      <c r="F27" s="19" t="s">
        <v>33</v>
      </c>
      <c r="G27" s="20"/>
      <c r="H27" s="19" t="s">
        <v>34</v>
      </c>
      <c r="I27" s="20"/>
      <c r="J27" s="19" t="s">
        <v>20</v>
      </c>
      <c r="K27" s="20"/>
      <c r="L27" s="19" t="s">
        <v>35</v>
      </c>
      <c r="M27" s="20"/>
      <c r="O27" s="90"/>
      <c r="P27" s="84"/>
      <c r="Q27" s="93"/>
      <c r="R27" s="91"/>
      <c r="S27" s="91"/>
      <c r="T27" s="91"/>
      <c r="U27" s="93"/>
      <c r="V27" s="97"/>
      <c r="W27" s="91"/>
      <c r="X27" s="91"/>
      <c r="Y27" s="91"/>
      <c r="Z27" s="91"/>
      <c r="AA27" s="91"/>
      <c r="AB27" s="92"/>
      <c r="AC27" s="84"/>
    </row>
    <row r="28" s="1" customFormat="1" ht="15" spans="2:34">
      <c r="B28" s="32" t="s">
        <v>38</v>
      </c>
      <c r="C28" s="33">
        <f>437+587</f>
        <v>1024</v>
      </c>
      <c r="D28" s="32" t="s">
        <v>39</v>
      </c>
      <c r="E28" s="34">
        <f>E25*30%</f>
        <v>0.6</v>
      </c>
      <c r="F28" s="32" t="s">
        <v>40</v>
      </c>
      <c r="G28" s="35">
        <v>0.13</v>
      </c>
      <c r="H28" s="32" t="s">
        <v>40</v>
      </c>
      <c r="I28" s="35">
        <v>1.5</v>
      </c>
      <c r="J28" s="36" t="s">
        <v>41</v>
      </c>
      <c r="K28" s="34">
        <v>0.15</v>
      </c>
      <c r="L28" s="32" t="s">
        <v>42</v>
      </c>
      <c r="M28" s="35">
        <f>8.6%*2</f>
        <v>0.172</v>
      </c>
      <c r="O28" s="90"/>
      <c r="P28" s="84"/>
      <c r="Q28" s="93"/>
      <c r="R28" s="91"/>
      <c r="S28" s="91"/>
      <c r="T28" s="91"/>
      <c r="U28" s="93"/>
      <c r="V28" s="97"/>
      <c r="W28" s="91"/>
      <c r="X28" s="91"/>
      <c r="Y28" s="91"/>
      <c r="Z28" s="91"/>
      <c r="AA28" s="91"/>
      <c r="AB28" s="92"/>
      <c r="AC28" s="84"/>
    </row>
    <row r="29" s="1" customFormat="1" ht="15" spans="2:34">
      <c r="B29" s="32" t="s">
        <v>45</v>
      </c>
      <c r="C29" s="34">
        <f>12%+12%</f>
        <v>0.24</v>
      </c>
      <c r="D29" s="32" t="s">
        <v>46</v>
      </c>
      <c r="E29" s="34"/>
      <c r="F29" s="32" t="s">
        <v>47</v>
      </c>
      <c r="G29" s="35">
        <v>0.243</v>
      </c>
      <c r="H29" s="32" t="s">
        <v>47</v>
      </c>
      <c r="I29" s="35">
        <v>0</v>
      </c>
      <c r="J29" s="37" t="s">
        <v>48</v>
      </c>
      <c r="K29" s="34">
        <v>0.25</v>
      </c>
      <c r="L29" s="32" t="s">
        <v>85</v>
      </c>
      <c r="M29" s="35">
        <f>8.6%*2</f>
        <v>0.172</v>
      </c>
      <c r="O29" s="90"/>
      <c r="P29" s="84"/>
      <c r="Q29" s="92"/>
      <c r="R29" s="91"/>
      <c r="S29" s="91"/>
      <c r="T29" s="91"/>
      <c r="U29" s="93"/>
      <c r="V29" s="92"/>
      <c r="W29" s="91"/>
      <c r="X29" s="91"/>
      <c r="Y29" s="91"/>
      <c r="Z29" s="91"/>
      <c r="AA29" s="91"/>
      <c r="AB29" s="92"/>
      <c r="AC29" s="84"/>
    </row>
    <row r="30" s="1" customFormat="1" ht="15" spans="2:34">
      <c r="B30" s="32" t="s">
        <v>51</v>
      </c>
      <c r="C30" s="34">
        <f>18%+18%+M28+(2-E25)*30%</f>
        <v>0.532</v>
      </c>
      <c r="D30" s="32" t="s">
        <v>52</v>
      </c>
      <c r="E30" s="34"/>
      <c r="F30" s="32" t="s">
        <v>53</v>
      </c>
      <c r="G30" s="35">
        <v>0.2</v>
      </c>
      <c r="H30" s="32" t="s">
        <v>53</v>
      </c>
      <c r="I30" s="35">
        <v>0</v>
      </c>
      <c r="J30" s="37"/>
      <c r="K30" s="35"/>
      <c r="L30" s="32" t="s">
        <v>33</v>
      </c>
      <c r="M30" s="35">
        <f>8.1*5%</f>
        <v>0.405</v>
      </c>
      <c r="O30" s="90"/>
      <c r="P30" s="84"/>
      <c r="Q30" s="92"/>
      <c r="R30" s="91"/>
      <c r="S30" s="91"/>
      <c r="T30" s="91"/>
      <c r="U30" s="93"/>
      <c r="V30" s="92"/>
      <c r="W30" s="91"/>
      <c r="X30" s="91"/>
      <c r="Y30" s="91"/>
      <c r="Z30" s="91"/>
      <c r="AA30" s="91"/>
      <c r="AB30" s="92"/>
      <c r="AC30" s="84"/>
    </row>
    <row r="31" s="1" customFormat="1" ht="15" spans="2:34">
      <c r="B31" s="32" t="s">
        <v>55</v>
      </c>
      <c r="C31" s="38"/>
      <c r="D31" s="32" t="s">
        <v>56</v>
      </c>
      <c r="E31" s="34"/>
      <c r="F31" s="32" t="s">
        <v>51</v>
      </c>
      <c r="G31" s="35">
        <f>M30</f>
        <v>0.405</v>
      </c>
      <c r="H31" s="32" t="s">
        <v>51</v>
      </c>
      <c r="I31" s="35">
        <f>M31+44%</f>
        <v>1.25</v>
      </c>
      <c r="J31" s="37"/>
      <c r="K31" s="35"/>
      <c r="L31" s="32" t="s">
        <v>57</v>
      </c>
      <c r="M31" s="34">
        <f>16.2%*5</f>
        <v>0.81</v>
      </c>
      <c r="O31" s="90"/>
      <c r="P31" s="84"/>
      <c r="Q31" s="92"/>
      <c r="R31" s="91"/>
      <c r="S31" s="91"/>
      <c r="T31" s="91"/>
      <c r="U31" s="91"/>
      <c r="V31" s="92"/>
      <c r="W31" s="91"/>
      <c r="X31" s="91"/>
      <c r="Y31" s="91"/>
      <c r="Z31" s="91"/>
      <c r="AA31" s="91"/>
      <c r="AB31" s="92"/>
      <c r="AC31" s="84"/>
    </row>
    <row r="32" s="1" customFormat="1" ht="15" spans="2:34">
      <c r="B32" s="32" t="s">
        <v>59</v>
      </c>
      <c r="C32" s="38">
        <f>22.5%+25%</f>
        <v>0.475</v>
      </c>
      <c r="D32" s="32" t="s">
        <v>60</v>
      </c>
      <c r="E32" s="39"/>
      <c r="F32" s="32" t="s">
        <v>61</v>
      </c>
      <c r="G32" s="35">
        <v>0</v>
      </c>
      <c r="H32" s="32" t="s">
        <v>61</v>
      </c>
      <c r="I32" s="35">
        <v>0</v>
      </c>
      <c r="J32" s="37"/>
      <c r="K32" s="35"/>
      <c r="L32" s="32"/>
      <c r="M32" s="33"/>
      <c r="O32" s="90"/>
      <c r="P32" s="84"/>
      <c r="Q32" s="92"/>
      <c r="R32" s="91"/>
      <c r="S32" s="91"/>
      <c r="T32" s="91"/>
      <c r="U32" s="93"/>
      <c r="V32" s="93"/>
      <c r="W32" s="91"/>
      <c r="X32" s="91"/>
      <c r="Y32" s="91"/>
      <c r="Z32" s="91"/>
      <c r="AA32" s="91"/>
      <c r="AB32" s="92"/>
      <c r="AC32" s="84"/>
    </row>
    <row r="33" s="1" customFormat="1" ht="15" spans="2:29">
      <c r="B33" s="32" t="s">
        <v>63</v>
      </c>
      <c r="C33" s="33">
        <v>350</v>
      </c>
      <c r="D33" s="32" t="s">
        <v>64</v>
      </c>
      <c r="E33" s="34">
        <v>0.3</v>
      </c>
      <c r="F33" s="32" t="s">
        <v>65</v>
      </c>
      <c r="G33" s="35">
        <v>0</v>
      </c>
      <c r="H33" s="32" t="s">
        <v>65</v>
      </c>
      <c r="I33" s="35">
        <v>0</v>
      </c>
      <c r="J33" s="37"/>
      <c r="K33" s="35"/>
      <c r="L33" s="32"/>
      <c r="M33" s="33"/>
      <c r="O33" s="98"/>
      <c r="P33" s="84"/>
      <c r="Q33" s="99"/>
      <c r="R33" s="100"/>
      <c r="S33" s="100"/>
      <c r="T33" s="100"/>
      <c r="U33" s="99"/>
      <c r="V33" s="101"/>
      <c r="W33" s="100"/>
      <c r="X33" s="100"/>
      <c r="Y33" s="100"/>
      <c r="Z33" s="100"/>
      <c r="AA33" s="100"/>
      <c r="AB33" s="102"/>
      <c r="AC33" s="84"/>
    </row>
    <row r="34" s="1" customFormat="1" spans="2:29">
      <c r="B34" s="40" t="s">
        <v>67</v>
      </c>
      <c r="C34" s="41"/>
      <c r="D34" s="40"/>
      <c r="E34" s="42"/>
      <c r="F34" s="43" t="s">
        <v>68</v>
      </c>
      <c r="G34" s="44">
        <f>MIN(100%,SUM(G28:G33))</f>
        <v>0.978</v>
      </c>
      <c r="H34" s="43" t="s">
        <v>69</v>
      </c>
      <c r="I34" s="44">
        <f>SUM(I28:I33)</f>
        <v>2.75</v>
      </c>
      <c r="J34" s="45"/>
      <c r="K34" s="46"/>
      <c r="L34" s="40"/>
      <c r="M34" s="41"/>
    </row>
    <row r="35" s="1" customFormat="1" ht="15" spans="2:29">
      <c r="F35" s="19" t="s">
        <v>72</v>
      </c>
      <c r="G35" s="49">
        <f>MAX(0,SUM(G28:G33)-1)</f>
        <v>0</v>
      </c>
      <c r="O35" s="61">
        <f t="shared" ref="O35:O37" si="14">$O$38</f>
        <v>0</v>
      </c>
      <c r="P35" s="68" t="s">
        <v>89</v>
      </c>
      <c r="Q35" s="67">
        <v>18.8075</v>
      </c>
      <c r="R35" s="68" t="s">
        <v>90</v>
      </c>
      <c r="S35" s="68">
        <v>10027</v>
      </c>
      <c r="T35" s="67">
        <v>0</v>
      </c>
      <c r="U35" s="67">
        <v>0</v>
      </c>
      <c r="V35" s="70">
        <v>1</v>
      </c>
      <c r="W35" s="71">
        <v>0</v>
      </c>
      <c r="X35" s="70">
        <f t="shared" ref="X35:X38" si="15">$AH$3</f>
        <v>0.488431876606684</v>
      </c>
      <c r="Y35" s="68">
        <f t="shared" ref="Y35:Y38" si="16">$AH$18</f>
        <v>0.8</v>
      </c>
      <c r="Z35" s="72">
        <v>0</v>
      </c>
      <c r="AA35" s="72">
        <v>0</v>
      </c>
      <c r="AB35" s="63">
        <v>0.5</v>
      </c>
      <c r="AC35" s="103">
        <f t="shared" ref="AC35:AC38" si="17">Q35*S35*(1+T35)*(1+U35)*V35*(1+W35)*X35*Y35*(1+Z35)*(1+AA35)*(1+AB35)*O35</f>
        <v>0</v>
      </c>
    </row>
    <row r="36" s="1" customFormat="1" ht="15" spans="2:29">
      <c r="G36" s="2"/>
      <c r="O36" s="32">
        <f t="shared" si="14"/>
        <v>0</v>
      </c>
      <c r="P36" s="47" t="s">
        <v>91</v>
      </c>
      <c r="Q36" s="74">
        <v>2.9822</v>
      </c>
      <c r="R36" s="47" t="s">
        <v>90</v>
      </c>
      <c r="S36" s="47">
        <v>10027</v>
      </c>
      <c r="T36" s="74">
        <v>0</v>
      </c>
      <c r="U36" s="74">
        <v>0</v>
      </c>
      <c r="V36" s="76">
        <v>1</v>
      </c>
      <c r="W36" s="48">
        <v>0</v>
      </c>
      <c r="X36" s="76">
        <f t="shared" si="15"/>
        <v>0.488431876606684</v>
      </c>
      <c r="Y36" s="47">
        <f t="shared" si="16"/>
        <v>0.8</v>
      </c>
      <c r="Z36" s="77">
        <v>0</v>
      </c>
      <c r="AA36" s="77">
        <v>0</v>
      </c>
      <c r="AB36" s="34">
        <v>0.5</v>
      </c>
      <c r="AC36" s="103">
        <f t="shared" si="17"/>
        <v>0</v>
      </c>
    </row>
    <row r="37" s="1" customFormat="1" ht="15" spans="2:29">
      <c r="B37" s="104" t="s">
        <v>92</v>
      </c>
      <c r="D37" s="104"/>
      <c r="G37" s="2"/>
      <c r="O37" s="32">
        <f t="shared" si="14"/>
        <v>0</v>
      </c>
      <c r="P37" s="47" t="s">
        <v>93</v>
      </c>
      <c r="Q37" s="74">
        <v>5.9643</v>
      </c>
      <c r="R37" s="47" t="s">
        <v>90</v>
      </c>
      <c r="S37" s="47">
        <v>10027</v>
      </c>
      <c r="T37" s="74">
        <v>0</v>
      </c>
      <c r="U37" s="74">
        <v>0</v>
      </c>
      <c r="V37" s="76">
        <v>1</v>
      </c>
      <c r="W37" s="48">
        <v>0</v>
      </c>
      <c r="X37" s="76">
        <f t="shared" si="15"/>
        <v>0.488431876606684</v>
      </c>
      <c r="Y37" s="47">
        <f t="shared" si="16"/>
        <v>0.8</v>
      </c>
      <c r="Z37" s="77">
        <v>0</v>
      </c>
      <c r="AA37" s="77">
        <v>0</v>
      </c>
      <c r="AB37" s="34">
        <v>0.5</v>
      </c>
      <c r="AC37" s="105">
        <f t="shared" si="17"/>
        <v>0</v>
      </c>
    </row>
    <row r="38" s="1" customFormat="1" ht="15" spans="2:29">
      <c r="B38" s="106"/>
      <c r="C38" s="107" t="s">
        <v>94</v>
      </c>
      <c r="D38" s="107" t="s">
        <v>95</v>
      </c>
      <c r="E38" s="107" t="s">
        <v>96</v>
      </c>
      <c r="F38" s="107" t="s">
        <v>97</v>
      </c>
      <c r="G38" s="2"/>
      <c r="O38" s="19"/>
      <c r="P38" s="108" t="s">
        <v>98</v>
      </c>
      <c r="Q38" s="109">
        <v>16</v>
      </c>
      <c r="R38" s="108" t="s">
        <v>99</v>
      </c>
      <c r="S38" s="108">
        <v>10027</v>
      </c>
      <c r="T38" s="109">
        <v>0</v>
      </c>
      <c r="U38" s="109">
        <v>0</v>
      </c>
      <c r="V38" s="110">
        <v>1</v>
      </c>
      <c r="W38" s="111">
        <v>0</v>
      </c>
      <c r="X38" s="110">
        <f t="shared" si="15"/>
        <v>0.488431876606684</v>
      </c>
      <c r="Y38" s="108">
        <f t="shared" si="16"/>
        <v>0.8</v>
      </c>
      <c r="Z38" s="112">
        <v>0</v>
      </c>
      <c r="AA38" s="112">
        <v>0</v>
      </c>
      <c r="AB38" s="113">
        <v>0.1</v>
      </c>
      <c r="AC38" s="114">
        <f t="shared" si="17"/>
        <v>0</v>
      </c>
    </row>
    <row r="39" s="1" customFormat="1" ht="15" spans="2:29">
      <c r="B39" s="4" t="s">
        <v>100</v>
      </c>
      <c r="C39" s="115">
        <f>SUM(AC3:AC15)</f>
        <v>467350.791207594</v>
      </c>
      <c r="D39" s="115">
        <f>C39/$E$39</f>
        <v>18694.0316483037</v>
      </c>
      <c r="E39" s="116">
        <v>25</v>
      </c>
      <c r="F39" s="117">
        <f>C39/$C$44</f>
        <v>1</v>
      </c>
      <c r="G39" s="2"/>
      <c r="Q39" s="2"/>
      <c r="U39" s="2"/>
      <c r="V39" s="3"/>
      <c r="AB39" s="4"/>
      <c r="AC39" s="4"/>
    </row>
    <row r="40" s="1" customFormat="1" ht="15" spans="2:29">
      <c r="B40" s="4" t="s">
        <v>78</v>
      </c>
      <c r="C40" s="115">
        <f>SUM(AC16:AC23)</f>
        <v>0</v>
      </c>
      <c r="D40" s="115">
        <f>C40/$E$39</f>
        <v>0</v>
      </c>
      <c r="E40" s="118"/>
      <c r="F40" s="117">
        <f>C40/$C$44</f>
        <v>0</v>
      </c>
      <c r="G40" s="2"/>
      <c r="N40" s="83" t="s">
        <v>101</v>
      </c>
      <c r="O40" s="85" t="s">
        <v>12</v>
      </c>
      <c r="P40" s="85"/>
      <c r="Q40" s="87"/>
      <c r="R40" s="85"/>
      <c r="S40" s="85"/>
      <c r="T40" s="85"/>
      <c r="U40" s="87"/>
      <c r="V40" s="119"/>
      <c r="W40" s="85"/>
      <c r="X40" s="85"/>
      <c r="Y40" s="85"/>
      <c r="Z40" s="85"/>
      <c r="AA40" s="85"/>
      <c r="AB40" s="86"/>
      <c r="AC40" s="120"/>
    </row>
    <row r="41" s="1" customFormat="1" ht="15" spans="2:29">
      <c r="B41" s="4" t="s">
        <v>88</v>
      </c>
      <c r="C41" s="115">
        <f>SUM(AC24:AC33)</f>
        <v>0</v>
      </c>
      <c r="D41" s="115">
        <f>C41/$E$39</f>
        <v>0</v>
      </c>
      <c r="E41" s="121"/>
      <c r="F41" s="117">
        <f>C41/$C$44</f>
        <v>0</v>
      </c>
      <c r="G41" s="2"/>
      <c r="N41" s="32"/>
      <c r="O41" s="47">
        <v>1</v>
      </c>
      <c r="P41" s="122" t="s">
        <v>102</v>
      </c>
      <c r="Q41" s="123">
        <f>IF(N41&gt;0,(MAX(45%,112.5%+112.5%*(N41-2))),(IF(N41&lt;=0,0)))</f>
        <v>0</v>
      </c>
      <c r="R41" s="122" t="s">
        <v>102</v>
      </c>
      <c r="S41" s="124">
        <v>3674.1</v>
      </c>
      <c r="T41" s="125">
        <v>0</v>
      </c>
      <c r="U41" s="125">
        <v>0</v>
      </c>
      <c r="V41" s="126">
        <v>1</v>
      </c>
      <c r="W41" s="127">
        <v>0</v>
      </c>
      <c r="X41" s="126">
        <f t="shared" ref="X41:X44" si="18">$AH$3</f>
        <v>0.488431876606684</v>
      </c>
      <c r="Y41" s="122">
        <f>$AH$13</f>
        <v>0.8</v>
      </c>
      <c r="Z41" s="128">
        <v>0</v>
      </c>
      <c r="AA41" s="128">
        <v>0</v>
      </c>
      <c r="AB41" s="128">
        <v>0</v>
      </c>
      <c r="AC41" s="129">
        <f t="shared" ref="AC41:AC44" si="19">Q41*S41*(1+T41)*(1+U41)*V41*(1+W41)*X41*Y41*(1+Z41)*(1+AA41)*(1+AB41)*O41</f>
        <v>0</v>
      </c>
    </row>
    <row r="42" s="1" customFormat="1" ht="15" spans="2:29">
      <c r="B42" s="4" t="s">
        <v>90</v>
      </c>
      <c r="C42" s="115">
        <f>SUM(AC35:AC37)</f>
        <v>0</v>
      </c>
      <c r="D42" s="115">
        <f>C42/$E$39</f>
        <v>0</v>
      </c>
      <c r="E42" s="121"/>
      <c r="F42" s="117">
        <f>C42/$C$44</f>
        <v>0</v>
      </c>
      <c r="G42" s="2"/>
      <c r="N42" s="32"/>
      <c r="O42" s="47"/>
      <c r="P42" s="130" t="s">
        <v>103</v>
      </c>
      <c r="Q42" s="131">
        <f>IF(N42=1,0.3,IF(AND(N42&gt;=2,N42&lt;=10),0.3+0.2439*(N42-1),IF(AND(N42&gt;=11),2.4951+0.8317*(N42-10),IF(AND(N42&lt;=0),0,""))))</f>
        <v>0</v>
      </c>
      <c r="R42" s="130" t="s">
        <v>103</v>
      </c>
      <c r="S42" s="132">
        <v>3674.1</v>
      </c>
      <c r="T42" s="133">
        <v>0</v>
      </c>
      <c r="U42" s="133">
        <v>0</v>
      </c>
      <c r="V42" s="134">
        <v>1</v>
      </c>
      <c r="W42" s="135">
        <v>0</v>
      </c>
      <c r="X42" s="134">
        <f t="shared" si="18"/>
        <v>0.488431876606684</v>
      </c>
      <c r="Y42" s="130">
        <f>$AH$11</f>
        <v>0.8</v>
      </c>
      <c r="Z42" s="136">
        <v>0</v>
      </c>
      <c r="AA42" s="136">
        <v>0</v>
      </c>
      <c r="AB42" s="136">
        <v>0</v>
      </c>
      <c r="AC42" s="137">
        <f t="shared" si="19"/>
        <v>0</v>
      </c>
    </row>
    <row r="43" s="1" customFormat="1" ht="15" spans="2:29">
      <c r="B43" s="4" t="s">
        <v>98</v>
      </c>
      <c r="C43" s="115">
        <f>AC38</f>
        <v>0</v>
      </c>
      <c r="D43" s="115">
        <f>C43/$E$39</f>
        <v>0</v>
      </c>
      <c r="E43" s="121"/>
      <c r="F43" s="117">
        <f>C43/$C$44</f>
        <v>0</v>
      </c>
      <c r="G43" s="2"/>
      <c r="N43" s="32"/>
      <c r="O43" s="47">
        <v>1</v>
      </c>
      <c r="P43" s="59" t="s">
        <v>104</v>
      </c>
      <c r="Q43" s="138" t="str">
        <f>IF(N43=1,24.5%,IF(AND(10&gt;=N43,N43&gt;=2),24.5%+(N43-1)*19.9185%,IF(AND(13&gt;=N43,N43&gt;=11),203.77%+(N43-10)*(271.69%-203.77%),"")))</f>
        <v/>
      </c>
      <c r="R43" s="59" t="s">
        <v>104</v>
      </c>
      <c r="S43" s="139">
        <v>3674.1</v>
      </c>
      <c r="T43" s="140">
        <v>0</v>
      </c>
      <c r="U43" s="140">
        <v>0</v>
      </c>
      <c r="V43" s="141">
        <v>1</v>
      </c>
      <c r="W43" s="142">
        <v>0</v>
      </c>
      <c r="X43" s="141">
        <f t="shared" si="18"/>
        <v>0.488431876606684</v>
      </c>
      <c r="Y43" s="59">
        <f>$AH$15</f>
        <v>0.8</v>
      </c>
      <c r="Z43" s="143">
        <v>0</v>
      </c>
      <c r="AA43" s="143">
        <v>0</v>
      </c>
      <c r="AB43" s="143">
        <v>0</v>
      </c>
      <c r="AC43" s="144" t="e">
        <f t="shared" si="19"/>
        <v>#VALUE!</v>
      </c>
    </row>
    <row r="44" s="1" customFormat="1" ht="15" spans="2:29">
      <c r="B44" s="4" t="s">
        <v>105</v>
      </c>
      <c r="C44" s="145">
        <f>SUM(C39:C43)</f>
        <v>467350.791207594</v>
      </c>
      <c r="D44" s="145">
        <f>C44/E39</f>
        <v>18694.0316483037</v>
      </c>
      <c r="E44" s="146"/>
      <c r="F44" s="147"/>
      <c r="G44" s="2"/>
      <c r="N44" s="40"/>
      <c r="O44" s="79">
        <v>1</v>
      </c>
      <c r="P44" s="148" t="s">
        <v>106</v>
      </c>
      <c r="Q44" s="149" t="str">
        <f>IF(N44=1,0.84,IF(N44=2,1.5229,IF(N44=3,2.2058,IF(N44=4,2.8888,IF(N44=5,3.5717,IF(N44=6,4.2546,IF(N44=7,4.9375,IF(N44=8,5.6204,IF(N44=9,6.3034,IF(N44=10,6.9863,IF(N44=11,9.315,IF(N44=12,11.6438,IF(N44=13,13.9726,"")))))))))))))</f>
        <v/>
      </c>
      <c r="R44" s="148" t="s">
        <v>106</v>
      </c>
      <c r="S44" s="150">
        <v>3674.1</v>
      </c>
      <c r="T44" s="151">
        <v>0</v>
      </c>
      <c r="U44" s="151">
        <v>0</v>
      </c>
      <c r="V44" s="152">
        <v>1</v>
      </c>
      <c r="W44" s="153">
        <v>0</v>
      </c>
      <c r="X44" s="152">
        <f t="shared" si="18"/>
        <v>0.488431876606684</v>
      </c>
      <c r="Y44" s="148">
        <f>$AH$16</f>
        <v>0.8</v>
      </c>
      <c r="Z44" s="154">
        <v>0</v>
      </c>
      <c r="AA44" s="154">
        <v>0</v>
      </c>
      <c r="AB44" s="154">
        <v>0</v>
      </c>
      <c r="AC44" s="155" t="e">
        <f t="shared" si="19"/>
        <v>#VALUE!</v>
      </c>
    </row>
    <row r="45" s="1" customFormat="1" spans="2:29">
      <c r="B45" s="4"/>
      <c r="C45" s="4"/>
      <c r="D45" s="4"/>
      <c r="G45" s="2"/>
      <c r="Q45" s="2"/>
      <c r="U45" s="2"/>
      <c r="V45" s="3"/>
      <c r="AB45" s="4"/>
      <c r="AC45" s="4"/>
    </row>
    <row r="46" s="1" customFormat="1" spans="2:29">
      <c r="B46" s="4"/>
      <c r="C46" s="4"/>
      <c r="D46" s="4"/>
      <c r="F46" s="4"/>
      <c r="G46" s="2"/>
      <c r="Q46" s="2"/>
      <c r="U46" s="2"/>
      <c r="V46" s="3"/>
      <c r="AB46" s="4"/>
      <c r="AC46" s="4"/>
    </row>
    <row r="47" s="1" customFormat="1" spans="2:29">
      <c r="F47" s="4"/>
      <c r="G47" s="2"/>
      <c r="Q47" s="2"/>
      <c r="U47" s="2"/>
      <c r="V47" s="3"/>
      <c r="AB47" s="4"/>
      <c r="AC47" s="4"/>
    </row>
    <row r="48" s="1" customFormat="1" spans="2:29">
      <c r="Q48" s="2"/>
      <c r="U48" s="2"/>
      <c r="V48" s="3"/>
      <c r="AB48" s="4"/>
      <c r="AC48" s="4"/>
    </row>
    <row r="49" s="1" customFormat="1" spans="2:29">
      <c r="B49" s="4"/>
      <c r="C49" s="4"/>
      <c r="D49" s="4"/>
      <c r="F49" s="4"/>
      <c r="G49" s="2"/>
      <c r="Q49" s="2"/>
      <c r="U49" s="2"/>
      <c r="V49" s="3"/>
      <c r="AB49" s="4"/>
      <c r="AC49" s="4"/>
    </row>
    <row r="50" s="1" customFormat="1" spans="2:29">
      <c r="B50" s="4"/>
      <c r="C50" s="4"/>
      <c r="D50" s="4"/>
      <c r="F50" s="4"/>
      <c r="G50" s="2"/>
      <c r="Q50" s="2"/>
      <c r="U50" s="2"/>
      <c r="V50" s="3"/>
      <c r="AB50" s="4"/>
      <c r="AC50" s="4"/>
    </row>
    <row r="51" s="1" customFormat="1" spans="2:29">
      <c r="G51" s="2"/>
      <c r="Q51" s="2"/>
      <c r="U51" s="2"/>
      <c r="V51" s="3"/>
      <c r="AB51" s="4"/>
      <c r="AC51" s="4"/>
    </row>
    <row r="52" s="1" customFormat="1" spans="2:29">
      <c r="B52" s="4"/>
      <c r="C52" s="4"/>
      <c r="D52" s="4"/>
      <c r="F52" s="4"/>
      <c r="G52" s="2"/>
      <c r="Q52" s="2"/>
      <c r="U52" s="2"/>
      <c r="V52" s="3"/>
      <c r="AB52" s="4"/>
      <c r="AC52" s="4"/>
    </row>
    <row r="53" s="1" customFormat="1" spans="2:29">
      <c r="B53" s="4"/>
      <c r="C53" s="4"/>
      <c r="D53" s="4"/>
      <c r="F53" s="4"/>
      <c r="G53" s="2"/>
      <c r="Q53" s="2"/>
      <c r="U53" s="2"/>
      <c r="V53" s="3"/>
      <c r="AB53" s="4"/>
      <c r="AC53" s="4"/>
    </row>
    <row r="54" s="1" customFormat="1" spans="2:29">
      <c r="G54" s="2"/>
      <c r="Q54" s="2"/>
      <c r="U54" s="2"/>
      <c r="V54" s="3"/>
      <c r="AB54" s="4"/>
      <c r="AC54" s="4"/>
    </row>
    <row r="55" s="1" customFormat="1" spans="2:29">
      <c r="B55" s="4"/>
      <c r="C55" s="4"/>
      <c r="D55" s="4"/>
      <c r="F55" s="4"/>
      <c r="G55" s="2"/>
      <c r="Q55" s="2"/>
      <c r="U55" s="2"/>
      <c r="V55" s="3"/>
      <c r="AB55" s="4"/>
      <c r="AC55" s="4"/>
    </row>
    <row r="56" s="1" customFormat="1" spans="2:29">
      <c r="B56" s="4"/>
      <c r="C56" s="4"/>
      <c r="D56" s="4"/>
      <c r="G56" s="2"/>
      <c r="Q56" s="2"/>
      <c r="U56" s="2"/>
      <c r="V56" s="3"/>
      <c r="AB56" s="4"/>
      <c r="AC56" s="4"/>
    </row>
    <row r="57" s="1" customFormat="1" spans="2:29">
      <c r="G57" s="2"/>
      <c r="Q57" s="2"/>
      <c r="U57" s="2"/>
      <c r="V57" s="3"/>
      <c r="AB57" s="4"/>
      <c r="AC57" s="4"/>
    </row>
    <row r="58" spans="2:29">
      <c r="B58" s="4"/>
      <c r="C58" s="4"/>
      <c r="D58" s="4"/>
    </row>
    <row r="59" s="1" customFormat="1" spans="2:29">
      <c r="G59" s="2"/>
      <c r="Q59" s="2"/>
      <c r="U59" s="2"/>
      <c r="V59" s="3"/>
      <c r="AB59" s="4"/>
      <c r="AC59" s="4"/>
    </row>
  </sheetData>
  <mergeCells count="21">
    <mergeCell ref="B2:M2"/>
    <mergeCell ref="B3:C3"/>
    <mergeCell ref="D3:E3"/>
    <mergeCell ref="F3:G3"/>
    <mergeCell ref="H3:I3"/>
    <mergeCell ref="J3:K3"/>
    <mergeCell ref="L3:M3"/>
    <mergeCell ref="B14:M14"/>
    <mergeCell ref="B15:C15"/>
    <mergeCell ref="D15:E15"/>
    <mergeCell ref="F15:G15"/>
    <mergeCell ref="H15:I15"/>
    <mergeCell ref="J15:K15"/>
    <mergeCell ref="L15:M15"/>
    <mergeCell ref="B26:M26"/>
    <mergeCell ref="B27:C27"/>
    <mergeCell ref="D27:E27"/>
    <mergeCell ref="F27:G27"/>
    <mergeCell ref="H27:I27"/>
    <mergeCell ref="J27:K27"/>
    <mergeCell ref="L27:M27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I59"/>
  <sheetViews>
    <sheetView topLeftCell="B31" workbookViewId="0">
      <selection activeCell="N12" sqref="N12"/>
    </sheetView>
  </sheetViews>
  <sheetFormatPr defaultColWidth="9.69090909090909" defaultRowHeight="14"/>
  <cols>
    <col min="1" max="1" width="9.69090909090909" style="1"/>
    <col min="2" max="2" width="15.4545454545455" style="1" customWidth="1"/>
    <col min="3" max="3" width="10" style="1" customWidth="1"/>
    <col min="4" max="4" width="11.8181818181818" style="1" customWidth="1"/>
    <col min="5" max="5" width="5.54545454545455" style="1" customWidth="1"/>
    <col min="6" max="6" width="11.8181818181818" style="1" customWidth="1"/>
    <col min="7" max="7" width="7.54545454545455" style="2" customWidth="1"/>
    <col min="8" max="8" width="14" style="1" customWidth="1"/>
    <col min="9" max="9" width="8.54545454545454" style="1" customWidth="1"/>
    <col min="10" max="10" width="11.8181818181818" style="1" customWidth="1"/>
    <col min="11" max="11" width="4.54545454545455" style="1" customWidth="1"/>
    <col min="12" max="12" width="9.54545454545454" style="1" customWidth="1"/>
    <col min="13" max="13" width="7.54545454545455" style="1" customWidth="1"/>
    <col min="14" max="14" width="5.54545454545455" style="1" customWidth="1"/>
    <col min="15" max="15" width="6.27272727272727" style="1" customWidth="1"/>
    <col min="16" max="16" width="21.2727272727273" style="1" customWidth="1"/>
    <col min="17" max="17" width="9.54545454545454" style="2" customWidth="1"/>
    <col min="18" max="18" width="6.27272727272727" style="1" customWidth="1"/>
    <col min="19" max="19" width="11" style="1" customWidth="1"/>
    <col min="20" max="20" width="8.54545454545454" style="1" customWidth="1"/>
    <col min="21" max="21" width="8.54545454545454" style="2" customWidth="1"/>
    <col min="22" max="22" width="8.54545454545454" style="3" customWidth="1"/>
    <col min="23" max="25" width="8.54545454545454" style="1" customWidth="1"/>
    <col min="26" max="26" width="11" style="1" customWidth="1"/>
    <col min="27" max="27" width="8.54545454545454" style="1" customWidth="1"/>
    <col min="28" max="28" width="11" style="4" customWidth="1"/>
    <col min="29" max="29" width="10" style="4" customWidth="1"/>
    <col min="30" max="31" width="7.18181818181818" style="1" customWidth="1"/>
    <col min="32" max="32" width="9.54545454545454" style="1" customWidth="1"/>
    <col min="33" max="33" width="5.54545454545455" style="1" customWidth="1"/>
    <col min="34" max="34" width="8.54545454545454" style="1" customWidth="1"/>
    <col min="35" max="35" width="9.54545454545454" style="1" customWidth="1"/>
    <col min="36" max="16384" width="9.69090909090909" style="1"/>
  </cols>
  <sheetData>
    <row r="1" s="1" customFormat="1" ht="14.75" spans="2:35">
      <c r="B1" s="5" t="s">
        <v>9</v>
      </c>
      <c r="C1" s="5" t="s">
        <v>10</v>
      </c>
      <c r="D1" s="6" t="s">
        <v>11</v>
      </c>
      <c r="E1" s="6">
        <v>0</v>
      </c>
      <c r="Q1" s="2">
        <f>SUM(Q3:Q15)</f>
        <v>59.9057</v>
      </c>
      <c r="U1" s="2"/>
      <c r="V1" s="3"/>
      <c r="AB1" s="4"/>
      <c r="AC1" s="4"/>
    </row>
    <row r="2" s="1" customFormat="1" ht="15.75" spans="2:35">
      <c r="B2" s="7" t="s">
        <v>0</v>
      </c>
      <c r="C2" s="8"/>
      <c r="D2" s="8"/>
      <c r="E2" s="8"/>
      <c r="F2" s="8"/>
      <c r="G2" s="8"/>
      <c r="H2" s="8"/>
      <c r="I2" s="8"/>
      <c r="J2" s="8"/>
      <c r="K2" s="8"/>
      <c r="L2" s="8"/>
      <c r="M2" s="9"/>
      <c r="O2" s="10" t="s">
        <v>12</v>
      </c>
      <c r="P2" s="11" t="s">
        <v>13</v>
      </c>
      <c r="Q2" s="12" t="s">
        <v>14</v>
      </c>
      <c r="R2" s="11" t="s">
        <v>15</v>
      </c>
      <c r="S2" s="11" t="s">
        <v>16</v>
      </c>
      <c r="T2" s="11" t="s">
        <v>17</v>
      </c>
      <c r="U2" s="12" t="s">
        <v>18</v>
      </c>
      <c r="V2" s="13" t="s">
        <v>19</v>
      </c>
      <c r="W2" s="11" t="s">
        <v>20</v>
      </c>
      <c r="X2" s="11" t="s">
        <v>21</v>
      </c>
      <c r="Y2" s="11" t="s">
        <v>22</v>
      </c>
      <c r="Z2" s="11" t="s">
        <v>23</v>
      </c>
      <c r="AA2" s="11" t="s">
        <v>24</v>
      </c>
      <c r="AB2" s="14" t="s">
        <v>25</v>
      </c>
      <c r="AC2" s="15" t="s">
        <v>26</v>
      </c>
      <c r="AD2" s="16" t="s">
        <v>27</v>
      </c>
      <c r="AE2" s="16" t="s">
        <v>28</v>
      </c>
      <c r="AF2" s="17" t="s">
        <v>29</v>
      </c>
      <c r="AG2" s="17" t="s">
        <v>30</v>
      </c>
      <c r="AH2" s="18" t="s">
        <v>21</v>
      </c>
      <c r="AI2" s="18" t="s">
        <v>31</v>
      </c>
    </row>
    <row r="3" s="1" customFormat="1" ht="15" spans="2:35">
      <c r="B3" s="19" t="s">
        <v>32</v>
      </c>
      <c r="C3" s="20"/>
      <c r="D3" s="19" t="s">
        <v>18</v>
      </c>
      <c r="E3" s="20"/>
      <c r="F3" s="19" t="s">
        <v>33</v>
      </c>
      <c r="G3" s="20"/>
      <c r="H3" s="19" t="s">
        <v>34</v>
      </c>
      <c r="I3" s="20"/>
      <c r="J3" s="19" t="s">
        <v>20</v>
      </c>
      <c r="K3" s="20"/>
      <c r="L3" s="19" t="s">
        <v>107</v>
      </c>
      <c r="M3" s="20"/>
      <c r="O3" s="21">
        <v>1</v>
      </c>
      <c r="P3" s="22" t="s">
        <v>36</v>
      </c>
      <c r="Q3" s="23">
        <f>163.42%</f>
        <v>1.6342</v>
      </c>
      <c r="R3" s="24" t="s">
        <v>37</v>
      </c>
      <c r="S3" s="25">
        <f t="shared" ref="S3:S15" si="0">$C$4*(1+C$5+C$6+C$7+C$8)+C$9</f>
        <v>2471.728</v>
      </c>
      <c r="T3" s="23">
        <f t="shared" ref="T3:T15" si="1">($C$5+$C$6+$C$7+$C$8)+($C$9+$C$10)/$C$4</f>
        <v>1.413796875</v>
      </c>
      <c r="U3" s="23">
        <f t="shared" ref="U3:U15" si="2">IF(R3=$C$1,SUM($E$4:$E$9),SUM($E$4:$E$8))</f>
        <v>0.85</v>
      </c>
      <c r="V3" s="26">
        <f t="shared" ref="V3:V15" si="3">1+$G$10*($I$10-1)</f>
        <v>2.64346</v>
      </c>
      <c r="W3" s="27">
        <f t="shared" ref="W3:W6" si="4">IF(R3=$C$1,$K$4+$K$5,$K$4)</f>
        <v>0</v>
      </c>
      <c r="X3" s="26">
        <f t="shared" ref="X3:X15" si="5">$AH$4</f>
        <v>0.514765646166351</v>
      </c>
      <c r="Y3" s="24">
        <f t="shared" ref="Y3:Y15" si="6">$AH$11</f>
        <v>0.8</v>
      </c>
      <c r="Z3" s="28">
        <v>0</v>
      </c>
      <c r="AA3" s="28">
        <v>0</v>
      </c>
      <c r="AB3" s="28">
        <v>0</v>
      </c>
      <c r="AC3" s="29">
        <f t="shared" ref="AC3:AC15" si="7">Q3*$C$4*(1+T3)*(1+U3)*V3*(1+W3)*X3*Y3*(1+Z3)*(1+AA3)*(1+AB3)*O3</f>
        <v>8134.85652834891</v>
      </c>
      <c r="AD3" s="30">
        <v>10</v>
      </c>
      <c r="AE3" s="30"/>
      <c r="AF3" s="17">
        <v>0</v>
      </c>
      <c r="AG3" s="17">
        <v>0</v>
      </c>
      <c r="AH3" s="18">
        <f t="shared" ref="AH3:AH8" si="8">1520/(1520+(792+8*AI3)*(1-AG3/100))</f>
        <v>0.488431876606684</v>
      </c>
      <c r="AI3" s="31">
        <v>100</v>
      </c>
    </row>
    <row r="4" s="1" customFormat="1" ht="15" spans="2:35">
      <c r="B4" s="32" t="s">
        <v>38</v>
      </c>
      <c r="C4" s="33">
        <f>437+587</f>
        <v>1024</v>
      </c>
      <c r="D4" s="32" t="s">
        <v>39</v>
      </c>
      <c r="E4" s="34">
        <f>E1*30%</f>
        <v>0</v>
      </c>
      <c r="F4" s="32" t="s">
        <v>40</v>
      </c>
      <c r="G4" s="35">
        <v>0.13</v>
      </c>
      <c r="H4" s="32" t="s">
        <v>40</v>
      </c>
      <c r="I4" s="35">
        <v>1.5</v>
      </c>
      <c r="J4" s="36" t="s">
        <v>41</v>
      </c>
      <c r="K4" s="34"/>
      <c r="L4" s="32" t="s">
        <v>42</v>
      </c>
      <c r="M4" s="35">
        <f>8.6%*2</f>
        <v>0.172</v>
      </c>
      <c r="O4" s="21">
        <v>1</v>
      </c>
      <c r="P4" s="29" t="s">
        <v>43</v>
      </c>
      <c r="Q4" s="23">
        <f>50.34%*2+33.41%*3+51.7%*4</f>
        <v>4.0771</v>
      </c>
      <c r="R4" s="24" t="s">
        <v>44</v>
      </c>
      <c r="S4" s="25">
        <f t="shared" si="0"/>
        <v>2471.728</v>
      </c>
      <c r="T4" s="23">
        <f t="shared" si="1"/>
        <v>1.413796875</v>
      </c>
      <c r="U4" s="23">
        <f t="shared" si="2"/>
        <v>0.85</v>
      </c>
      <c r="V4" s="26">
        <f t="shared" si="3"/>
        <v>2.64346</v>
      </c>
      <c r="W4" s="27">
        <f t="shared" si="4"/>
        <v>0</v>
      </c>
      <c r="X4" s="26">
        <f t="shared" si="5"/>
        <v>0.514765646166351</v>
      </c>
      <c r="Y4" s="24">
        <f t="shared" si="6"/>
        <v>0.8</v>
      </c>
      <c r="Z4" s="28">
        <v>0</v>
      </c>
      <c r="AA4" s="28">
        <v>0</v>
      </c>
      <c r="AB4" s="28">
        <v>0</v>
      </c>
      <c r="AC4" s="29">
        <f t="shared" si="7"/>
        <v>20295.3271030054</v>
      </c>
      <c r="AD4" s="30">
        <v>10</v>
      </c>
      <c r="AE4" s="30"/>
      <c r="AF4" s="17">
        <v>10</v>
      </c>
      <c r="AG4" s="17"/>
      <c r="AH4" s="18">
        <f>1520/(1520+(792+8*AI4)*(1-AG4/100)*(1-AF4/100))</f>
        <v>0.514765646166351</v>
      </c>
      <c r="AI4" s="31">
        <v>100</v>
      </c>
    </row>
    <row r="5" s="1" customFormat="1" ht="15" spans="2:35">
      <c r="B5" s="32" t="s">
        <v>45</v>
      </c>
      <c r="C5" s="34">
        <f>12%+12%</f>
        <v>0.24</v>
      </c>
      <c r="D5" s="32" t="s">
        <v>46</v>
      </c>
      <c r="E5" s="34">
        <f>12%+25%</f>
        <v>0.37</v>
      </c>
      <c r="F5" s="32" t="s">
        <v>47</v>
      </c>
      <c r="G5" s="35"/>
      <c r="H5" s="32" t="s">
        <v>47</v>
      </c>
      <c r="I5" s="35">
        <v>0.486</v>
      </c>
      <c r="J5" s="37" t="s">
        <v>48</v>
      </c>
      <c r="K5" s="34">
        <v>0.32</v>
      </c>
      <c r="L5" s="32" t="s">
        <v>49</v>
      </c>
      <c r="M5" s="35">
        <f>9.2%*2+32%</f>
        <v>0.504</v>
      </c>
      <c r="O5" s="21">
        <v>1</v>
      </c>
      <c r="P5" s="29" t="s">
        <v>50</v>
      </c>
      <c r="Q5" s="23">
        <f>28.81%*4+172.85%</f>
        <v>2.8809</v>
      </c>
      <c r="R5" s="24" t="s">
        <v>10</v>
      </c>
      <c r="S5" s="25">
        <f t="shared" si="0"/>
        <v>2471.728</v>
      </c>
      <c r="T5" s="23">
        <f t="shared" si="1"/>
        <v>1.413796875</v>
      </c>
      <c r="U5" s="23">
        <f t="shared" si="2"/>
        <v>2.03</v>
      </c>
      <c r="V5" s="26">
        <f t="shared" si="3"/>
        <v>2.64346</v>
      </c>
      <c r="W5" s="27">
        <f t="shared" si="4"/>
        <v>0.32</v>
      </c>
      <c r="X5" s="26">
        <f t="shared" si="5"/>
        <v>0.514765646166351</v>
      </c>
      <c r="Y5" s="24">
        <f t="shared" si="6"/>
        <v>0.8</v>
      </c>
      <c r="Z5" s="28">
        <v>0</v>
      </c>
      <c r="AA5" s="28">
        <v>0</v>
      </c>
      <c r="AB5" s="28">
        <v>0</v>
      </c>
      <c r="AC5" s="29">
        <f t="shared" si="7"/>
        <v>31003.9984542606</v>
      </c>
      <c r="AD5" s="30">
        <v>10</v>
      </c>
      <c r="AE5" s="30"/>
      <c r="AF5" s="17">
        <v>0</v>
      </c>
      <c r="AG5" s="17"/>
      <c r="AH5" s="18">
        <f t="shared" si="8"/>
        <v>0.488431876606684</v>
      </c>
      <c r="AI5" s="31">
        <v>100</v>
      </c>
    </row>
    <row r="6" s="1" customFormat="1" ht="15" spans="2:35">
      <c r="B6" s="32" t="s">
        <v>51</v>
      </c>
      <c r="C6" s="34">
        <f>18%+18%+M4+(1-E1)*30%</f>
        <v>0.832</v>
      </c>
      <c r="D6" s="32" t="s">
        <v>52</v>
      </c>
      <c r="E6" s="34">
        <f>E11*3%+30%</f>
        <v>0.48</v>
      </c>
      <c r="F6" s="32" t="s">
        <v>53</v>
      </c>
      <c r="G6" s="35">
        <v>0.2</v>
      </c>
      <c r="H6" s="32" t="s">
        <v>53</v>
      </c>
      <c r="I6" s="35">
        <v>0</v>
      </c>
      <c r="J6" s="37"/>
      <c r="K6" s="35"/>
      <c r="L6" s="32" t="s">
        <v>33</v>
      </c>
      <c r="M6" s="35">
        <f>8.1*5%</f>
        <v>0.405</v>
      </c>
      <c r="O6" s="21">
        <v>1</v>
      </c>
      <c r="P6" s="29" t="s">
        <v>54</v>
      </c>
      <c r="Q6" s="23">
        <f>132.51%</f>
        <v>1.3251</v>
      </c>
      <c r="R6" s="24" t="s">
        <v>10</v>
      </c>
      <c r="S6" s="25">
        <f t="shared" si="0"/>
        <v>2471.728</v>
      </c>
      <c r="T6" s="23">
        <f t="shared" si="1"/>
        <v>1.413796875</v>
      </c>
      <c r="U6" s="23">
        <f t="shared" si="2"/>
        <v>2.03</v>
      </c>
      <c r="V6" s="26">
        <f t="shared" si="3"/>
        <v>2.64346</v>
      </c>
      <c r="W6" s="27">
        <f t="shared" si="4"/>
        <v>0.32</v>
      </c>
      <c r="X6" s="26">
        <f t="shared" si="5"/>
        <v>0.514765646166351</v>
      </c>
      <c r="Y6" s="24">
        <f t="shared" si="6"/>
        <v>0.8</v>
      </c>
      <c r="Z6" s="28">
        <v>0</v>
      </c>
      <c r="AA6" s="28">
        <v>0</v>
      </c>
      <c r="AB6" s="28">
        <v>0</v>
      </c>
      <c r="AC6" s="29">
        <f t="shared" si="7"/>
        <v>14260.6124307476</v>
      </c>
      <c r="AD6" s="30">
        <v>10</v>
      </c>
      <c r="AE6" s="30"/>
      <c r="AF6" s="17">
        <v>0</v>
      </c>
      <c r="AG6" s="17"/>
      <c r="AH6" s="18">
        <f t="shared" si="8"/>
        <v>0.488431876606684</v>
      </c>
      <c r="AI6" s="31">
        <v>100</v>
      </c>
    </row>
    <row r="7" s="1" customFormat="1" ht="15" spans="2:35">
      <c r="B7" s="32" t="s">
        <v>55</v>
      </c>
      <c r="C7" s="38"/>
      <c r="D7" s="32" t="s">
        <v>56</v>
      </c>
      <c r="E7" s="34"/>
      <c r="F7" s="32" t="s">
        <v>51</v>
      </c>
      <c r="G7" s="35">
        <f>M6</f>
        <v>0.405</v>
      </c>
      <c r="H7" s="32" t="s">
        <v>51</v>
      </c>
      <c r="I7" s="35">
        <f>M7+44%</f>
        <v>1.25</v>
      </c>
      <c r="J7" s="37"/>
      <c r="K7" s="35"/>
      <c r="L7" s="32" t="s">
        <v>57</v>
      </c>
      <c r="M7" s="34">
        <f>16.2%*5</f>
        <v>0.81</v>
      </c>
      <c r="O7" s="21">
        <v>1</v>
      </c>
      <c r="P7" s="29" t="s">
        <v>58</v>
      </c>
      <c r="Q7" s="23">
        <f>39.76%+59.63%*4+119.26%</f>
        <v>3.9754</v>
      </c>
      <c r="R7" s="24" t="s">
        <v>10</v>
      </c>
      <c r="S7" s="25">
        <f t="shared" si="0"/>
        <v>2471.728</v>
      </c>
      <c r="T7" s="23">
        <f t="shared" si="1"/>
        <v>1.413796875</v>
      </c>
      <c r="U7" s="23">
        <f t="shared" si="2"/>
        <v>2.03</v>
      </c>
      <c r="V7" s="26">
        <f t="shared" si="3"/>
        <v>2.64346</v>
      </c>
      <c r="W7" s="27">
        <f>IF(R7=$C$1,$K$4+$K$5,$K$4)+0.3</f>
        <v>0.62</v>
      </c>
      <c r="X7" s="26">
        <f t="shared" si="5"/>
        <v>0.514765646166351</v>
      </c>
      <c r="Y7" s="24">
        <f t="shared" si="6"/>
        <v>0.8</v>
      </c>
      <c r="Z7" s="28">
        <v>0.5</v>
      </c>
      <c r="AA7" s="28">
        <v>0</v>
      </c>
      <c r="AB7" s="28">
        <v>0</v>
      </c>
      <c r="AC7" s="29">
        <f t="shared" si="7"/>
        <v>78759.4543676414</v>
      </c>
      <c r="AD7" s="30">
        <v>10</v>
      </c>
      <c r="AE7" s="30"/>
      <c r="AF7" s="17">
        <v>0</v>
      </c>
      <c r="AG7" s="17"/>
      <c r="AH7" s="18">
        <f t="shared" si="8"/>
        <v>0.488431876606684</v>
      </c>
      <c r="AI7" s="31">
        <v>100</v>
      </c>
    </row>
    <row r="8" s="1" customFormat="1" ht="15" spans="2:35">
      <c r="B8" s="32" t="s">
        <v>59</v>
      </c>
      <c r="C8" s="38"/>
      <c r="D8" s="32" t="s">
        <v>60</v>
      </c>
      <c r="E8" s="39"/>
      <c r="F8" s="32" t="s">
        <v>61</v>
      </c>
      <c r="G8" s="35">
        <v>0</v>
      </c>
      <c r="H8" s="32" t="s">
        <v>61</v>
      </c>
      <c r="I8" s="35">
        <v>0</v>
      </c>
      <c r="J8" s="37"/>
      <c r="K8" s="35"/>
      <c r="L8" s="32"/>
      <c r="M8" s="33"/>
      <c r="O8" s="21">
        <v>1</v>
      </c>
      <c r="P8" s="29" t="s">
        <v>62</v>
      </c>
      <c r="Q8" s="23">
        <v>8.6143</v>
      </c>
      <c r="R8" s="24" t="s">
        <v>10</v>
      </c>
      <c r="S8" s="25">
        <f t="shared" si="0"/>
        <v>2471.728</v>
      </c>
      <c r="T8" s="23">
        <f t="shared" si="1"/>
        <v>1.413796875</v>
      </c>
      <c r="U8" s="23">
        <f t="shared" si="2"/>
        <v>2.03</v>
      </c>
      <c r="V8" s="26">
        <f t="shared" si="3"/>
        <v>2.64346</v>
      </c>
      <c r="W8" s="27">
        <f t="shared" ref="W8:W10" si="9">IF(R8=$C$1,$K$4+$K$5,$K$4)</f>
        <v>0.32</v>
      </c>
      <c r="X8" s="26">
        <f t="shared" si="5"/>
        <v>0.514765646166351</v>
      </c>
      <c r="Y8" s="24">
        <f t="shared" si="6"/>
        <v>0.8</v>
      </c>
      <c r="Z8" s="28">
        <v>0</v>
      </c>
      <c r="AA8" s="28">
        <v>0</v>
      </c>
      <c r="AB8" s="28">
        <v>0</v>
      </c>
      <c r="AC8" s="29">
        <f t="shared" si="7"/>
        <v>92706.3570011237</v>
      </c>
      <c r="AD8" s="30">
        <v>10</v>
      </c>
      <c r="AE8" s="30"/>
      <c r="AF8" s="17">
        <v>0</v>
      </c>
      <c r="AG8" s="17"/>
      <c r="AH8" s="18">
        <f t="shared" si="8"/>
        <v>0.488431876606684</v>
      </c>
      <c r="AI8" s="31">
        <v>100</v>
      </c>
    </row>
    <row r="9" s="1" customFormat="1" ht="15" spans="2:35">
      <c r="B9" s="32" t="s">
        <v>63</v>
      </c>
      <c r="C9" s="33">
        <v>350</v>
      </c>
      <c r="D9" s="32" t="s">
        <v>64</v>
      </c>
      <c r="E9" s="34">
        <f>50%+20%+E11*3%+30%</f>
        <v>1.18</v>
      </c>
      <c r="F9" s="32" t="s">
        <v>65</v>
      </c>
      <c r="G9" s="35"/>
      <c r="H9" s="32" t="s">
        <v>65</v>
      </c>
      <c r="I9" s="35"/>
      <c r="J9" s="37"/>
      <c r="K9" s="35"/>
      <c r="L9" s="32"/>
      <c r="M9" s="33"/>
      <c r="O9" s="21">
        <v>1</v>
      </c>
      <c r="P9" s="29" t="s">
        <v>66</v>
      </c>
      <c r="Q9" s="23">
        <f>52.97%+50.34%*2+33.41%*3+51.7%*4</f>
        <v>4.6068</v>
      </c>
      <c r="R9" s="24" t="s">
        <v>44</v>
      </c>
      <c r="S9" s="25">
        <f t="shared" si="0"/>
        <v>2471.728</v>
      </c>
      <c r="T9" s="23">
        <f t="shared" si="1"/>
        <v>1.413796875</v>
      </c>
      <c r="U9" s="23">
        <f t="shared" si="2"/>
        <v>0.85</v>
      </c>
      <c r="V9" s="26">
        <f t="shared" si="3"/>
        <v>2.64346</v>
      </c>
      <c r="W9" s="27">
        <f t="shared" si="9"/>
        <v>0</v>
      </c>
      <c r="X9" s="26">
        <f t="shared" si="5"/>
        <v>0.514765646166351</v>
      </c>
      <c r="Y9" s="24">
        <f t="shared" si="6"/>
        <v>0.8</v>
      </c>
      <c r="Z9" s="28">
        <v>0</v>
      </c>
      <c r="AA9" s="28">
        <v>0</v>
      </c>
      <c r="AB9" s="28">
        <v>0</v>
      </c>
      <c r="AC9" s="29">
        <f t="shared" si="7"/>
        <v>22932.1117701614</v>
      </c>
      <c r="AD9" s="30">
        <v>10</v>
      </c>
      <c r="AE9" s="30"/>
    </row>
    <row r="10" s="1" customFormat="1" ht="15" spans="2:35">
      <c r="B10" s="40" t="s">
        <v>67</v>
      </c>
      <c r="C10" s="41"/>
      <c r="D10" s="40"/>
      <c r="E10" s="42"/>
      <c r="F10" s="43" t="s">
        <v>68</v>
      </c>
      <c r="G10" s="44">
        <f>MIN(100%,SUM(G4:G9))</f>
        <v>0.735</v>
      </c>
      <c r="H10" s="43" t="s">
        <v>69</v>
      </c>
      <c r="I10" s="44">
        <f>SUM(I4:I9)</f>
        <v>3.236</v>
      </c>
      <c r="J10" s="45"/>
      <c r="K10" s="46"/>
      <c r="L10" s="40"/>
      <c r="M10" s="41"/>
      <c r="O10" s="21">
        <v>1</v>
      </c>
      <c r="P10" s="29" t="s">
        <v>70</v>
      </c>
      <c r="Q10" s="23">
        <f>27.83%*3+194.77%</f>
        <v>2.7826</v>
      </c>
      <c r="R10" s="24" t="s">
        <v>10</v>
      </c>
      <c r="S10" s="25">
        <f t="shared" si="0"/>
        <v>2471.728</v>
      </c>
      <c r="T10" s="23">
        <f t="shared" si="1"/>
        <v>1.413796875</v>
      </c>
      <c r="U10" s="23">
        <f t="shared" si="2"/>
        <v>2.03</v>
      </c>
      <c r="V10" s="26">
        <f t="shared" si="3"/>
        <v>2.64346</v>
      </c>
      <c r="W10" s="27">
        <f t="shared" si="9"/>
        <v>0.32</v>
      </c>
      <c r="X10" s="26">
        <f t="shared" si="5"/>
        <v>0.514765646166351</v>
      </c>
      <c r="Y10" s="24">
        <f t="shared" si="6"/>
        <v>0.8</v>
      </c>
      <c r="Z10" s="28">
        <v>0</v>
      </c>
      <c r="AA10" s="28">
        <v>0</v>
      </c>
      <c r="AB10" s="28">
        <v>0</v>
      </c>
      <c r="AC10" s="29">
        <f t="shared" si="7"/>
        <v>29946.1022940142</v>
      </c>
      <c r="AD10" s="30">
        <v>10</v>
      </c>
      <c r="AE10" s="30"/>
    </row>
    <row r="11" s="1" customFormat="1" ht="15" spans="2:35">
      <c r="B11" s="47"/>
      <c r="C11" s="47"/>
      <c r="D11" s="1" t="s">
        <v>71</v>
      </c>
      <c r="E11" s="48">
        <v>6</v>
      </c>
      <c r="F11" s="19" t="s">
        <v>72</v>
      </c>
      <c r="G11" s="49">
        <f>MAX(0,SUM(G4:G9)-1)</f>
        <v>0</v>
      </c>
      <c r="J11" s="2"/>
      <c r="K11" s="2"/>
      <c r="O11" s="21">
        <v>1</v>
      </c>
      <c r="P11" s="29" t="s">
        <v>54</v>
      </c>
      <c r="Q11" s="23">
        <f>132.51%</f>
        <v>1.3251</v>
      </c>
      <c r="R11" s="24" t="s">
        <v>10</v>
      </c>
      <c r="S11" s="25">
        <f t="shared" si="0"/>
        <v>2471.728</v>
      </c>
      <c r="T11" s="23">
        <f t="shared" si="1"/>
        <v>1.413796875</v>
      </c>
      <c r="U11" s="23">
        <f t="shared" si="2"/>
        <v>2.03</v>
      </c>
      <c r="V11" s="26">
        <f t="shared" si="3"/>
        <v>2.64346</v>
      </c>
      <c r="W11" s="27">
        <f>IF(R11=$C$1,$K$4+$K$5,$K$4)+0.3</f>
        <v>0.62</v>
      </c>
      <c r="X11" s="26">
        <f t="shared" si="5"/>
        <v>0.514765646166351</v>
      </c>
      <c r="Y11" s="24">
        <f t="shared" si="6"/>
        <v>0.8</v>
      </c>
      <c r="Z11" s="28">
        <v>0</v>
      </c>
      <c r="AA11" s="28">
        <v>0</v>
      </c>
      <c r="AB11" s="28">
        <v>0</v>
      </c>
      <c r="AC11" s="29">
        <f t="shared" si="7"/>
        <v>17501.660710463</v>
      </c>
      <c r="AD11" s="30">
        <v>10</v>
      </c>
      <c r="AE11" s="30"/>
      <c r="AG11" s="50" t="s">
        <v>73</v>
      </c>
      <c r="AH11" s="50">
        <v>0.8</v>
      </c>
    </row>
    <row r="12" s="1" customFormat="1" ht="15" spans="2:35">
      <c r="B12" s="47"/>
      <c r="C12" s="47"/>
      <c r="E12" s="51"/>
      <c r="G12" s="52"/>
      <c r="J12" s="2"/>
      <c r="K12" s="2"/>
      <c r="O12" s="1">
        <v>1</v>
      </c>
      <c r="P12" s="29" t="s">
        <v>74</v>
      </c>
      <c r="Q12" s="23">
        <f>117.67%+205.92%+264.75%</f>
        <v>5.8834</v>
      </c>
      <c r="R12" s="24" t="s">
        <v>10</v>
      </c>
      <c r="S12" s="25">
        <f t="shared" si="0"/>
        <v>2471.728</v>
      </c>
      <c r="T12" s="23">
        <f t="shared" si="1"/>
        <v>1.413796875</v>
      </c>
      <c r="U12" s="23">
        <f t="shared" si="2"/>
        <v>2.03</v>
      </c>
      <c r="V12" s="26">
        <f t="shared" si="3"/>
        <v>2.64346</v>
      </c>
      <c r="W12" s="27">
        <f>IF(R12=$C$1,$K$4+$K$5,$K$4)+0.6</f>
        <v>0.92</v>
      </c>
      <c r="X12" s="26">
        <f t="shared" si="5"/>
        <v>0.514765646166351</v>
      </c>
      <c r="Y12" s="24">
        <f t="shared" si="6"/>
        <v>0.8</v>
      </c>
      <c r="Z12" s="28">
        <v>0.5</v>
      </c>
      <c r="AA12" s="28">
        <v>0</v>
      </c>
      <c r="AB12" s="28">
        <v>0</v>
      </c>
      <c r="AC12" s="29">
        <f t="shared" si="7"/>
        <v>138145.40873083</v>
      </c>
      <c r="AD12" s="30">
        <v>10</v>
      </c>
      <c r="AE12" s="30"/>
      <c r="AG12" s="53" t="s">
        <v>75</v>
      </c>
      <c r="AH12" s="53">
        <v>0.8</v>
      </c>
    </row>
    <row r="13" s="1" customFormat="1" ht="15" spans="2:35">
      <c r="B13" s="5" t="s">
        <v>9</v>
      </c>
      <c r="C13" s="5" t="s">
        <v>44</v>
      </c>
      <c r="D13" s="6" t="s">
        <v>11</v>
      </c>
      <c r="E13" s="6">
        <v>2</v>
      </c>
      <c r="O13" s="21">
        <v>1</v>
      </c>
      <c r="P13" s="29" t="s">
        <v>76</v>
      </c>
      <c r="Q13" s="23">
        <f>302.87%+908.61%</f>
        <v>12.1148</v>
      </c>
      <c r="R13" s="24" t="s">
        <v>10</v>
      </c>
      <c r="S13" s="25">
        <f t="shared" si="0"/>
        <v>2471.728</v>
      </c>
      <c r="T13" s="23">
        <f t="shared" si="1"/>
        <v>1.413796875</v>
      </c>
      <c r="U13" s="23">
        <f t="shared" si="2"/>
        <v>2.03</v>
      </c>
      <c r="V13" s="26">
        <f t="shared" si="3"/>
        <v>2.64346</v>
      </c>
      <c r="W13" s="27">
        <f>IF(R13=$C$1,$K$4+$K$5,$K$4)+0.6</f>
        <v>0.92</v>
      </c>
      <c r="X13" s="26">
        <f t="shared" si="5"/>
        <v>0.514765646166351</v>
      </c>
      <c r="Y13" s="24">
        <f t="shared" si="6"/>
        <v>0.8</v>
      </c>
      <c r="Z13" s="28">
        <v>0</v>
      </c>
      <c r="AA13" s="28">
        <v>0</v>
      </c>
      <c r="AB13" s="28">
        <v>0</v>
      </c>
      <c r="AC13" s="29">
        <f t="shared" si="7"/>
        <v>189641.363575739</v>
      </c>
      <c r="AD13" s="30">
        <v>10</v>
      </c>
      <c r="AE13" s="30"/>
      <c r="AG13" s="54" t="s">
        <v>77</v>
      </c>
      <c r="AH13" s="54">
        <v>0.8</v>
      </c>
    </row>
    <row r="14" s="1" customFormat="1" ht="15" spans="2:35">
      <c r="B14" s="55" t="s">
        <v>78</v>
      </c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O14" s="21">
        <v>1</v>
      </c>
      <c r="P14" s="29" t="s">
        <v>79</v>
      </c>
      <c r="Q14" s="23">
        <v>7.95</v>
      </c>
      <c r="R14" s="24" t="s">
        <v>80</v>
      </c>
      <c r="S14" s="25">
        <f t="shared" si="0"/>
        <v>2471.728</v>
      </c>
      <c r="T14" s="23">
        <f t="shared" si="1"/>
        <v>1.413796875</v>
      </c>
      <c r="U14" s="23">
        <f t="shared" si="2"/>
        <v>0.85</v>
      </c>
      <c r="V14" s="26">
        <f t="shared" si="3"/>
        <v>2.64346</v>
      </c>
      <c r="W14" s="27">
        <f>IF(R14=$C$1,$K$4+$K$5,$K$4)</f>
        <v>0</v>
      </c>
      <c r="X14" s="26">
        <f t="shared" si="5"/>
        <v>0.514765646166351</v>
      </c>
      <c r="Y14" s="24">
        <f t="shared" si="6"/>
        <v>0.8</v>
      </c>
      <c r="Z14" s="28">
        <v>0</v>
      </c>
      <c r="AA14" s="28">
        <v>0</v>
      </c>
      <c r="AB14" s="28">
        <v>0</v>
      </c>
      <c r="AC14" s="29">
        <f t="shared" si="7"/>
        <v>39574.170481198</v>
      </c>
      <c r="AD14" s="30">
        <v>10</v>
      </c>
      <c r="AE14" s="30"/>
      <c r="AG14" s="56" t="s">
        <v>81</v>
      </c>
      <c r="AH14" s="56">
        <v>0.8</v>
      </c>
    </row>
    <row r="15" s="1" customFormat="1" ht="12" customHeight="1" spans="2:35">
      <c r="B15" s="57" t="s">
        <v>32</v>
      </c>
      <c r="C15" s="57"/>
      <c r="D15" s="57" t="s">
        <v>18</v>
      </c>
      <c r="E15" s="57"/>
      <c r="F15" s="57" t="s">
        <v>33</v>
      </c>
      <c r="G15" s="57"/>
      <c r="H15" s="57" t="s">
        <v>34</v>
      </c>
      <c r="I15" s="57"/>
      <c r="J15" s="57" t="s">
        <v>20</v>
      </c>
      <c r="K15" s="57"/>
      <c r="L15" s="57" t="s">
        <v>35</v>
      </c>
      <c r="M15" s="57"/>
      <c r="O15" s="21">
        <v>1</v>
      </c>
      <c r="P15" s="58" t="s">
        <v>10</v>
      </c>
      <c r="Q15" s="23">
        <v>2.736</v>
      </c>
      <c r="R15" s="24" t="s">
        <v>10</v>
      </c>
      <c r="S15" s="25">
        <f t="shared" si="0"/>
        <v>2471.728</v>
      </c>
      <c r="T15" s="23">
        <f t="shared" si="1"/>
        <v>1.413796875</v>
      </c>
      <c r="U15" s="23">
        <f t="shared" si="2"/>
        <v>2.03</v>
      </c>
      <c r="V15" s="26">
        <f t="shared" si="3"/>
        <v>2.64346</v>
      </c>
      <c r="W15" s="27">
        <f>IF(R15=$C$1,$K$4+$K$5,$K$4)</f>
        <v>0.32</v>
      </c>
      <c r="X15" s="26">
        <f t="shared" si="5"/>
        <v>0.514765646166351</v>
      </c>
      <c r="Y15" s="24">
        <f t="shared" si="6"/>
        <v>0.8</v>
      </c>
      <c r="Z15" s="28">
        <v>0</v>
      </c>
      <c r="AA15" s="28">
        <v>0</v>
      </c>
      <c r="AB15" s="28">
        <v>0</v>
      </c>
      <c r="AC15" s="29">
        <f t="shared" si="7"/>
        <v>29444.5970949554</v>
      </c>
      <c r="AD15" s="30">
        <v>10</v>
      </c>
      <c r="AE15" s="30"/>
      <c r="AG15" s="59" t="s">
        <v>82</v>
      </c>
      <c r="AH15" s="60">
        <v>0.8</v>
      </c>
    </row>
    <row r="16" s="1" customFormat="1" ht="15" spans="2:35">
      <c r="B16" s="61" t="s">
        <v>38</v>
      </c>
      <c r="C16" s="62">
        <f>437+587</f>
        <v>1024</v>
      </c>
      <c r="D16" s="61" t="s">
        <v>39</v>
      </c>
      <c r="E16" s="63">
        <f>E13*30%</f>
        <v>0.6</v>
      </c>
      <c r="F16" s="61" t="s">
        <v>40</v>
      </c>
      <c r="G16" s="64">
        <v>0.13</v>
      </c>
      <c r="H16" s="61" t="s">
        <v>40</v>
      </c>
      <c r="I16" s="64">
        <v>1.5</v>
      </c>
      <c r="J16" s="65" t="s">
        <v>41</v>
      </c>
      <c r="K16" s="63">
        <v>0.15</v>
      </c>
      <c r="L16" s="61" t="s">
        <v>42</v>
      </c>
      <c r="M16" s="64">
        <f>8.6%*2</f>
        <v>0.172</v>
      </c>
      <c r="O16" s="61"/>
      <c r="P16" s="66" t="s">
        <v>83</v>
      </c>
      <c r="Q16" s="67">
        <f>53.45%*2+95.43%+39.23%+26.15%*6</f>
        <v>3.9846</v>
      </c>
      <c r="R16" s="68" t="s">
        <v>44</v>
      </c>
      <c r="S16" s="69">
        <f>$C$16*(1+$C$17+$C$18+$C$19+$C$20)+($C$21+$C$22)</f>
        <v>2650.928</v>
      </c>
      <c r="T16" s="67">
        <f>($C$17+$C$18+$C$19+$C$20)+($C$21+$C$22)/$C$16</f>
        <v>1.588796875</v>
      </c>
      <c r="U16" s="67">
        <f>IF(R16=$C$13,SUM($E$16:$E$21),SUM($E$16:$E$20))</f>
        <v>0.9</v>
      </c>
      <c r="V16" s="70">
        <f>1+$G$22*($I$22-1)</f>
        <v>2.7115</v>
      </c>
      <c r="W16" s="71">
        <f>IF(R16=$C$1,$K$16+$K$17,$K$16)</f>
        <v>0.15</v>
      </c>
      <c r="X16" s="70">
        <f>$AH$3</f>
        <v>0.488431876606684</v>
      </c>
      <c r="Y16" s="68">
        <f>$AH$12</f>
        <v>0.8</v>
      </c>
      <c r="Z16" s="72">
        <v>0</v>
      </c>
      <c r="AA16" s="72">
        <v>0</v>
      </c>
      <c r="AB16" s="72">
        <v>0</v>
      </c>
      <c r="AC16" s="66"/>
      <c r="AG16" s="73" t="s">
        <v>84</v>
      </c>
      <c r="AH16" s="73">
        <v>0.8</v>
      </c>
    </row>
    <row r="17" s="1" customFormat="1" ht="15" spans="2:34">
      <c r="B17" s="32" t="s">
        <v>45</v>
      </c>
      <c r="C17" s="34">
        <f>12%+12%</f>
        <v>0.24</v>
      </c>
      <c r="D17" s="32" t="s">
        <v>46</v>
      </c>
      <c r="E17" s="34"/>
      <c r="F17" s="32" t="s">
        <v>47</v>
      </c>
      <c r="G17" s="35">
        <v>0.243</v>
      </c>
      <c r="H17" s="32" t="s">
        <v>47</v>
      </c>
      <c r="I17" s="35">
        <v>0</v>
      </c>
      <c r="J17" s="37" t="s">
        <v>48</v>
      </c>
      <c r="K17" s="34">
        <v>0.25</v>
      </c>
      <c r="L17" s="32" t="s">
        <v>85</v>
      </c>
      <c r="M17" s="35">
        <f>8.6%*2</f>
        <v>0.172</v>
      </c>
      <c r="O17" s="32"/>
      <c r="P17" s="66" t="s">
        <v>83</v>
      </c>
      <c r="Q17" s="74">
        <f>53.45%*2+95.43%+39.23%+26.15%*6</f>
        <v>3.9846</v>
      </c>
      <c r="R17" s="47" t="s">
        <v>86</v>
      </c>
      <c r="S17" s="75">
        <f>$C$16*(1+$C$17+$C$18+$C$19+$C$20)+($C$21+$C$22)</f>
        <v>2650.928</v>
      </c>
      <c r="T17" s="74">
        <f>($C$17+$C$18+$C$19+$C$20)+($C$21+$C$22)/$C$16</f>
        <v>1.588796875</v>
      </c>
      <c r="U17" s="74">
        <f>IF(R17=$C$13,SUM($E$16:$E$21),SUM($E$16:$E$20))</f>
        <v>0.6</v>
      </c>
      <c r="V17" s="76">
        <f>1+$G$22*($I$22-1)</f>
        <v>2.7115</v>
      </c>
      <c r="W17" s="71">
        <f>IF(R17=$C$1,$K$16+$K$17,$K$16)</f>
        <v>0.15</v>
      </c>
      <c r="X17" s="76">
        <f>$AH$3</f>
        <v>0.488431876606684</v>
      </c>
      <c r="Y17" s="47">
        <f>$AH$12</f>
        <v>0.8</v>
      </c>
      <c r="Z17" s="77">
        <v>0</v>
      </c>
      <c r="AA17" s="77">
        <v>0</v>
      </c>
      <c r="AB17" s="77">
        <v>0</v>
      </c>
      <c r="AC17" s="66"/>
    </row>
    <row r="18" s="1" customFormat="1" ht="15" spans="2:34">
      <c r="B18" s="32" t="s">
        <v>51</v>
      </c>
      <c r="C18" s="34">
        <f>18%+18%+M16+(2-E13)*30%</f>
        <v>0.532</v>
      </c>
      <c r="D18" s="32" t="s">
        <v>52</v>
      </c>
      <c r="E18" s="34"/>
      <c r="F18" s="32" t="s">
        <v>53</v>
      </c>
      <c r="G18" s="35">
        <v>0.2</v>
      </c>
      <c r="H18" s="32" t="s">
        <v>53</v>
      </c>
      <c r="I18" s="35">
        <v>0</v>
      </c>
      <c r="J18" s="37"/>
      <c r="K18" s="35"/>
      <c r="L18" s="32" t="s">
        <v>33</v>
      </c>
      <c r="M18" s="35">
        <f>8.1*5%</f>
        <v>0.405</v>
      </c>
      <c r="O18" s="32"/>
      <c r="P18" s="66"/>
      <c r="Q18" s="74"/>
      <c r="R18" s="47"/>
      <c r="S18" s="47"/>
      <c r="T18" s="47"/>
      <c r="U18" s="74"/>
      <c r="V18" s="76"/>
      <c r="W18" s="77"/>
      <c r="X18" s="47"/>
      <c r="Y18" s="47"/>
      <c r="Z18" s="77"/>
      <c r="AA18" s="77"/>
      <c r="AB18" s="75"/>
      <c r="AC18" s="66"/>
      <c r="AG18" s="1" t="s">
        <v>87</v>
      </c>
      <c r="AH18" s="1">
        <v>0.8</v>
      </c>
    </row>
    <row r="19" s="1" customFormat="1" ht="15" spans="2:34">
      <c r="B19" s="32" t="s">
        <v>55</v>
      </c>
      <c r="C19" s="38"/>
      <c r="D19" s="32" t="s">
        <v>56</v>
      </c>
      <c r="E19" s="34"/>
      <c r="F19" s="32" t="s">
        <v>51</v>
      </c>
      <c r="G19" s="35">
        <f>M18</f>
        <v>0.405</v>
      </c>
      <c r="H19" s="32" t="s">
        <v>51</v>
      </c>
      <c r="I19" s="35">
        <f>M19+44%</f>
        <v>1.25</v>
      </c>
      <c r="J19" s="37"/>
      <c r="K19" s="35"/>
      <c r="L19" s="32" t="s">
        <v>57</v>
      </c>
      <c r="M19" s="34">
        <f>16.2%*5</f>
        <v>0.81</v>
      </c>
      <c r="O19" s="32"/>
      <c r="P19" s="66"/>
      <c r="Q19" s="74"/>
      <c r="R19" s="47"/>
      <c r="S19" s="47"/>
      <c r="T19" s="47"/>
      <c r="U19" s="74"/>
      <c r="V19" s="76"/>
      <c r="W19" s="77"/>
      <c r="X19" s="47"/>
      <c r="Y19" s="47"/>
      <c r="Z19" s="77"/>
      <c r="AA19" s="77"/>
      <c r="AB19" s="75"/>
      <c r="AC19" s="66"/>
    </row>
    <row r="20" s="1" customFormat="1" ht="15" spans="2:34">
      <c r="B20" s="32" t="s">
        <v>59</v>
      </c>
      <c r="C20" s="38">
        <f>22.5%+25%</f>
        <v>0.475</v>
      </c>
      <c r="D20" s="32" t="s">
        <v>60</v>
      </c>
      <c r="E20" s="39"/>
      <c r="F20" s="32" t="s">
        <v>61</v>
      </c>
      <c r="G20" s="35">
        <v>0</v>
      </c>
      <c r="H20" s="32" t="s">
        <v>61</v>
      </c>
      <c r="I20" s="35">
        <v>0</v>
      </c>
      <c r="J20" s="37"/>
      <c r="K20" s="35"/>
      <c r="L20" s="32"/>
      <c r="M20" s="33"/>
      <c r="O20" s="32"/>
      <c r="P20" s="66"/>
      <c r="Q20" s="74"/>
      <c r="R20" s="47"/>
      <c r="S20" s="47"/>
      <c r="T20" s="47"/>
      <c r="U20" s="74"/>
      <c r="V20" s="76"/>
      <c r="W20" s="77"/>
      <c r="X20" s="47"/>
      <c r="Y20" s="47"/>
      <c r="Z20" s="77"/>
      <c r="AA20" s="77"/>
      <c r="AB20" s="75"/>
      <c r="AC20" s="66"/>
    </row>
    <row r="21" s="1" customFormat="1" ht="15" spans="2:34">
      <c r="B21" s="32" t="s">
        <v>63</v>
      </c>
      <c r="C21" s="33">
        <v>350</v>
      </c>
      <c r="D21" s="32" t="s">
        <v>64</v>
      </c>
      <c r="E21" s="34">
        <v>0.3</v>
      </c>
      <c r="F21" s="32" t="s">
        <v>65</v>
      </c>
      <c r="G21" s="35">
        <v>0</v>
      </c>
      <c r="H21" s="32" t="s">
        <v>65</v>
      </c>
      <c r="I21" s="35">
        <v>0</v>
      </c>
      <c r="J21" s="37"/>
      <c r="K21" s="35"/>
      <c r="L21" s="32"/>
      <c r="M21" s="33"/>
      <c r="O21" s="32"/>
      <c r="P21" s="66"/>
      <c r="Q21" s="74"/>
      <c r="R21" s="47"/>
      <c r="S21" s="47"/>
      <c r="T21" s="47"/>
      <c r="U21" s="74"/>
      <c r="V21" s="76"/>
      <c r="W21" s="77"/>
      <c r="X21" s="47"/>
      <c r="Y21" s="47"/>
      <c r="Z21" s="77"/>
      <c r="AA21" s="77"/>
      <c r="AB21" s="75"/>
      <c r="AC21" s="66"/>
    </row>
    <row r="22" s="1" customFormat="1" ht="15" spans="2:34">
      <c r="B22" s="40" t="s">
        <v>67</v>
      </c>
      <c r="C22" s="41"/>
      <c r="D22" s="40"/>
      <c r="E22" s="42"/>
      <c r="F22" s="43" t="s">
        <v>68</v>
      </c>
      <c r="G22" s="44">
        <f>MIN(100%,SUM(G16:G21))</f>
        <v>0.978</v>
      </c>
      <c r="H22" s="43" t="s">
        <v>69</v>
      </c>
      <c r="I22" s="44">
        <f>SUM(I16:I21)</f>
        <v>2.75</v>
      </c>
      <c r="J22" s="45"/>
      <c r="K22" s="46"/>
      <c r="L22" s="40"/>
      <c r="M22" s="41"/>
      <c r="O22" s="32"/>
      <c r="P22" s="66"/>
      <c r="Q22" s="74"/>
      <c r="R22" s="47"/>
      <c r="S22" s="47"/>
      <c r="T22" s="47"/>
      <c r="U22" s="74"/>
      <c r="V22" s="76"/>
      <c r="W22" s="77"/>
      <c r="X22" s="47"/>
      <c r="Y22" s="47"/>
      <c r="Z22" s="77"/>
      <c r="AA22" s="77"/>
      <c r="AB22" s="75"/>
      <c r="AC22" s="66"/>
    </row>
    <row r="23" s="1" customFormat="1" ht="15" spans="2:34">
      <c r="B23" s="47"/>
      <c r="C23" s="47"/>
      <c r="E23" s="51"/>
      <c r="F23" s="19" t="s">
        <v>72</v>
      </c>
      <c r="G23" s="49">
        <f>MAX(0,SUM(G16:G21)-1)</f>
        <v>0</v>
      </c>
      <c r="J23" s="2"/>
      <c r="K23" s="2"/>
      <c r="O23" s="40"/>
      <c r="P23" s="66"/>
      <c r="Q23" s="78"/>
      <c r="R23" s="79"/>
      <c r="S23" s="79"/>
      <c r="T23" s="79"/>
      <c r="U23" s="78"/>
      <c r="V23" s="80"/>
      <c r="W23" s="81"/>
      <c r="X23" s="79"/>
      <c r="Y23" s="79"/>
      <c r="Z23" s="81"/>
      <c r="AA23" s="81"/>
      <c r="AB23" s="82"/>
      <c r="AC23" s="66"/>
    </row>
    <row r="24" s="1" customFormat="1" ht="15" spans="2:34">
      <c r="B24" s="47"/>
      <c r="C24" s="47"/>
      <c r="E24" s="51"/>
      <c r="J24" s="2"/>
      <c r="K24" s="2"/>
      <c r="O24" s="83"/>
      <c r="P24" s="84" t="s">
        <v>83</v>
      </c>
      <c r="Q24" s="85">
        <f>53.45%*2+95.43%+39.23%+26.15%*6</f>
        <v>3.9846</v>
      </c>
      <c r="R24" s="85" t="s">
        <v>44</v>
      </c>
      <c r="S24" s="86">
        <f>$C$28*(1+$C$29+$C$30+$C$31+$C$32)+($C$33+$C$34)</f>
        <v>2650.928</v>
      </c>
      <c r="T24" s="87">
        <f>S24/$C$28-1</f>
        <v>1.588796875</v>
      </c>
      <c r="U24" s="87">
        <f>IF(R24=$C$25,SUM($E$28:$E$33),SUM($E$28:$E$32))</f>
        <v>0.9</v>
      </c>
      <c r="V24" s="88">
        <f>1+$G$34*($I$34-1)</f>
        <v>2.7115</v>
      </c>
      <c r="W24" s="85">
        <f>IF(R24=$C$1,$K$28+$K$29,$K$28)</f>
        <v>0.15</v>
      </c>
      <c r="X24" s="88">
        <f>$AH$3</f>
        <v>0.488431876606684</v>
      </c>
      <c r="Y24" s="85">
        <f>$AH$13</f>
        <v>0.8</v>
      </c>
      <c r="Z24" s="89">
        <v>0</v>
      </c>
      <c r="AA24" s="89">
        <v>0</v>
      </c>
      <c r="AB24" s="89">
        <v>0</v>
      </c>
      <c r="AC24" s="84"/>
    </row>
    <row r="25" s="1" customFormat="1" ht="15" spans="2:34">
      <c r="B25" s="5" t="s">
        <v>9</v>
      </c>
      <c r="C25" s="5" t="s">
        <v>44</v>
      </c>
      <c r="D25" s="6" t="s">
        <v>11</v>
      </c>
      <c r="E25" s="6">
        <v>2</v>
      </c>
      <c r="O25" s="90"/>
      <c r="P25" s="84" t="s">
        <v>83</v>
      </c>
      <c r="Q25" s="91">
        <f>53.45%*2+95.43%+39.23%+26.15%*6</f>
        <v>3.9846</v>
      </c>
      <c r="R25" s="91" t="s">
        <v>86</v>
      </c>
      <c r="S25" s="92">
        <f>$C$28*(1+$C$29+$C$30+$C$31+$C$32)+($C$33+$C$34)</f>
        <v>2650.928</v>
      </c>
      <c r="T25" s="93">
        <f>S25/$C$28-1</f>
        <v>1.588796875</v>
      </c>
      <c r="U25" s="93">
        <f>IF(R25=$C$25,SUM($E$28:$E$33),SUM($E$28:$E$32))</f>
        <v>0.6</v>
      </c>
      <c r="V25" s="94">
        <f>1+$G$34*($I$34-1)</f>
        <v>2.7115</v>
      </c>
      <c r="W25" s="85">
        <f>IF(R25=$C$1,$K$28+$K$29,$K$28)</f>
        <v>0.15</v>
      </c>
      <c r="X25" s="94">
        <f>$AH$3</f>
        <v>0.488431876606684</v>
      </c>
      <c r="Y25" s="91">
        <f>$AH$13</f>
        <v>0.8</v>
      </c>
      <c r="Z25" s="95">
        <v>0</v>
      </c>
      <c r="AA25" s="95">
        <v>0</v>
      </c>
      <c r="AB25" s="95">
        <v>0</v>
      </c>
      <c r="AC25" s="84"/>
    </row>
    <row r="26" s="1" customFormat="1" ht="15" spans="2:34">
      <c r="B26" s="96" t="s">
        <v>88</v>
      </c>
      <c r="C26" s="96"/>
      <c r="D26" s="96"/>
      <c r="E26" s="96"/>
      <c r="F26" s="96"/>
      <c r="G26" s="96"/>
      <c r="H26" s="96"/>
      <c r="I26" s="96"/>
      <c r="J26" s="96"/>
      <c r="K26" s="96"/>
      <c r="L26" s="96"/>
      <c r="M26" s="96"/>
      <c r="O26" s="90"/>
      <c r="P26" s="84"/>
      <c r="Q26" s="91"/>
      <c r="R26" s="91"/>
      <c r="S26" s="91"/>
      <c r="T26" s="91"/>
      <c r="U26" s="93"/>
      <c r="V26" s="97"/>
      <c r="W26" s="91"/>
      <c r="X26" s="91"/>
      <c r="Y26" s="91"/>
      <c r="Z26" s="91"/>
      <c r="AA26" s="91"/>
      <c r="AB26" s="92"/>
      <c r="AC26" s="84"/>
    </row>
    <row r="27" s="1" customFormat="1" ht="15" spans="2:34">
      <c r="B27" s="19" t="s">
        <v>32</v>
      </c>
      <c r="C27" s="20"/>
      <c r="D27" s="19" t="s">
        <v>18</v>
      </c>
      <c r="E27" s="20"/>
      <c r="F27" s="19" t="s">
        <v>33</v>
      </c>
      <c r="G27" s="20"/>
      <c r="H27" s="19" t="s">
        <v>34</v>
      </c>
      <c r="I27" s="20"/>
      <c r="J27" s="19" t="s">
        <v>20</v>
      </c>
      <c r="K27" s="20"/>
      <c r="L27" s="19" t="s">
        <v>35</v>
      </c>
      <c r="M27" s="20"/>
      <c r="O27" s="90"/>
      <c r="P27" s="84"/>
      <c r="Q27" s="93"/>
      <c r="R27" s="91"/>
      <c r="S27" s="91"/>
      <c r="T27" s="91"/>
      <c r="U27" s="93"/>
      <c r="V27" s="97"/>
      <c r="W27" s="91"/>
      <c r="X27" s="91"/>
      <c r="Y27" s="91"/>
      <c r="Z27" s="91"/>
      <c r="AA27" s="91"/>
      <c r="AB27" s="92"/>
      <c r="AC27" s="84"/>
    </row>
    <row r="28" s="1" customFormat="1" ht="15" spans="2:34">
      <c r="B28" s="32" t="s">
        <v>38</v>
      </c>
      <c r="C28" s="33">
        <f>437+587</f>
        <v>1024</v>
      </c>
      <c r="D28" s="32" t="s">
        <v>39</v>
      </c>
      <c r="E28" s="34">
        <f>E25*30%</f>
        <v>0.6</v>
      </c>
      <c r="F28" s="32" t="s">
        <v>40</v>
      </c>
      <c r="G28" s="35">
        <v>0.13</v>
      </c>
      <c r="H28" s="32" t="s">
        <v>40</v>
      </c>
      <c r="I28" s="35">
        <v>1.5</v>
      </c>
      <c r="J28" s="36" t="s">
        <v>41</v>
      </c>
      <c r="K28" s="34">
        <v>0.15</v>
      </c>
      <c r="L28" s="32" t="s">
        <v>42</v>
      </c>
      <c r="M28" s="35">
        <f>8.6%*2</f>
        <v>0.172</v>
      </c>
      <c r="O28" s="90"/>
      <c r="P28" s="84"/>
      <c r="Q28" s="93"/>
      <c r="R28" s="91"/>
      <c r="S28" s="91"/>
      <c r="T28" s="91"/>
      <c r="U28" s="93"/>
      <c r="V28" s="97"/>
      <c r="W28" s="91"/>
      <c r="X28" s="91"/>
      <c r="Y28" s="91"/>
      <c r="Z28" s="91"/>
      <c r="AA28" s="91"/>
      <c r="AB28" s="92"/>
      <c r="AC28" s="84"/>
    </row>
    <row r="29" s="1" customFormat="1" ht="15" spans="2:34">
      <c r="B29" s="32" t="s">
        <v>45</v>
      </c>
      <c r="C29" s="34">
        <f>12%+12%</f>
        <v>0.24</v>
      </c>
      <c r="D29" s="32" t="s">
        <v>46</v>
      </c>
      <c r="E29" s="34"/>
      <c r="F29" s="32" t="s">
        <v>47</v>
      </c>
      <c r="G29" s="35">
        <v>0.243</v>
      </c>
      <c r="H29" s="32" t="s">
        <v>47</v>
      </c>
      <c r="I29" s="35">
        <v>0</v>
      </c>
      <c r="J29" s="37" t="s">
        <v>48</v>
      </c>
      <c r="K29" s="34">
        <v>0.25</v>
      </c>
      <c r="L29" s="32" t="s">
        <v>85</v>
      </c>
      <c r="M29" s="35">
        <f>8.6%*2</f>
        <v>0.172</v>
      </c>
      <c r="O29" s="90"/>
      <c r="P29" s="84"/>
      <c r="Q29" s="92"/>
      <c r="R29" s="91"/>
      <c r="S29" s="91"/>
      <c r="T29" s="91"/>
      <c r="U29" s="93"/>
      <c r="V29" s="92"/>
      <c r="W29" s="91"/>
      <c r="X29" s="91"/>
      <c r="Y29" s="91"/>
      <c r="Z29" s="91"/>
      <c r="AA29" s="91"/>
      <c r="AB29" s="92"/>
      <c r="AC29" s="84"/>
    </row>
    <row r="30" s="1" customFormat="1" ht="15" spans="2:34">
      <c r="B30" s="32" t="s">
        <v>51</v>
      </c>
      <c r="C30" s="34">
        <f>18%+18%+M28+(2-E25)*30%</f>
        <v>0.532</v>
      </c>
      <c r="D30" s="32" t="s">
        <v>52</v>
      </c>
      <c r="E30" s="34"/>
      <c r="F30" s="32" t="s">
        <v>53</v>
      </c>
      <c r="G30" s="35">
        <v>0.2</v>
      </c>
      <c r="H30" s="32" t="s">
        <v>53</v>
      </c>
      <c r="I30" s="35">
        <v>0</v>
      </c>
      <c r="J30" s="37"/>
      <c r="K30" s="35"/>
      <c r="L30" s="32" t="s">
        <v>33</v>
      </c>
      <c r="M30" s="35">
        <f>8.1*5%</f>
        <v>0.405</v>
      </c>
      <c r="O30" s="90"/>
      <c r="P30" s="84"/>
      <c r="Q30" s="92"/>
      <c r="R30" s="91"/>
      <c r="S30" s="91"/>
      <c r="T30" s="91"/>
      <c r="U30" s="93"/>
      <c r="V30" s="92"/>
      <c r="W30" s="91"/>
      <c r="X30" s="91"/>
      <c r="Y30" s="91"/>
      <c r="Z30" s="91"/>
      <c r="AA30" s="91"/>
      <c r="AB30" s="92"/>
      <c r="AC30" s="84"/>
    </row>
    <row r="31" s="1" customFormat="1" ht="15" spans="2:34">
      <c r="B31" s="32" t="s">
        <v>55</v>
      </c>
      <c r="C31" s="38"/>
      <c r="D31" s="32" t="s">
        <v>56</v>
      </c>
      <c r="E31" s="34"/>
      <c r="F31" s="32" t="s">
        <v>51</v>
      </c>
      <c r="G31" s="35">
        <f>M30</f>
        <v>0.405</v>
      </c>
      <c r="H31" s="32" t="s">
        <v>51</v>
      </c>
      <c r="I31" s="35">
        <f>M31+44%</f>
        <v>1.25</v>
      </c>
      <c r="J31" s="37"/>
      <c r="K31" s="35"/>
      <c r="L31" s="32" t="s">
        <v>57</v>
      </c>
      <c r="M31" s="34">
        <f>16.2%*5</f>
        <v>0.81</v>
      </c>
      <c r="O31" s="90"/>
      <c r="P31" s="84"/>
      <c r="Q31" s="92"/>
      <c r="R31" s="91"/>
      <c r="S31" s="91"/>
      <c r="T31" s="91"/>
      <c r="U31" s="91"/>
      <c r="V31" s="92"/>
      <c r="W31" s="91"/>
      <c r="X31" s="91"/>
      <c r="Y31" s="91"/>
      <c r="Z31" s="91"/>
      <c r="AA31" s="91"/>
      <c r="AB31" s="92"/>
      <c r="AC31" s="84"/>
    </row>
    <row r="32" s="1" customFormat="1" ht="15" spans="2:34">
      <c r="B32" s="32" t="s">
        <v>59</v>
      </c>
      <c r="C32" s="38">
        <f>22.5%+25%</f>
        <v>0.475</v>
      </c>
      <c r="D32" s="32" t="s">
        <v>60</v>
      </c>
      <c r="E32" s="39"/>
      <c r="F32" s="32" t="s">
        <v>61</v>
      </c>
      <c r="G32" s="35">
        <v>0</v>
      </c>
      <c r="H32" s="32" t="s">
        <v>61</v>
      </c>
      <c r="I32" s="35">
        <v>0</v>
      </c>
      <c r="J32" s="37"/>
      <c r="K32" s="35"/>
      <c r="L32" s="32"/>
      <c r="M32" s="33"/>
      <c r="O32" s="90"/>
      <c r="P32" s="84"/>
      <c r="Q32" s="92"/>
      <c r="R32" s="91"/>
      <c r="S32" s="91"/>
      <c r="T32" s="91"/>
      <c r="U32" s="93"/>
      <c r="V32" s="93"/>
      <c r="W32" s="91"/>
      <c r="X32" s="91"/>
      <c r="Y32" s="91"/>
      <c r="Z32" s="91"/>
      <c r="AA32" s="91"/>
      <c r="AB32" s="92"/>
      <c r="AC32" s="84"/>
    </row>
    <row r="33" s="1" customFormat="1" ht="15" spans="2:29">
      <c r="B33" s="32" t="s">
        <v>63</v>
      </c>
      <c r="C33" s="33">
        <v>350</v>
      </c>
      <c r="D33" s="32" t="s">
        <v>64</v>
      </c>
      <c r="E33" s="34">
        <v>0.3</v>
      </c>
      <c r="F33" s="32" t="s">
        <v>65</v>
      </c>
      <c r="G33" s="35">
        <v>0</v>
      </c>
      <c r="H33" s="32" t="s">
        <v>65</v>
      </c>
      <c r="I33" s="35">
        <v>0</v>
      </c>
      <c r="J33" s="37"/>
      <c r="K33" s="35"/>
      <c r="L33" s="32"/>
      <c r="M33" s="33"/>
      <c r="O33" s="98"/>
      <c r="P33" s="84"/>
      <c r="Q33" s="99"/>
      <c r="R33" s="100"/>
      <c r="S33" s="100"/>
      <c r="T33" s="100"/>
      <c r="U33" s="99"/>
      <c r="V33" s="101"/>
      <c r="W33" s="100"/>
      <c r="X33" s="100"/>
      <c r="Y33" s="100"/>
      <c r="Z33" s="100"/>
      <c r="AA33" s="100"/>
      <c r="AB33" s="102"/>
      <c r="AC33" s="84"/>
    </row>
    <row r="34" s="1" customFormat="1" spans="2:29">
      <c r="B34" s="40" t="s">
        <v>67</v>
      </c>
      <c r="C34" s="41"/>
      <c r="D34" s="40"/>
      <c r="E34" s="42"/>
      <c r="F34" s="43" t="s">
        <v>68</v>
      </c>
      <c r="G34" s="44">
        <f>MIN(100%,SUM(G28:G33))</f>
        <v>0.978</v>
      </c>
      <c r="H34" s="43" t="s">
        <v>69</v>
      </c>
      <c r="I34" s="44">
        <f>SUM(I28:I33)</f>
        <v>2.75</v>
      </c>
      <c r="J34" s="45"/>
      <c r="K34" s="46"/>
      <c r="L34" s="40"/>
      <c r="M34" s="41"/>
    </row>
    <row r="35" s="1" customFormat="1" ht="15" spans="2:29">
      <c r="F35" s="19" t="s">
        <v>72</v>
      </c>
      <c r="G35" s="49">
        <f>MAX(0,SUM(G28:G33)-1)</f>
        <v>0</v>
      </c>
      <c r="O35" s="61">
        <f t="shared" ref="O35:O37" si="10">$O$38</f>
        <v>0</v>
      </c>
      <c r="P35" s="68" t="s">
        <v>89</v>
      </c>
      <c r="Q35" s="67">
        <v>18.8075</v>
      </c>
      <c r="R35" s="68" t="s">
        <v>90</v>
      </c>
      <c r="S35" s="68">
        <v>10027</v>
      </c>
      <c r="T35" s="67">
        <v>0</v>
      </c>
      <c r="U35" s="67">
        <v>0</v>
      </c>
      <c r="V35" s="70">
        <v>1</v>
      </c>
      <c r="W35" s="71">
        <v>0</v>
      </c>
      <c r="X35" s="70">
        <f t="shared" ref="X35:X38" si="11">$AH$3</f>
        <v>0.488431876606684</v>
      </c>
      <c r="Y35" s="68">
        <f t="shared" ref="Y35:Y38" si="12">$AH$18</f>
        <v>0.8</v>
      </c>
      <c r="Z35" s="72">
        <v>0</v>
      </c>
      <c r="AA35" s="72">
        <v>0</v>
      </c>
      <c r="AB35" s="63">
        <v>0.5</v>
      </c>
      <c r="AC35" s="103">
        <f t="shared" ref="AC35:AC38" si="13">Q35*S35*(1+T35)*(1+U35)*V35*(1+W35)*X35*Y35*(1+Z35)*(1+AA35)*(1+AB35)*O35</f>
        <v>0</v>
      </c>
    </row>
    <row r="36" s="1" customFormat="1" ht="15" spans="2:29">
      <c r="G36" s="2"/>
      <c r="O36" s="32">
        <f t="shared" si="10"/>
        <v>0</v>
      </c>
      <c r="P36" s="47" t="s">
        <v>91</v>
      </c>
      <c r="Q36" s="74">
        <v>2.9822</v>
      </c>
      <c r="R36" s="47" t="s">
        <v>90</v>
      </c>
      <c r="S36" s="47">
        <v>10027</v>
      </c>
      <c r="T36" s="74">
        <v>0</v>
      </c>
      <c r="U36" s="74">
        <v>0</v>
      </c>
      <c r="V36" s="76">
        <v>1</v>
      </c>
      <c r="W36" s="48">
        <v>0</v>
      </c>
      <c r="X36" s="76">
        <f t="shared" si="11"/>
        <v>0.488431876606684</v>
      </c>
      <c r="Y36" s="47">
        <f t="shared" si="12"/>
        <v>0.8</v>
      </c>
      <c r="Z36" s="77">
        <v>0</v>
      </c>
      <c r="AA36" s="77">
        <v>0</v>
      </c>
      <c r="AB36" s="34">
        <v>0.5</v>
      </c>
      <c r="AC36" s="103">
        <f t="shared" si="13"/>
        <v>0</v>
      </c>
    </row>
    <row r="37" s="1" customFormat="1" ht="15" spans="2:29">
      <c r="B37" s="104" t="s">
        <v>92</v>
      </c>
      <c r="D37" s="104"/>
      <c r="G37" s="2"/>
      <c r="O37" s="32">
        <f t="shared" si="10"/>
        <v>0</v>
      </c>
      <c r="P37" s="47" t="s">
        <v>93</v>
      </c>
      <c r="Q37" s="74">
        <v>5.9643</v>
      </c>
      <c r="R37" s="47" t="s">
        <v>90</v>
      </c>
      <c r="S37" s="47">
        <v>10027</v>
      </c>
      <c r="T37" s="74">
        <v>0</v>
      </c>
      <c r="U37" s="74">
        <v>0</v>
      </c>
      <c r="V37" s="76">
        <v>1</v>
      </c>
      <c r="W37" s="48">
        <v>0</v>
      </c>
      <c r="X37" s="76">
        <f t="shared" si="11"/>
        <v>0.488431876606684</v>
      </c>
      <c r="Y37" s="47">
        <f t="shared" si="12"/>
        <v>0.8</v>
      </c>
      <c r="Z37" s="77">
        <v>0</v>
      </c>
      <c r="AA37" s="77">
        <v>0</v>
      </c>
      <c r="AB37" s="34">
        <v>0.5</v>
      </c>
      <c r="AC37" s="105">
        <f t="shared" si="13"/>
        <v>0</v>
      </c>
    </row>
    <row r="38" s="1" customFormat="1" ht="15" spans="2:29">
      <c r="B38" s="106"/>
      <c r="C38" s="107" t="s">
        <v>94</v>
      </c>
      <c r="D38" s="107" t="s">
        <v>95</v>
      </c>
      <c r="E38" s="107" t="s">
        <v>96</v>
      </c>
      <c r="F38" s="107" t="s">
        <v>97</v>
      </c>
      <c r="G38" s="2"/>
      <c r="O38" s="19"/>
      <c r="P38" s="108" t="s">
        <v>98</v>
      </c>
      <c r="Q38" s="109">
        <v>16</v>
      </c>
      <c r="R38" s="108" t="s">
        <v>99</v>
      </c>
      <c r="S38" s="108">
        <v>10027</v>
      </c>
      <c r="T38" s="109">
        <v>0</v>
      </c>
      <c r="U38" s="109">
        <v>0</v>
      </c>
      <c r="V38" s="110">
        <v>1</v>
      </c>
      <c r="W38" s="111">
        <v>0</v>
      </c>
      <c r="X38" s="110">
        <f t="shared" si="11"/>
        <v>0.488431876606684</v>
      </c>
      <c r="Y38" s="108">
        <f t="shared" si="12"/>
        <v>0.8</v>
      </c>
      <c r="Z38" s="112">
        <v>0</v>
      </c>
      <c r="AA38" s="112">
        <v>0</v>
      </c>
      <c r="AB38" s="113">
        <v>0.1</v>
      </c>
      <c r="AC38" s="114">
        <f t="shared" si="13"/>
        <v>0</v>
      </c>
    </row>
    <row r="39" s="1" customFormat="1" ht="15" spans="2:29">
      <c r="B39" s="4" t="s">
        <v>100</v>
      </c>
      <c r="C39" s="115">
        <f>SUM(AC3:AC15)</f>
        <v>712346.020542489</v>
      </c>
      <c r="D39" s="115">
        <f t="shared" ref="D39:D43" si="14">C39/$E$39</f>
        <v>28493.8408216996</v>
      </c>
      <c r="E39" s="116">
        <v>25</v>
      </c>
      <c r="F39" s="117">
        <f t="shared" ref="F39:F43" si="15">C39/$C$44</f>
        <v>1</v>
      </c>
      <c r="G39" s="2"/>
      <c r="Q39" s="2"/>
      <c r="U39" s="2"/>
      <c r="V39" s="3"/>
      <c r="AB39" s="4"/>
      <c r="AC39" s="4"/>
    </row>
    <row r="40" s="1" customFormat="1" ht="15" spans="2:29">
      <c r="B40" s="4" t="s">
        <v>78</v>
      </c>
      <c r="C40" s="115">
        <f>SUM(AC16:AC23)</f>
        <v>0</v>
      </c>
      <c r="D40" s="115">
        <f t="shared" si="14"/>
        <v>0</v>
      </c>
      <c r="E40" s="118"/>
      <c r="F40" s="117">
        <f t="shared" si="15"/>
        <v>0</v>
      </c>
      <c r="G40" s="2"/>
      <c r="N40" s="83" t="s">
        <v>101</v>
      </c>
      <c r="O40" s="85" t="s">
        <v>12</v>
      </c>
      <c r="P40" s="85"/>
      <c r="Q40" s="87"/>
      <c r="R40" s="85"/>
      <c r="S40" s="85"/>
      <c r="T40" s="85"/>
      <c r="U40" s="87"/>
      <c r="V40" s="119"/>
      <c r="W40" s="85"/>
      <c r="X40" s="85"/>
      <c r="Y40" s="85"/>
      <c r="Z40" s="85"/>
      <c r="AA40" s="85"/>
      <c r="AB40" s="86"/>
      <c r="AC40" s="120"/>
    </row>
    <row r="41" s="1" customFormat="1" ht="15" spans="2:29">
      <c r="B41" s="4" t="s">
        <v>88</v>
      </c>
      <c r="C41" s="115">
        <f>SUM(AC24:AC33)</f>
        <v>0</v>
      </c>
      <c r="D41" s="115">
        <f t="shared" si="14"/>
        <v>0</v>
      </c>
      <c r="E41" s="121"/>
      <c r="F41" s="117">
        <f t="shared" si="15"/>
        <v>0</v>
      </c>
      <c r="G41" s="2"/>
      <c r="N41" s="32"/>
      <c r="O41" s="47">
        <v>1</v>
      </c>
      <c r="P41" s="122" t="s">
        <v>102</v>
      </c>
      <c r="Q41" s="123">
        <f>IF(N41&gt;0,(MAX(45%,112.5%+112.5%*(N41-2))),(IF(N41&lt;=0,0)))</f>
        <v>0</v>
      </c>
      <c r="R41" s="122" t="s">
        <v>102</v>
      </c>
      <c r="S41" s="124">
        <v>3674.1</v>
      </c>
      <c r="T41" s="125">
        <v>0</v>
      </c>
      <c r="U41" s="125">
        <v>0</v>
      </c>
      <c r="V41" s="126">
        <v>1</v>
      </c>
      <c r="W41" s="127">
        <v>0</v>
      </c>
      <c r="X41" s="126">
        <f t="shared" ref="X41:X44" si="16">$AH$3</f>
        <v>0.488431876606684</v>
      </c>
      <c r="Y41" s="122">
        <f>$AH$13</f>
        <v>0.8</v>
      </c>
      <c r="Z41" s="128">
        <v>0</v>
      </c>
      <c r="AA41" s="128">
        <v>0</v>
      </c>
      <c r="AB41" s="128">
        <v>0</v>
      </c>
      <c r="AC41" s="129">
        <f t="shared" ref="AC41:AC44" si="17">Q41*S41*(1+T41)*(1+U41)*V41*(1+W41)*X41*Y41*(1+Z41)*(1+AA41)*(1+AB41)*O41</f>
        <v>0</v>
      </c>
    </row>
    <row r="42" s="1" customFormat="1" ht="15" spans="2:29">
      <c r="B42" s="4" t="s">
        <v>90</v>
      </c>
      <c r="C42" s="115">
        <f>SUM(AC35:AC37)</f>
        <v>0</v>
      </c>
      <c r="D42" s="115">
        <f t="shared" si="14"/>
        <v>0</v>
      </c>
      <c r="E42" s="121"/>
      <c r="F42" s="117">
        <f t="shared" si="15"/>
        <v>0</v>
      </c>
      <c r="G42" s="2"/>
      <c r="N42" s="32"/>
      <c r="O42" s="47"/>
      <c r="P42" s="130" t="s">
        <v>103</v>
      </c>
      <c r="Q42" s="131">
        <f>IF(N42=1,0.3,IF(AND(N42&gt;=2,N42&lt;=10),0.3+0.2439*(N42-1),IF(AND(N42&gt;=11),2.4951+0.8317*(N42-10),IF(AND(N42&lt;=0),0,""))))</f>
        <v>0</v>
      </c>
      <c r="R42" s="130" t="s">
        <v>103</v>
      </c>
      <c r="S42" s="132">
        <v>3674.1</v>
      </c>
      <c r="T42" s="133">
        <v>0</v>
      </c>
      <c r="U42" s="133">
        <v>0</v>
      </c>
      <c r="V42" s="134">
        <v>1</v>
      </c>
      <c r="W42" s="135">
        <v>0</v>
      </c>
      <c r="X42" s="134">
        <f t="shared" si="16"/>
        <v>0.488431876606684</v>
      </c>
      <c r="Y42" s="130">
        <f>$AH$11</f>
        <v>0.8</v>
      </c>
      <c r="Z42" s="136">
        <v>0</v>
      </c>
      <c r="AA42" s="136">
        <v>0</v>
      </c>
      <c r="AB42" s="136">
        <v>0</v>
      </c>
      <c r="AC42" s="137">
        <f t="shared" si="17"/>
        <v>0</v>
      </c>
    </row>
    <row r="43" s="1" customFormat="1" ht="15" spans="2:29">
      <c r="B43" s="4" t="s">
        <v>98</v>
      </c>
      <c r="C43" s="115">
        <f>AC38</f>
        <v>0</v>
      </c>
      <c r="D43" s="115">
        <f t="shared" si="14"/>
        <v>0</v>
      </c>
      <c r="E43" s="121"/>
      <c r="F43" s="117">
        <f t="shared" si="15"/>
        <v>0</v>
      </c>
      <c r="G43" s="2"/>
      <c r="N43" s="32"/>
      <c r="O43" s="47">
        <v>1</v>
      </c>
      <c r="P43" s="59" t="s">
        <v>104</v>
      </c>
      <c r="Q43" s="138" t="str">
        <f>IF(N43=1,24.5%,IF(AND(10&gt;=N43,N43&gt;=2),24.5%+(N43-1)*19.9185%,IF(AND(13&gt;=N43,N43&gt;=11),203.77%+(N43-10)*(271.69%-203.77%),"")))</f>
        <v/>
      </c>
      <c r="R43" s="59" t="s">
        <v>104</v>
      </c>
      <c r="S43" s="139">
        <v>3674.1</v>
      </c>
      <c r="T43" s="140">
        <v>0</v>
      </c>
      <c r="U43" s="140">
        <v>0</v>
      </c>
      <c r="V43" s="141">
        <v>1</v>
      </c>
      <c r="W43" s="142">
        <v>0</v>
      </c>
      <c r="X43" s="141">
        <f t="shared" si="16"/>
        <v>0.488431876606684</v>
      </c>
      <c r="Y43" s="59">
        <f>$AH$15</f>
        <v>0.8</v>
      </c>
      <c r="Z43" s="143">
        <v>0</v>
      </c>
      <c r="AA43" s="143">
        <v>0</v>
      </c>
      <c r="AB43" s="143">
        <v>0</v>
      </c>
      <c r="AC43" s="144" t="e">
        <f t="shared" si="17"/>
        <v>#VALUE!</v>
      </c>
    </row>
    <row r="44" s="1" customFormat="1" ht="15" spans="2:29">
      <c r="B44" s="4" t="s">
        <v>105</v>
      </c>
      <c r="C44" s="145">
        <f>SUM(C39:C43)</f>
        <v>712346.020542489</v>
      </c>
      <c r="D44" s="145">
        <f>C44/E39</f>
        <v>28493.8408216996</v>
      </c>
      <c r="E44" s="146"/>
      <c r="F44" s="147"/>
      <c r="G44" s="2"/>
      <c r="N44" s="40"/>
      <c r="O44" s="79">
        <v>1</v>
      </c>
      <c r="P44" s="148" t="s">
        <v>106</v>
      </c>
      <c r="Q44" s="149" t="str">
        <f>IF(N44=1,0.84,IF(N44=2,1.5229,IF(N44=3,2.2058,IF(N44=4,2.8888,IF(N44=5,3.5717,IF(N44=6,4.2546,IF(N44=7,4.9375,IF(N44=8,5.6204,IF(N44=9,6.3034,IF(N44=10,6.9863,IF(N44=11,9.315,IF(N44=12,11.6438,IF(N44=13,13.9726,"")))))))))))))</f>
        <v/>
      </c>
      <c r="R44" s="148" t="s">
        <v>106</v>
      </c>
      <c r="S44" s="150">
        <v>3674.1</v>
      </c>
      <c r="T44" s="151">
        <v>0</v>
      </c>
      <c r="U44" s="151">
        <v>0</v>
      </c>
      <c r="V44" s="152">
        <v>1</v>
      </c>
      <c r="W44" s="153">
        <v>0</v>
      </c>
      <c r="X44" s="152">
        <f t="shared" si="16"/>
        <v>0.488431876606684</v>
      </c>
      <c r="Y44" s="148">
        <f>$AH$16</f>
        <v>0.8</v>
      </c>
      <c r="Z44" s="154">
        <v>0</v>
      </c>
      <c r="AA44" s="154">
        <v>0</v>
      </c>
      <c r="AB44" s="154">
        <v>0</v>
      </c>
      <c r="AC44" s="155" t="e">
        <f t="shared" si="17"/>
        <v>#VALUE!</v>
      </c>
    </row>
    <row r="45" s="1" customFormat="1" spans="2:29">
      <c r="B45" s="4"/>
      <c r="C45" s="4"/>
      <c r="D45" s="4"/>
      <c r="G45" s="2"/>
      <c r="Q45" s="2"/>
      <c r="U45" s="2"/>
      <c r="V45" s="3"/>
      <c r="AB45" s="4"/>
      <c r="AC45" s="4"/>
    </row>
    <row r="46" s="1" customFormat="1" spans="2:29">
      <c r="B46" s="4"/>
      <c r="C46" s="4"/>
      <c r="D46" s="4"/>
      <c r="F46" s="4"/>
      <c r="G46" s="2"/>
      <c r="Q46" s="2"/>
      <c r="U46" s="2"/>
      <c r="V46" s="3"/>
      <c r="AB46" s="4"/>
      <c r="AC46" s="4"/>
    </row>
    <row r="47" s="1" customFormat="1" spans="2:29">
      <c r="F47" s="4"/>
      <c r="G47" s="2"/>
      <c r="Q47" s="2"/>
      <c r="U47" s="2"/>
      <c r="V47" s="3"/>
      <c r="AB47" s="4"/>
      <c r="AC47" s="4"/>
    </row>
    <row r="48" s="1" customFormat="1" spans="2:29">
      <c r="Q48" s="2"/>
      <c r="U48" s="2"/>
      <c r="V48" s="3"/>
      <c r="AB48" s="4"/>
      <c r="AC48" s="4"/>
    </row>
    <row r="49" s="1" customFormat="1" spans="2:29">
      <c r="B49" s="4"/>
      <c r="C49" s="4"/>
      <c r="D49" s="4"/>
      <c r="F49" s="4"/>
      <c r="G49" s="2"/>
      <c r="Q49" s="2"/>
      <c r="U49" s="2"/>
      <c r="V49" s="3"/>
      <c r="AB49" s="4"/>
      <c r="AC49" s="4"/>
    </row>
    <row r="50" s="1" customFormat="1" spans="2:29">
      <c r="B50" s="4"/>
      <c r="C50" s="4"/>
      <c r="D50" s="4"/>
      <c r="F50" s="4"/>
      <c r="G50" s="2"/>
      <c r="Q50" s="2"/>
      <c r="U50" s="2"/>
      <c r="V50" s="3"/>
      <c r="AB50" s="4"/>
      <c r="AC50" s="4"/>
    </row>
    <row r="51" s="1" customFormat="1" spans="2:29">
      <c r="G51" s="2"/>
      <c r="Q51" s="2"/>
      <c r="U51" s="2"/>
      <c r="V51" s="3"/>
      <c r="AB51" s="4"/>
      <c r="AC51" s="4"/>
    </row>
    <row r="52" s="1" customFormat="1" spans="2:29">
      <c r="B52" s="4"/>
      <c r="C52" s="4"/>
      <c r="D52" s="4"/>
      <c r="F52" s="4"/>
      <c r="G52" s="2"/>
      <c r="Q52" s="2"/>
      <c r="U52" s="2"/>
      <c r="V52" s="3"/>
      <c r="AB52" s="4"/>
      <c r="AC52" s="4"/>
    </row>
    <row r="53" s="1" customFormat="1" spans="2:29">
      <c r="B53" s="4"/>
      <c r="C53" s="4"/>
      <c r="D53" s="4"/>
      <c r="F53" s="4"/>
      <c r="G53" s="2"/>
      <c r="Q53" s="2"/>
      <c r="U53" s="2"/>
      <c r="V53" s="3"/>
      <c r="AB53" s="4"/>
      <c r="AC53" s="4"/>
    </row>
    <row r="54" s="1" customFormat="1" spans="2:29">
      <c r="G54" s="2"/>
      <c r="Q54" s="2"/>
      <c r="U54" s="2"/>
      <c r="V54" s="3"/>
      <c r="AB54" s="4"/>
      <c r="AC54" s="4"/>
    </row>
    <row r="55" s="1" customFormat="1" spans="2:29">
      <c r="B55" s="4"/>
      <c r="C55" s="4"/>
      <c r="D55" s="4"/>
      <c r="F55" s="4"/>
      <c r="G55" s="2"/>
      <c r="Q55" s="2"/>
      <c r="U55" s="2"/>
      <c r="V55" s="3"/>
      <c r="AB55" s="4"/>
      <c r="AC55" s="4"/>
    </row>
    <row r="56" s="1" customFormat="1" spans="2:29">
      <c r="B56" s="4"/>
      <c r="C56" s="4"/>
      <c r="D56" s="4"/>
      <c r="G56" s="2"/>
      <c r="Q56" s="2"/>
      <c r="U56" s="2"/>
      <c r="V56" s="3"/>
      <c r="AB56" s="4"/>
      <c r="AC56" s="4"/>
    </row>
    <row r="57" s="1" customFormat="1" spans="2:29">
      <c r="G57" s="2"/>
      <c r="Q57" s="2"/>
      <c r="U57" s="2"/>
      <c r="V57" s="3"/>
      <c r="AB57" s="4"/>
      <c r="AC57" s="4"/>
    </row>
    <row r="58" s="1" customFormat="1" spans="2:29">
      <c r="B58" s="4"/>
      <c r="C58" s="4"/>
      <c r="D58" s="4"/>
      <c r="G58" s="2"/>
      <c r="Q58" s="2"/>
      <c r="U58" s="2"/>
      <c r="V58" s="3"/>
      <c r="AB58" s="4"/>
      <c r="AC58" s="4"/>
    </row>
    <row r="59" s="1" customFormat="1" spans="2:29">
      <c r="G59" s="2"/>
      <c r="Q59" s="2"/>
      <c r="U59" s="2"/>
      <c r="V59" s="3"/>
      <c r="AB59" s="4"/>
      <c r="AC59" s="4"/>
    </row>
  </sheetData>
  <mergeCells count="21">
    <mergeCell ref="B2:M2"/>
    <mergeCell ref="B3:C3"/>
    <mergeCell ref="D3:E3"/>
    <mergeCell ref="F3:G3"/>
    <mergeCell ref="H3:I3"/>
    <mergeCell ref="J3:K3"/>
    <mergeCell ref="L3:M3"/>
    <mergeCell ref="B14:M14"/>
    <mergeCell ref="B15:C15"/>
    <mergeCell ref="D15:E15"/>
    <mergeCell ref="F15:G15"/>
    <mergeCell ref="H15:I15"/>
    <mergeCell ref="J15:K15"/>
    <mergeCell ref="L15:M15"/>
    <mergeCell ref="B26:M26"/>
    <mergeCell ref="B27:C27"/>
    <mergeCell ref="D27:E27"/>
    <mergeCell ref="F27:G27"/>
    <mergeCell ref="H27:I27"/>
    <mergeCell ref="J27:K27"/>
    <mergeCell ref="L27:M27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59"/>
  <sheetViews>
    <sheetView topLeftCell="A16" workbookViewId="0">
      <selection activeCell="A16" sqref="$A1:$XFD1048576"/>
    </sheetView>
  </sheetViews>
  <sheetFormatPr defaultColWidth="9.69090909090909" defaultRowHeight="14"/>
  <cols>
    <col min="1" max="1" width="9.69090909090909" style="1"/>
    <col min="2" max="2" width="15.4545454545455" style="1" customWidth="1"/>
    <col min="3" max="3" width="10" style="1" customWidth="1"/>
    <col min="4" max="4" width="11.8181818181818" style="1" customWidth="1"/>
    <col min="5" max="5" width="5.54545454545455" style="1" customWidth="1"/>
    <col min="6" max="6" width="11.8181818181818" style="1" customWidth="1"/>
    <col min="7" max="7" width="7.54545454545455" style="2" customWidth="1"/>
    <col min="8" max="8" width="14" style="1" customWidth="1"/>
    <col min="9" max="9" width="8.54545454545454" style="1" customWidth="1"/>
    <col min="10" max="10" width="11.8181818181818" style="1" customWidth="1"/>
    <col min="11" max="11" width="4.54545454545455" style="1" customWidth="1"/>
    <col min="12" max="12" width="9.54545454545454" style="1" customWidth="1"/>
    <col min="13" max="13" width="7.54545454545455" style="1" customWidth="1"/>
    <col min="14" max="14" width="5.54545454545455" style="1" customWidth="1"/>
    <col min="15" max="15" width="6.27272727272727" style="1" customWidth="1"/>
    <col min="16" max="16" width="21.2727272727273" style="1" customWidth="1"/>
    <col min="17" max="17" width="9.54545454545454" style="2" customWidth="1"/>
    <col min="18" max="18" width="6.27272727272727" style="1" customWidth="1"/>
    <col min="19" max="19" width="11" style="1" customWidth="1"/>
    <col min="20" max="20" width="8.54545454545454" style="1" customWidth="1"/>
    <col min="21" max="21" width="8.54545454545454" style="2" customWidth="1"/>
    <col min="22" max="22" width="8.54545454545454" style="3" customWidth="1"/>
    <col min="23" max="25" width="8.54545454545454" style="1" customWidth="1"/>
    <col min="26" max="26" width="11" style="1" customWidth="1"/>
    <col min="27" max="27" width="8.54545454545454" style="1" customWidth="1"/>
    <col min="28" max="28" width="11" style="4" customWidth="1"/>
    <col min="29" max="29" width="10" style="4" customWidth="1"/>
    <col min="30" max="30" width="9.54545454545454" style="1" customWidth="1"/>
    <col min="31" max="31" width="5.54545454545455" style="1" customWidth="1"/>
    <col min="32" max="32" width="8.54545454545454" style="1" customWidth="1"/>
    <col min="33" max="33" width="9.54545454545454" style="1" customWidth="1"/>
    <col min="34" max="16384" width="9.69090909090909" style="1"/>
  </cols>
  <sheetData>
    <row r="1" s="1" customFormat="1" ht="14.75" spans="2:33">
      <c r="B1" s="5" t="s">
        <v>9</v>
      </c>
      <c r="C1" s="5" t="s">
        <v>10</v>
      </c>
      <c r="D1" s="6" t="s">
        <v>11</v>
      </c>
      <c r="E1" s="6">
        <v>0</v>
      </c>
      <c r="F1" s="1" t="s">
        <v>108</v>
      </c>
      <c r="Q1" s="2">
        <f>SUM(Q3:Q15)</f>
        <v>59.9057</v>
      </c>
      <c r="U1" s="2"/>
      <c r="V1" s="3"/>
      <c r="AB1" s="4"/>
      <c r="AC1" s="4"/>
    </row>
    <row r="2" s="1" customFormat="1" ht="15.75" spans="2:33">
      <c r="B2" s="7" t="s">
        <v>0</v>
      </c>
      <c r="C2" s="8"/>
      <c r="D2" s="8"/>
      <c r="E2" s="8"/>
      <c r="F2" s="8"/>
      <c r="G2" s="8"/>
      <c r="H2" s="8"/>
      <c r="I2" s="8"/>
      <c r="J2" s="8"/>
      <c r="K2" s="8"/>
      <c r="L2" s="8"/>
      <c r="M2" s="9"/>
      <c r="O2" s="10" t="s">
        <v>12</v>
      </c>
      <c r="P2" s="11" t="s">
        <v>13</v>
      </c>
      <c r="Q2" s="12" t="s">
        <v>14</v>
      </c>
      <c r="R2" s="11" t="s">
        <v>15</v>
      </c>
      <c r="S2" s="11" t="s">
        <v>16</v>
      </c>
      <c r="T2" s="11" t="s">
        <v>17</v>
      </c>
      <c r="U2" s="12" t="s">
        <v>18</v>
      </c>
      <c r="V2" s="13" t="s">
        <v>19</v>
      </c>
      <c r="W2" s="11" t="s">
        <v>20</v>
      </c>
      <c r="X2" s="11" t="s">
        <v>21</v>
      </c>
      <c r="Y2" s="11" t="s">
        <v>22</v>
      </c>
      <c r="Z2" s="11" t="s">
        <v>23</v>
      </c>
      <c r="AA2" s="11" t="s">
        <v>24</v>
      </c>
      <c r="AB2" s="14" t="s">
        <v>25</v>
      </c>
      <c r="AC2" s="15" t="s">
        <v>26</v>
      </c>
      <c r="AD2" s="17" t="s">
        <v>29</v>
      </c>
      <c r="AE2" s="17" t="s">
        <v>30</v>
      </c>
      <c r="AF2" s="18" t="s">
        <v>21</v>
      </c>
      <c r="AG2" s="18" t="s">
        <v>31</v>
      </c>
    </row>
    <row r="3" s="1" customFormat="1" ht="15" spans="2:33">
      <c r="B3" s="19" t="s">
        <v>32</v>
      </c>
      <c r="C3" s="20"/>
      <c r="D3" s="19" t="s">
        <v>18</v>
      </c>
      <c r="E3" s="20"/>
      <c r="F3" s="19" t="s">
        <v>33</v>
      </c>
      <c r="G3" s="20"/>
      <c r="H3" s="19" t="s">
        <v>34</v>
      </c>
      <c r="I3" s="20"/>
      <c r="J3" s="19" t="s">
        <v>20</v>
      </c>
      <c r="K3" s="20"/>
      <c r="L3" s="19" t="s">
        <v>35</v>
      </c>
      <c r="M3" s="20"/>
      <c r="O3" s="21">
        <v>1</v>
      </c>
      <c r="P3" s="22" t="s">
        <v>36</v>
      </c>
      <c r="Q3" s="23">
        <f>163.42%</f>
        <v>1.6342</v>
      </c>
      <c r="R3" s="24" t="s">
        <v>37</v>
      </c>
      <c r="S3" s="25">
        <f t="shared" ref="S3:S15" si="0">$C$4*(1+C$5+C$6+C$7+C$8)+C$9</f>
        <v>3101.488</v>
      </c>
      <c r="T3" s="23">
        <f t="shared" ref="T3:T15" si="1">($C$5+$C$6+$C$7+$C$8)+($C$9+$C$10)/$C$4</f>
        <v>2.028796875</v>
      </c>
      <c r="U3" s="23">
        <f t="shared" ref="U3:U15" si="2">IF(R3=$C$1,SUM($E$4:$E$9),SUM($E$4:$E$8))</f>
        <v>1.47</v>
      </c>
      <c r="V3" s="26">
        <f t="shared" ref="V3:V15" si="3">1+$G$10*($I$10-1)</f>
        <v>3.39596</v>
      </c>
      <c r="W3" s="27">
        <f t="shared" ref="W3:W6" si="4">IF(R3=$C$1,$K$4+$K$5,$K$4)</f>
        <v>0.15</v>
      </c>
      <c r="X3" s="26">
        <f>$AF$3</f>
        <v>0.488431876606684</v>
      </c>
      <c r="Y3" s="24">
        <f t="shared" ref="Y3:Y15" si="5">$AF$11</f>
        <v>0.8</v>
      </c>
      <c r="Z3" s="28">
        <v>0</v>
      </c>
      <c r="AA3" s="28">
        <v>0</v>
      </c>
      <c r="AB3" s="28">
        <v>0</v>
      </c>
      <c r="AC3" s="29">
        <f t="shared" ref="AC3:AC16" si="6">Q3*$C$4*(1+T3)*(1+U3)*V3*(1+W3)*X3*Y3*(1+Z3)*(1+AA3)*(1+AB3)*O3</f>
        <v>19104.1032983931</v>
      </c>
      <c r="AD3" s="17">
        <v>0</v>
      </c>
      <c r="AE3" s="17">
        <v>0</v>
      </c>
      <c r="AF3" s="18">
        <f t="shared" ref="AF3:AF8" si="7">1520/(1520+(792+8*AG3)*(1-AE3/100))</f>
        <v>0.488431876606684</v>
      </c>
      <c r="AG3" s="31">
        <v>100</v>
      </c>
    </row>
    <row r="4" s="1" customFormat="1" ht="15" spans="2:33">
      <c r="B4" s="32" t="s">
        <v>38</v>
      </c>
      <c r="C4" s="33">
        <f>437+587</f>
        <v>1024</v>
      </c>
      <c r="D4" s="32" t="s">
        <v>39</v>
      </c>
      <c r="E4" s="34">
        <f>E1*30%</f>
        <v>0</v>
      </c>
      <c r="F4" s="32" t="s">
        <v>40</v>
      </c>
      <c r="G4" s="35">
        <v>0.13</v>
      </c>
      <c r="H4" s="32" t="s">
        <v>40</v>
      </c>
      <c r="I4" s="35">
        <v>1.5</v>
      </c>
      <c r="J4" s="36" t="s">
        <v>41</v>
      </c>
      <c r="K4" s="34">
        <v>0.15</v>
      </c>
      <c r="L4" s="32" t="s">
        <v>42</v>
      </c>
      <c r="M4" s="35">
        <f>8.6%*2</f>
        <v>0.172</v>
      </c>
      <c r="O4" s="21">
        <v>1</v>
      </c>
      <c r="P4" s="29" t="s">
        <v>43</v>
      </c>
      <c r="Q4" s="23">
        <f>50.34%*2+33.41%*3+51.7%*4</f>
        <v>4.0771</v>
      </c>
      <c r="R4" s="24" t="s">
        <v>44</v>
      </c>
      <c r="S4" s="25">
        <f t="shared" si="0"/>
        <v>3101.488</v>
      </c>
      <c r="T4" s="23">
        <f t="shared" si="1"/>
        <v>2.028796875</v>
      </c>
      <c r="U4" s="23">
        <f t="shared" si="2"/>
        <v>1.47</v>
      </c>
      <c r="V4" s="26">
        <f t="shared" si="3"/>
        <v>3.39596</v>
      </c>
      <c r="W4" s="27">
        <f t="shared" si="4"/>
        <v>0.15</v>
      </c>
      <c r="X4" s="26">
        <f>$AF$3</f>
        <v>0.488431876606684</v>
      </c>
      <c r="Y4" s="24">
        <f t="shared" si="5"/>
        <v>0.8</v>
      </c>
      <c r="Z4" s="28">
        <v>0</v>
      </c>
      <c r="AA4" s="28">
        <v>0</v>
      </c>
      <c r="AB4" s="28">
        <v>0</v>
      </c>
      <c r="AC4" s="29">
        <f t="shared" si="6"/>
        <v>47662.0606767093</v>
      </c>
      <c r="AD4" s="17">
        <v>10</v>
      </c>
      <c r="AE4" s="17"/>
      <c r="AF4" s="18">
        <f>1520/(1520+(792+8*AG4)*(1-AE4/100)*(1-AD4/100))</f>
        <v>0.514765646166351</v>
      </c>
      <c r="AG4" s="31">
        <v>100</v>
      </c>
    </row>
    <row r="5" s="1" customFormat="1" ht="15" spans="2:33">
      <c r="B5" s="32" t="s">
        <v>45</v>
      </c>
      <c r="C5" s="34">
        <f>12%+12%</f>
        <v>0.24</v>
      </c>
      <c r="D5" s="32" t="s">
        <v>46</v>
      </c>
      <c r="E5" s="34">
        <f>12%+25%</f>
        <v>0.37</v>
      </c>
      <c r="F5" s="32" t="s">
        <v>47</v>
      </c>
      <c r="G5" s="35"/>
      <c r="H5" s="32" t="s">
        <v>47</v>
      </c>
      <c r="I5" s="35">
        <v>0.486</v>
      </c>
      <c r="J5" s="37" t="s">
        <v>48</v>
      </c>
      <c r="K5" s="34">
        <f>32%+50%</f>
        <v>0.82</v>
      </c>
      <c r="L5" s="32" t="s">
        <v>49</v>
      </c>
      <c r="M5" s="35">
        <f>9.2%*2</f>
        <v>0.184</v>
      </c>
      <c r="O5" s="21">
        <v>1</v>
      </c>
      <c r="P5" s="29" t="s">
        <v>50</v>
      </c>
      <c r="Q5" s="23">
        <f>28.81%*4+172.85%</f>
        <v>2.8809</v>
      </c>
      <c r="R5" s="24" t="s">
        <v>10</v>
      </c>
      <c r="S5" s="25">
        <f t="shared" si="0"/>
        <v>3101.488</v>
      </c>
      <c r="T5" s="23">
        <f t="shared" si="1"/>
        <v>2.028796875</v>
      </c>
      <c r="U5" s="23">
        <f t="shared" si="2"/>
        <v>2.65</v>
      </c>
      <c r="V5" s="26">
        <f t="shared" si="3"/>
        <v>3.39596</v>
      </c>
      <c r="W5" s="27">
        <f t="shared" si="4"/>
        <v>0.97</v>
      </c>
      <c r="X5" s="26">
        <f t="shared" ref="X3:X15" si="8">$AF$4</f>
        <v>0.514765646166351</v>
      </c>
      <c r="Y5" s="24">
        <f t="shared" si="5"/>
        <v>0.8</v>
      </c>
      <c r="Z5" s="28">
        <v>0</v>
      </c>
      <c r="AA5" s="28">
        <v>0</v>
      </c>
      <c r="AB5" s="28">
        <v>0</v>
      </c>
      <c r="AC5" s="29">
        <f t="shared" si="6"/>
        <v>89850.2910605275</v>
      </c>
      <c r="AD5" s="17">
        <v>0</v>
      </c>
      <c r="AE5" s="17"/>
      <c r="AF5" s="18">
        <f t="shared" si="7"/>
        <v>0.488431876606684</v>
      </c>
      <c r="AG5" s="31">
        <v>100</v>
      </c>
    </row>
    <row r="6" s="1" customFormat="1" ht="15" spans="2:33">
      <c r="B6" s="32" t="s">
        <v>51</v>
      </c>
      <c r="C6" s="34">
        <f>18%+18%+M4+(1-E1)*30%</f>
        <v>0.832</v>
      </c>
      <c r="D6" s="32" t="s">
        <v>52</v>
      </c>
      <c r="E6" s="34">
        <f>E11*3%+30%</f>
        <v>0.48</v>
      </c>
      <c r="F6" s="32" t="s">
        <v>53</v>
      </c>
      <c r="G6" s="35">
        <v>0.2</v>
      </c>
      <c r="H6" s="32" t="s">
        <v>53</v>
      </c>
      <c r="I6" s="35">
        <v>0</v>
      </c>
      <c r="J6" s="37"/>
      <c r="K6" s="35"/>
      <c r="L6" s="32" t="s">
        <v>33</v>
      </c>
      <c r="M6" s="35">
        <f>8.1*5%</f>
        <v>0.405</v>
      </c>
      <c r="O6" s="21">
        <v>1</v>
      </c>
      <c r="P6" s="29" t="s">
        <v>54</v>
      </c>
      <c r="Q6" s="23">
        <f>132.51%</f>
        <v>1.3251</v>
      </c>
      <c r="R6" s="24" t="s">
        <v>10</v>
      </c>
      <c r="S6" s="25">
        <f t="shared" si="0"/>
        <v>3101.488</v>
      </c>
      <c r="T6" s="23">
        <f t="shared" si="1"/>
        <v>2.028796875</v>
      </c>
      <c r="U6" s="23">
        <f t="shared" si="2"/>
        <v>2.65</v>
      </c>
      <c r="V6" s="26">
        <f t="shared" si="3"/>
        <v>3.39596</v>
      </c>
      <c r="W6" s="27">
        <f t="shared" si="4"/>
        <v>0.97</v>
      </c>
      <c r="X6" s="26">
        <f t="shared" si="8"/>
        <v>0.514765646166351</v>
      </c>
      <c r="Y6" s="24">
        <f t="shared" si="5"/>
        <v>0.8</v>
      </c>
      <c r="Z6" s="28">
        <v>0</v>
      </c>
      <c r="AA6" s="28">
        <v>0</v>
      </c>
      <c r="AB6" s="28">
        <v>0</v>
      </c>
      <c r="AC6" s="29">
        <f t="shared" si="6"/>
        <v>41327.5784249037</v>
      </c>
      <c r="AD6" s="17">
        <v>0</v>
      </c>
      <c r="AE6" s="17"/>
      <c r="AF6" s="18">
        <f t="shared" si="7"/>
        <v>0.488431876606684</v>
      </c>
      <c r="AG6" s="31">
        <v>100</v>
      </c>
    </row>
    <row r="7" s="1" customFormat="1" ht="15" spans="2:33">
      <c r="B7" s="32" t="s">
        <v>55</v>
      </c>
      <c r="C7" s="38"/>
      <c r="D7" s="32" t="s">
        <v>56</v>
      </c>
      <c r="E7" s="34">
        <f>12%+50%</f>
        <v>0.62</v>
      </c>
      <c r="F7" s="32" t="s">
        <v>51</v>
      </c>
      <c r="G7" s="35">
        <f>M6</f>
        <v>0.405</v>
      </c>
      <c r="H7" s="32" t="s">
        <v>51</v>
      </c>
      <c r="I7" s="35">
        <f>M7+44%</f>
        <v>1.25</v>
      </c>
      <c r="J7" s="37"/>
      <c r="K7" s="35"/>
      <c r="L7" s="32" t="s">
        <v>57</v>
      </c>
      <c r="M7" s="34">
        <f>16.2%*5</f>
        <v>0.81</v>
      </c>
      <c r="O7" s="21">
        <v>1</v>
      </c>
      <c r="P7" s="29" t="s">
        <v>58</v>
      </c>
      <c r="Q7" s="23">
        <f>39.76%+59.63%*4+119.26%</f>
        <v>3.9754</v>
      </c>
      <c r="R7" s="24" t="s">
        <v>10</v>
      </c>
      <c r="S7" s="25">
        <f t="shared" si="0"/>
        <v>3101.488</v>
      </c>
      <c r="T7" s="23">
        <f t="shared" si="1"/>
        <v>2.028796875</v>
      </c>
      <c r="U7" s="23">
        <f t="shared" si="2"/>
        <v>2.65</v>
      </c>
      <c r="V7" s="26">
        <f t="shared" si="3"/>
        <v>3.39596</v>
      </c>
      <c r="W7" s="27">
        <f>IF(R7=$C$1,$K$4+$K$5,$K$4)+0.3</f>
        <v>1.27</v>
      </c>
      <c r="X7" s="26">
        <f t="shared" si="8"/>
        <v>0.514765646166351</v>
      </c>
      <c r="Y7" s="24">
        <f t="shared" si="5"/>
        <v>0.8</v>
      </c>
      <c r="Z7" s="28">
        <v>0.5</v>
      </c>
      <c r="AA7" s="28">
        <v>0</v>
      </c>
      <c r="AB7" s="28">
        <v>0</v>
      </c>
      <c r="AC7" s="29">
        <f t="shared" si="6"/>
        <v>214300.422952691</v>
      </c>
      <c r="AD7" s="17">
        <v>0</v>
      </c>
      <c r="AE7" s="17"/>
      <c r="AF7" s="18">
        <f t="shared" si="7"/>
        <v>0.488431876606684</v>
      </c>
      <c r="AG7" s="31">
        <v>100</v>
      </c>
    </row>
    <row r="8" s="1" customFormat="1" ht="15" spans="2:33">
      <c r="B8" s="32" t="s">
        <v>59</v>
      </c>
      <c r="C8" s="38">
        <f>39%+22.5%</f>
        <v>0.615</v>
      </c>
      <c r="D8" s="32" t="s">
        <v>60</v>
      </c>
      <c r="E8" s="39"/>
      <c r="F8" s="32" t="s">
        <v>61</v>
      </c>
      <c r="G8" s="35">
        <v>0</v>
      </c>
      <c r="H8" s="32" t="s">
        <v>61</v>
      </c>
      <c r="I8" s="35">
        <v>0</v>
      </c>
      <c r="J8" s="37"/>
      <c r="K8" s="35"/>
      <c r="L8" s="32"/>
      <c r="M8" s="33"/>
      <c r="O8" s="21">
        <v>1</v>
      </c>
      <c r="P8" s="29" t="s">
        <v>62</v>
      </c>
      <c r="Q8" s="23">
        <v>8.6143</v>
      </c>
      <c r="R8" s="24" t="s">
        <v>10</v>
      </c>
      <c r="S8" s="25">
        <f t="shared" si="0"/>
        <v>3101.488</v>
      </c>
      <c r="T8" s="23">
        <f t="shared" si="1"/>
        <v>2.028796875</v>
      </c>
      <c r="U8" s="23">
        <f t="shared" si="2"/>
        <v>2.65</v>
      </c>
      <c r="V8" s="26">
        <f t="shared" si="3"/>
        <v>3.39596</v>
      </c>
      <c r="W8" s="27">
        <f t="shared" ref="W8:W10" si="9">IF(R8=$C$1,$K$4+$K$5,$K$4)</f>
        <v>0.97</v>
      </c>
      <c r="X8" s="26">
        <f t="shared" si="8"/>
        <v>0.514765646166351</v>
      </c>
      <c r="Y8" s="24">
        <f t="shared" si="5"/>
        <v>0.8</v>
      </c>
      <c r="Z8" s="28">
        <v>0</v>
      </c>
      <c r="AA8" s="28">
        <v>0</v>
      </c>
      <c r="AB8" s="28">
        <v>0</v>
      </c>
      <c r="AC8" s="29">
        <f t="shared" si="6"/>
        <v>268665.126273978</v>
      </c>
      <c r="AD8" s="17">
        <v>0</v>
      </c>
      <c r="AE8" s="17"/>
      <c r="AF8" s="18">
        <f t="shared" si="7"/>
        <v>0.488431876606684</v>
      </c>
      <c r="AG8" s="31">
        <v>100</v>
      </c>
    </row>
    <row r="9" s="1" customFormat="1" ht="15" spans="2:33">
      <c r="B9" s="32" t="s">
        <v>63</v>
      </c>
      <c r="C9" s="33">
        <v>350</v>
      </c>
      <c r="D9" s="32" t="s">
        <v>64</v>
      </c>
      <c r="E9" s="34">
        <f>50%+20%+E11*3%+30%</f>
        <v>1.18</v>
      </c>
      <c r="F9" s="32" t="s">
        <v>65</v>
      </c>
      <c r="G9" s="35">
        <v>0.125</v>
      </c>
      <c r="H9" s="32" t="s">
        <v>65</v>
      </c>
      <c r="I9" s="35">
        <f>25%+30%</f>
        <v>0.55</v>
      </c>
      <c r="J9" s="37"/>
      <c r="K9" s="35"/>
      <c r="L9" s="32"/>
      <c r="M9" s="33"/>
      <c r="O9" s="21">
        <v>1</v>
      </c>
      <c r="P9" s="29" t="s">
        <v>66</v>
      </c>
      <c r="Q9" s="23">
        <f>52.97%+50.34%*2+33.41%*3+51.7%*4</f>
        <v>4.6068</v>
      </c>
      <c r="R9" s="24" t="s">
        <v>44</v>
      </c>
      <c r="S9" s="25">
        <f t="shared" si="0"/>
        <v>3101.488</v>
      </c>
      <c r="T9" s="23">
        <f t="shared" si="1"/>
        <v>2.028796875</v>
      </c>
      <c r="U9" s="23">
        <f t="shared" si="2"/>
        <v>1.47</v>
      </c>
      <c r="V9" s="26">
        <f t="shared" si="3"/>
        <v>3.39596</v>
      </c>
      <c r="W9" s="27">
        <f t="shared" si="9"/>
        <v>0.15</v>
      </c>
      <c r="X9" s="26">
        <f t="shared" si="8"/>
        <v>0.514765646166351</v>
      </c>
      <c r="Y9" s="24">
        <f t="shared" si="5"/>
        <v>0.8</v>
      </c>
      <c r="Z9" s="28">
        <v>0</v>
      </c>
      <c r="AA9" s="28">
        <v>0</v>
      </c>
      <c r="AB9" s="28">
        <v>0</v>
      </c>
      <c r="AC9" s="29">
        <f t="shared" si="6"/>
        <v>56757.9061900785</v>
      </c>
    </row>
    <row r="10" s="1" customFormat="1" ht="15" spans="2:33">
      <c r="B10" s="40" t="s">
        <v>67</v>
      </c>
      <c r="C10" s="41"/>
      <c r="D10" s="40"/>
      <c r="E10" s="42"/>
      <c r="F10" s="43" t="s">
        <v>68</v>
      </c>
      <c r="G10" s="44">
        <f>MIN(100%,SUM(G4:G9))</f>
        <v>0.86</v>
      </c>
      <c r="H10" s="43" t="s">
        <v>69</v>
      </c>
      <c r="I10" s="44">
        <f>SUM(I4:I9)</f>
        <v>3.786</v>
      </c>
      <c r="J10" s="45"/>
      <c r="K10" s="46"/>
      <c r="L10" s="40"/>
      <c r="M10" s="41"/>
      <c r="O10" s="21">
        <v>1</v>
      </c>
      <c r="P10" s="29" t="s">
        <v>70</v>
      </c>
      <c r="Q10" s="23">
        <f>27.83%*3+194.77%</f>
        <v>2.7826</v>
      </c>
      <c r="R10" s="24" t="s">
        <v>10</v>
      </c>
      <c r="S10" s="25">
        <f t="shared" si="0"/>
        <v>3101.488</v>
      </c>
      <c r="T10" s="23">
        <f t="shared" si="1"/>
        <v>2.028796875</v>
      </c>
      <c r="U10" s="23">
        <f t="shared" si="2"/>
        <v>2.65</v>
      </c>
      <c r="V10" s="26">
        <f t="shared" si="3"/>
        <v>3.39596</v>
      </c>
      <c r="W10" s="27">
        <f t="shared" si="9"/>
        <v>0.97</v>
      </c>
      <c r="X10" s="26">
        <f t="shared" si="8"/>
        <v>0.514765646166351</v>
      </c>
      <c r="Y10" s="24">
        <f t="shared" si="5"/>
        <v>0.8</v>
      </c>
      <c r="Z10" s="28">
        <v>0</v>
      </c>
      <c r="AA10" s="28">
        <v>0</v>
      </c>
      <c r="AB10" s="28">
        <v>0</v>
      </c>
      <c r="AC10" s="29">
        <f t="shared" si="6"/>
        <v>86784.4839824443</v>
      </c>
    </row>
    <row r="11" s="1" customFormat="1" ht="15" spans="2:33">
      <c r="B11" s="47"/>
      <c r="C11" s="47"/>
      <c r="D11" s="1" t="s">
        <v>71</v>
      </c>
      <c r="E11" s="48">
        <v>6</v>
      </c>
      <c r="F11" s="19" t="s">
        <v>72</v>
      </c>
      <c r="G11" s="49">
        <f>MAX(0,SUM(G4:G9)-1)</f>
        <v>0</v>
      </c>
      <c r="J11" s="2"/>
      <c r="K11" s="2"/>
      <c r="O11" s="21">
        <v>1</v>
      </c>
      <c r="P11" s="29" t="s">
        <v>54</v>
      </c>
      <c r="Q11" s="23">
        <f>132.51%</f>
        <v>1.3251</v>
      </c>
      <c r="R11" s="24" t="s">
        <v>10</v>
      </c>
      <c r="S11" s="25">
        <f t="shared" si="0"/>
        <v>3101.488</v>
      </c>
      <c r="T11" s="23">
        <f t="shared" si="1"/>
        <v>2.028796875</v>
      </c>
      <c r="U11" s="23">
        <f t="shared" si="2"/>
        <v>2.65</v>
      </c>
      <c r="V11" s="26">
        <f t="shared" si="3"/>
        <v>3.39596</v>
      </c>
      <c r="W11" s="27">
        <f>IF(R11=$C$1,$K$4+$K$5,$K$4)+0.3</f>
        <v>1.27</v>
      </c>
      <c r="X11" s="26">
        <f t="shared" si="8"/>
        <v>0.514765646166351</v>
      </c>
      <c r="Y11" s="24">
        <f t="shared" si="5"/>
        <v>0.8</v>
      </c>
      <c r="Z11" s="28">
        <v>0</v>
      </c>
      <c r="AA11" s="28">
        <v>0</v>
      </c>
      <c r="AB11" s="28">
        <v>0</v>
      </c>
      <c r="AC11" s="29">
        <f t="shared" si="6"/>
        <v>47621.1182865641</v>
      </c>
      <c r="AE11" s="50" t="s">
        <v>73</v>
      </c>
      <c r="AF11" s="50">
        <v>0.8</v>
      </c>
    </row>
    <row r="12" s="1" customFormat="1" ht="15" spans="2:33">
      <c r="B12" s="47"/>
      <c r="C12" s="47"/>
      <c r="E12" s="51"/>
      <c r="G12" s="52"/>
      <c r="J12" s="2"/>
      <c r="K12" s="2"/>
      <c r="O12" s="1">
        <v>1</v>
      </c>
      <c r="P12" s="29" t="s">
        <v>74</v>
      </c>
      <c r="Q12" s="23">
        <f>117.67%+205.92%+264.75%</f>
        <v>5.8834</v>
      </c>
      <c r="R12" s="24" t="s">
        <v>10</v>
      </c>
      <c r="S12" s="25">
        <f t="shared" si="0"/>
        <v>3101.488</v>
      </c>
      <c r="T12" s="23">
        <f t="shared" si="1"/>
        <v>2.028796875</v>
      </c>
      <c r="U12" s="23">
        <f t="shared" si="2"/>
        <v>2.65</v>
      </c>
      <c r="V12" s="26">
        <f t="shared" si="3"/>
        <v>3.39596</v>
      </c>
      <c r="W12" s="27">
        <f>IF(R12=$C$1,$K$4+$K$5,$K$4)+0.6</f>
        <v>1.57</v>
      </c>
      <c r="X12" s="26">
        <f t="shared" si="8"/>
        <v>0.514765646166351</v>
      </c>
      <c r="Y12" s="24">
        <f t="shared" si="5"/>
        <v>0.8</v>
      </c>
      <c r="Z12" s="28">
        <v>0.5</v>
      </c>
      <c r="AA12" s="28">
        <v>0</v>
      </c>
      <c r="AB12" s="28">
        <v>0</v>
      </c>
      <c r="AC12" s="29">
        <f t="shared" si="6"/>
        <v>359068.937909514</v>
      </c>
      <c r="AE12" s="53" t="s">
        <v>75</v>
      </c>
      <c r="AF12" s="53">
        <v>0.8</v>
      </c>
    </row>
    <row r="13" s="1" customFormat="1" ht="15" spans="2:33">
      <c r="B13" s="5" t="s">
        <v>9</v>
      </c>
      <c r="C13" s="5" t="s">
        <v>86</v>
      </c>
      <c r="D13" s="6" t="s">
        <v>11</v>
      </c>
      <c r="E13" s="6">
        <v>2</v>
      </c>
      <c r="O13" s="21">
        <v>1</v>
      </c>
      <c r="P13" s="29" t="s">
        <v>76</v>
      </c>
      <c r="Q13" s="23">
        <f>302.87%+908.61%</f>
        <v>12.1148</v>
      </c>
      <c r="R13" s="24" t="s">
        <v>10</v>
      </c>
      <c r="S13" s="25">
        <f t="shared" si="0"/>
        <v>3101.488</v>
      </c>
      <c r="T13" s="23">
        <f t="shared" si="1"/>
        <v>2.028796875</v>
      </c>
      <c r="U13" s="23">
        <f t="shared" si="2"/>
        <v>2.65</v>
      </c>
      <c r="V13" s="26">
        <f t="shared" si="3"/>
        <v>3.39596</v>
      </c>
      <c r="W13" s="27">
        <f>IF(R13=$C$1,$K$4+$K$5,$K$4)+0.6</f>
        <v>1.57</v>
      </c>
      <c r="X13" s="26">
        <f t="shared" si="8"/>
        <v>0.514765646166351</v>
      </c>
      <c r="Y13" s="24">
        <f t="shared" si="5"/>
        <v>0.8</v>
      </c>
      <c r="Z13" s="28">
        <v>0</v>
      </c>
      <c r="AA13" s="28">
        <v>0</v>
      </c>
      <c r="AB13" s="28">
        <v>0</v>
      </c>
      <c r="AC13" s="29">
        <f t="shared" si="6"/>
        <v>492917.742460276</v>
      </c>
      <c r="AE13" s="54" t="s">
        <v>77</v>
      </c>
      <c r="AF13" s="54">
        <v>0.8</v>
      </c>
    </row>
    <row r="14" s="1" customFormat="1" ht="15" spans="2:33">
      <c r="B14" s="55" t="s">
        <v>109</v>
      </c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O14" s="21">
        <v>1</v>
      </c>
      <c r="P14" s="29" t="s">
        <v>79</v>
      </c>
      <c r="Q14" s="23">
        <v>7.95</v>
      </c>
      <c r="R14" s="24" t="s">
        <v>80</v>
      </c>
      <c r="S14" s="25">
        <f t="shared" si="0"/>
        <v>3101.488</v>
      </c>
      <c r="T14" s="23">
        <f t="shared" si="1"/>
        <v>2.028796875</v>
      </c>
      <c r="U14" s="23">
        <f t="shared" si="2"/>
        <v>1.47</v>
      </c>
      <c r="V14" s="26">
        <f t="shared" si="3"/>
        <v>3.39596</v>
      </c>
      <c r="W14" s="27">
        <f>IF(R14=$C$1,$K$4+$K$5,$K$4)</f>
        <v>0.15</v>
      </c>
      <c r="X14" s="26">
        <f t="shared" si="8"/>
        <v>0.514765646166351</v>
      </c>
      <c r="Y14" s="24">
        <f t="shared" si="5"/>
        <v>0.8</v>
      </c>
      <c r="Z14" s="28">
        <v>0</v>
      </c>
      <c r="AA14" s="28">
        <v>0</v>
      </c>
      <c r="AB14" s="28">
        <v>0</v>
      </c>
      <c r="AC14" s="29">
        <f t="shared" si="6"/>
        <v>97947.6760899375</v>
      </c>
      <c r="AE14" s="56" t="s">
        <v>81</v>
      </c>
      <c r="AF14" s="56">
        <v>0.8</v>
      </c>
    </row>
    <row r="15" s="1" customFormat="1" ht="12" customHeight="1" spans="2:33">
      <c r="B15" s="57" t="s">
        <v>32</v>
      </c>
      <c r="C15" s="57"/>
      <c r="D15" s="57" t="s">
        <v>18</v>
      </c>
      <c r="E15" s="57"/>
      <c r="F15" s="57" t="s">
        <v>33</v>
      </c>
      <c r="G15" s="57"/>
      <c r="H15" s="57" t="s">
        <v>34</v>
      </c>
      <c r="I15" s="57"/>
      <c r="J15" s="57" t="s">
        <v>20</v>
      </c>
      <c r="K15" s="57"/>
      <c r="L15" s="57" t="s">
        <v>35</v>
      </c>
      <c r="M15" s="57"/>
      <c r="O15" s="21">
        <v>1</v>
      </c>
      <c r="P15" s="58" t="s">
        <v>10</v>
      </c>
      <c r="Q15" s="23">
        <v>2.736</v>
      </c>
      <c r="R15" s="24" t="s">
        <v>10</v>
      </c>
      <c r="S15" s="25">
        <f t="shared" si="0"/>
        <v>3101.488</v>
      </c>
      <c r="T15" s="23">
        <f t="shared" si="1"/>
        <v>2.028796875</v>
      </c>
      <c r="U15" s="23">
        <f t="shared" si="2"/>
        <v>2.65</v>
      </c>
      <c r="V15" s="26">
        <f t="shared" si="3"/>
        <v>3.39596</v>
      </c>
      <c r="W15" s="27">
        <f>IF(R15=$C$1,$K$4+$K$5,$K$4)</f>
        <v>0.97</v>
      </c>
      <c r="X15" s="26">
        <f t="shared" si="8"/>
        <v>0.514765646166351</v>
      </c>
      <c r="Y15" s="24">
        <f t="shared" si="5"/>
        <v>0.8</v>
      </c>
      <c r="Z15" s="28">
        <v>0</v>
      </c>
      <c r="AA15" s="28">
        <v>0</v>
      </c>
      <c r="AB15" s="28">
        <v>0</v>
      </c>
      <c r="AC15" s="29">
        <f t="shared" si="6"/>
        <v>85331.1105354588</v>
      </c>
      <c r="AE15" s="59" t="s">
        <v>82</v>
      </c>
      <c r="AF15" s="60">
        <v>0.8</v>
      </c>
    </row>
    <row r="16" s="1" customFormat="1" ht="15" spans="2:33">
      <c r="B16" s="61" t="s">
        <v>38</v>
      </c>
      <c r="C16" s="62">
        <f>375+587</f>
        <v>962</v>
      </c>
      <c r="D16" s="61" t="s">
        <v>39</v>
      </c>
      <c r="E16" s="63">
        <f>E13*30%</f>
        <v>0.6</v>
      </c>
      <c r="F16" s="61" t="s">
        <v>40</v>
      </c>
      <c r="G16" s="64">
        <v>0.13</v>
      </c>
      <c r="H16" s="61" t="s">
        <v>40</v>
      </c>
      <c r="I16" s="64">
        <v>1.5</v>
      </c>
      <c r="J16" s="65" t="s">
        <v>41</v>
      </c>
      <c r="K16" s="63">
        <v>0.15</v>
      </c>
      <c r="L16" s="61" t="s">
        <v>42</v>
      </c>
      <c r="M16" s="64">
        <f>8.6%*2</f>
        <v>0.172</v>
      </c>
      <c r="O16" s="61">
        <v>1</v>
      </c>
      <c r="P16" s="66" t="s">
        <v>110</v>
      </c>
      <c r="Q16" s="67">
        <v>2.3463</v>
      </c>
      <c r="R16" s="68" t="s">
        <v>86</v>
      </c>
      <c r="S16" s="69">
        <f t="shared" ref="S16:S22" si="10">$C$16*(1+$C$17+$C$18+$C$19+$C$20)+($C$21+$C$22)</f>
        <v>2526.044</v>
      </c>
      <c r="T16" s="67">
        <f t="shared" ref="T16:T22" si="11">($C$17+$C$18+$C$19+$C$20)+($C$21+$C$22)/$C$16</f>
        <v>1.62582536382536</v>
      </c>
      <c r="U16" s="67">
        <f>IF(R16=$C$13,SUM($E$16:$E$21),SUM($E$16:$E$20))</f>
        <v>1.38</v>
      </c>
      <c r="V16" s="70">
        <f t="shared" ref="V16:V22" si="12">1+$G$22*($I$22-1)</f>
        <v>2.85115</v>
      </c>
      <c r="W16" s="71">
        <f t="shared" ref="W16:W22" si="13">IF(R16=$C$1,$K$16+$K$17,$K$16)</f>
        <v>0.15</v>
      </c>
      <c r="X16" s="70">
        <f t="shared" ref="X16:X22" si="14">$AF$3</f>
        <v>0.488431876606684</v>
      </c>
      <c r="Y16" s="68">
        <f t="shared" ref="Y16:Y22" si="15">$AF$12</f>
        <v>0.8</v>
      </c>
      <c r="Z16" s="72">
        <v>0</v>
      </c>
      <c r="AA16" s="72">
        <v>0</v>
      </c>
      <c r="AB16" s="72">
        <v>0</v>
      </c>
      <c r="AC16" s="66">
        <f t="shared" si="6"/>
        <v>19237.0372789364</v>
      </c>
      <c r="AE16" s="73" t="s">
        <v>84</v>
      </c>
      <c r="AF16" s="73">
        <v>0.8</v>
      </c>
    </row>
    <row r="17" s="1" customFormat="1" ht="15" spans="1:32">
      <c r="B17" s="32" t="s">
        <v>45</v>
      </c>
      <c r="C17" s="34">
        <f>12%+12%</f>
        <v>0.24</v>
      </c>
      <c r="D17" s="32" t="s">
        <v>46</v>
      </c>
      <c r="E17" s="34"/>
      <c r="F17" s="32" t="s">
        <v>47</v>
      </c>
      <c r="G17" s="35">
        <v>0.243</v>
      </c>
      <c r="H17" s="32" t="s">
        <v>47</v>
      </c>
      <c r="I17" s="35">
        <v>0</v>
      </c>
      <c r="J17" s="37" t="s">
        <v>48</v>
      </c>
      <c r="K17" s="34"/>
      <c r="L17" s="32" t="s">
        <v>111</v>
      </c>
      <c r="M17" s="35">
        <f>8.6%*2</f>
        <v>0.172</v>
      </c>
      <c r="O17" s="32">
        <v>1</v>
      </c>
      <c r="P17" s="66" t="s">
        <v>112</v>
      </c>
      <c r="Q17" s="74">
        <v>3.1814</v>
      </c>
      <c r="R17" s="47" t="s">
        <v>86</v>
      </c>
      <c r="S17" s="75">
        <f t="shared" si="10"/>
        <v>2526.044</v>
      </c>
      <c r="T17" s="74">
        <f t="shared" si="11"/>
        <v>1.62582536382536</v>
      </c>
      <c r="U17" s="74">
        <f>IF(R17=$C$13,SUM($E$16:$E$21),SUM($E$16:$E$20))</f>
        <v>1.38</v>
      </c>
      <c r="V17" s="76">
        <f t="shared" si="12"/>
        <v>2.85115</v>
      </c>
      <c r="W17" s="48">
        <f t="shared" si="13"/>
        <v>0.15</v>
      </c>
      <c r="X17" s="76">
        <f t="shared" si="14"/>
        <v>0.488431876606684</v>
      </c>
      <c r="Y17" s="47">
        <f t="shared" si="15"/>
        <v>0.8</v>
      </c>
      <c r="Z17" s="77">
        <v>0</v>
      </c>
      <c r="AA17" s="77">
        <v>0</v>
      </c>
      <c r="AB17" s="77">
        <v>0</v>
      </c>
      <c r="AC17" s="66">
        <f t="shared" ref="AC17:AC22" si="16">Q17*$C$4*(1+T17)*(1+U17)*V17*(1+W17)*X17*Y17*(1+Z17)*(1+AA17)*(1+AB17)*O17</f>
        <v>26083.9237945737</v>
      </c>
    </row>
    <row r="18" s="1" customFormat="1" ht="15" spans="1:32">
      <c r="B18" s="32" t="s">
        <v>51</v>
      </c>
      <c r="C18" s="34">
        <f>18%+18%+M16+(2-E13)*30%</f>
        <v>0.532</v>
      </c>
      <c r="D18" s="32" t="s">
        <v>52</v>
      </c>
      <c r="E18" s="34"/>
      <c r="F18" s="32" t="s">
        <v>53</v>
      </c>
      <c r="G18" s="35"/>
      <c r="H18" s="32" t="s">
        <v>53</v>
      </c>
      <c r="I18" s="35">
        <v>0</v>
      </c>
      <c r="J18" s="37"/>
      <c r="K18" s="35"/>
      <c r="L18" s="32" t="s">
        <v>33</v>
      </c>
      <c r="M18" s="35">
        <f>8.1*5%</f>
        <v>0.405</v>
      </c>
      <c r="O18" s="32">
        <v>1</v>
      </c>
      <c r="P18" s="66" t="s">
        <v>113</v>
      </c>
      <c r="Q18" s="74">
        <v>7.9524</v>
      </c>
      <c r="R18" s="47" t="s">
        <v>10</v>
      </c>
      <c r="S18" s="75">
        <f t="shared" si="10"/>
        <v>2526.044</v>
      </c>
      <c r="T18" s="74">
        <f t="shared" si="11"/>
        <v>1.62582536382536</v>
      </c>
      <c r="U18" s="74">
        <f t="shared" ref="U18:U22" si="17">IF(R18=$C$13,SUM($E$16:$E$21),SUM($E$16:$E$20))+E$22</f>
        <v>1.46</v>
      </c>
      <c r="V18" s="76">
        <f t="shared" si="12"/>
        <v>2.85115</v>
      </c>
      <c r="W18" s="48">
        <f t="shared" si="13"/>
        <v>0.15</v>
      </c>
      <c r="X18" s="76">
        <f t="shared" si="14"/>
        <v>0.488431876606684</v>
      </c>
      <c r="Y18" s="47">
        <f t="shared" si="15"/>
        <v>0.8</v>
      </c>
      <c r="Z18" s="77">
        <v>0</v>
      </c>
      <c r="AA18" s="77">
        <v>0</v>
      </c>
      <c r="AB18" s="77">
        <v>0</v>
      </c>
      <c r="AC18" s="66">
        <f t="shared" si="16"/>
        <v>67392.4139333724</v>
      </c>
      <c r="AE18" s="1" t="s">
        <v>87</v>
      </c>
      <c r="AF18" s="1">
        <v>0.8</v>
      </c>
    </row>
    <row r="19" s="1" customFormat="1" ht="15" spans="1:32">
      <c r="B19" s="32" t="s">
        <v>55</v>
      </c>
      <c r="C19" s="38">
        <v>0.1</v>
      </c>
      <c r="D19" s="32" t="s">
        <v>56</v>
      </c>
      <c r="E19" s="34">
        <v>0.18</v>
      </c>
      <c r="F19" s="32" t="s">
        <v>51</v>
      </c>
      <c r="G19" s="35">
        <f>M18</f>
        <v>0.405</v>
      </c>
      <c r="H19" s="32" t="s">
        <v>51</v>
      </c>
      <c r="I19" s="35">
        <f>M19+44%</f>
        <v>1.25</v>
      </c>
      <c r="J19" s="37"/>
      <c r="K19" s="35"/>
      <c r="L19" s="32" t="s">
        <v>57</v>
      </c>
      <c r="M19" s="34">
        <f>16.2%*5</f>
        <v>0.81</v>
      </c>
      <c r="O19" s="32">
        <v>1</v>
      </c>
      <c r="P19" s="66" t="s">
        <v>114</v>
      </c>
      <c r="Q19" s="74">
        <v>8.8457</v>
      </c>
      <c r="R19" s="47" t="s">
        <v>86</v>
      </c>
      <c r="S19" s="75">
        <f t="shared" si="10"/>
        <v>2526.044</v>
      </c>
      <c r="T19" s="74">
        <f t="shared" si="11"/>
        <v>1.62582536382536</v>
      </c>
      <c r="U19" s="74">
        <f>IF(R19=$C$13,SUM($E$16:$E$21),SUM($E$16:$E$20))</f>
        <v>1.38</v>
      </c>
      <c r="V19" s="76">
        <f t="shared" si="12"/>
        <v>2.85115</v>
      </c>
      <c r="W19" s="48">
        <f t="shared" si="13"/>
        <v>0.15</v>
      </c>
      <c r="X19" s="76">
        <f t="shared" si="14"/>
        <v>0.488431876606684</v>
      </c>
      <c r="Y19" s="47">
        <f t="shared" si="15"/>
        <v>0.8</v>
      </c>
      <c r="Z19" s="77">
        <v>0</v>
      </c>
      <c r="AA19" s="77">
        <v>0</v>
      </c>
      <c r="AB19" s="77">
        <v>0.5</v>
      </c>
      <c r="AC19" s="66">
        <f t="shared" si="16"/>
        <v>108787.278262555</v>
      </c>
    </row>
    <row r="20" s="1" customFormat="1" ht="15" spans="1:32">
      <c r="B20" s="32" t="s">
        <v>59</v>
      </c>
      <c r="C20" s="38">
        <f>39%</f>
        <v>0.39</v>
      </c>
      <c r="D20" s="32"/>
      <c r="E20" s="165"/>
      <c r="F20" s="32" t="s">
        <v>61</v>
      </c>
      <c r="G20" s="35">
        <v>0</v>
      </c>
      <c r="H20" s="32" t="s">
        <v>61</v>
      </c>
      <c r="I20" s="35">
        <v>0</v>
      </c>
      <c r="J20" s="37"/>
      <c r="K20" s="35"/>
      <c r="L20" s="32"/>
      <c r="M20" s="33"/>
      <c r="O20" s="32">
        <v>1</v>
      </c>
      <c r="P20" s="66" t="s">
        <v>115</v>
      </c>
      <c r="Q20" s="74">
        <v>2.1552</v>
      </c>
      <c r="R20" s="47" t="s">
        <v>10</v>
      </c>
      <c r="S20" s="75">
        <f t="shared" si="10"/>
        <v>2526.044</v>
      </c>
      <c r="T20" s="74">
        <f t="shared" si="11"/>
        <v>1.62582536382536</v>
      </c>
      <c r="U20" s="74">
        <f t="shared" si="17"/>
        <v>1.46</v>
      </c>
      <c r="V20" s="76">
        <f t="shared" si="12"/>
        <v>2.85115</v>
      </c>
      <c r="W20" s="48">
        <f t="shared" si="13"/>
        <v>0.15</v>
      </c>
      <c r="X20" s="76">
        <f t="shared" si="14"/>
        <v>0.488431876606684</v>
      </c>
      <c r="Y20" s="47">
        <f t="shared" si="15"/>
        <v>0.8</v>
      </c>
      <c r="Z20" s="77">
        <v>0</v>
      </c>
      <c r="AA20" s="77">
        <v>0</v>
      </c>
      <c r="AB20" s="77">
        <v>0</v>
      </c>
      <c r="AC20" s="66">
        <f t="shared" si="16"/>
        <v>18264.1882336407</v>
      </c>
    </row>
    <row r="21" s="1" customFormat="1" ht="15" spans="1:32">
      <c r="B21" s="32" t="s">
        <v>63</v>
      </c>
      <c r="C21" s="33">
        <v>350</v>
      </c>
      <c r="D21" s="32" t="s">
        <v>116</v>
      </c>
      <c r="E21" s="34">
        <v>0.6</v>
      </c>
      <c r="F21" s="32" t="s">
        <v>65</v>
      </c>
      <c r="G21" s="35">
        <v>0.125</v>
      </c>
      <c r="H21" s="32" t="s">
        <v>65</v>
      </c>
      <c r="I21" s="35">
        <v>0.3</v>
      </c>
      <c r="J21" s="37"/>
      <c r="K21" s="35"/>
      <c r="L21" s="32"/>
      <c r="M21" s="33"/>
      <c r="O21" s="32">
        <v>1</v>
      </c>
      <c r="P21" s="66" t="s">
        <v>117</v>
      </c>
      <c r="Q21" s="74"/>
      <c r="R21" s="47"/>
      <c r="S21" s="75"/>
      <c r="T21" s="74"/>
      <c r="U21" s="74"/>
      <c r="V21" s="76"/>
      <c r="W21" s="48"/>
      <c r="X21" s="76"/>
      <c r="Y21" s="47"/>
      <c r="Z21" s="77"/>
      <c r="AA21" s="77"/>
      <c r="AB21" s="77"/>
      <c r="AC21" s="66">
        <v>1500</v>
      </c>
    </row>
    <row r="22" s="1" customFormat="1" ht="15" spans="1:32">
      <c r="B22" s="40" t="s">
        <v>67</v>
      </c>
      <c r="C22" s="41"/>
      <c r="D22" s="32" t="s">
        <v>118</v>
      </c>
      <c r="E22" s="165">
        <f>50%+18%</f>
        <v>0.68</v>
      </c>
      <c r="F22" s="43" t="s">
        <v>68</v>
      </c>
      <c r="G22" s="44">
        <f>MIN(100%,SUM(G16:G21))</f>
        <v>0.903</v>
      </c>
      <c r="H22" s="43" t="s">
        <v>69</v>
      </c>
      <c r="I22" s="44">
        <f>SUM(I16:I21)</f>
        <v>3.05</v>
      </c>
      <c r="J22" s="45"/>
      <c r="K22" s="46"/>
      <c r="L22" s="40"/>
      <c r="M22" s="41"/>
      <c r="O22" s="40">
        <v>1</v>
      </c>
      <c r="P22" s="66" t="s">
        <v>119</v>
      </c>
      <c r="Q22" s="78">
        <v>1</v>
      </c>
      <c r="R22" s="79" t="s">
        <v>10</v>
      </c>
      <c r="S22" s="82">
        <f t="shared" si="10"/>
        <v>2526.044</v>
      </c>
      <c r="T22" s="78">
        <f t="shared" si="11"/>
        <v>1.62582536382536</v>
      </c>
      <c r="U22" s="74">
        <f t="shared" si="17"/>
        <v>1.46</v>
      </c>
      <c r="V22" s="80">
        <f t="shared" si="12"/>
        <v>2.85115</v>
      </c>
      <c r="W22" s="166">
        <f t="shared" si="13"/>
        <v>0.15</v>
      </c>
      <c r="X22" s="80">
        <f t="shared" si="14"/>
        <v>0.488431876606684</v>
      </c>
      <c r="Y22" s="79">
        <f t="shared" si="15"/>
        <v>0.8</v>
      </c>
      <c r="Z22" s="81">
        <v>0</v>
      </c>
      <c r="AA22" s="81">
        <v>0</v>
      </c>
      <c r="AB22" s="81">
        <v>0</v>
      </c>
      <c r="AC22" s="66">
        <f t="shared" si="16"/>
        <v>8474.47486713098</v>
      </c>
    </row>
    <row r="23" s="1" customFormat="1" spans="1:32">
      <c r="B23" s="47"/>
      <c r="C23" s="47"/>
      <c r="E23" s="51"/>
      <c r="F23" s="19" t="s">
        <v>72</v>
      </c>
      <c r="G23" s="49">
        <f>MAX(0,SUM(G16:G21)-1)</f>
        <v>0</v>
      </c>
      <c r="J23" s="2"/>
      <c r="K23" s="2"/>
    </row>
    <row r="24" s="1" customFormat="1" ht="15" spans="1:32">
      <c r="B24" s="47"/>
      <c r="C24" s="47"/>
      <c r="E24" s="51"/>
      <c r="J24" s="2"/>
      <c r="K24" s="2"/>
      <c r="O24" s="61">
        <f t="shared" ref="O24:O26" si="18">$O$27</f>
        <v>1</v>
      </c>
      <c r="P24" s="68" t="s">
        <v>89</v>
      </c>
      <c r="Q24" s="67">
        <v>18.8075</v>
      </c>
      <c r="R24" s="68" t="s">
        <v>90</v>
      </c>
      <c r="S24" s="68">
        <v>10027</v>
      </c>
      <c r="T24" s="67">
        <v>0</v>
      </c>
      <c r="U24" s="67">
        <v>0</v>
      </c>
      <c r="V24" s="70">
        <v>1</v>
      </c>
      <c r="W24" s="71">
        <v>0</v>
      </c>
      <c r="X24" s="70">
        <f t="shared" ref="X24:X27" si="19">$AF$3</f>
        <v>0.488431876606684</v>
      </c>
      <c r="Y24" s="68">
        <f t="shared" ref="Y24:Y27" si="20">$AF$18</f>
        <v>0.8</v>
      </c>
      <c r="Z24" s="72">
        <v>0</v>
      </c>
      <c r="AA24" s="72">
        <v>0</v>
      </c>
      <c r="AB24" s="63">
        <v>0.5</v>
      </c>
      <c r="AC24" s="103">
        <f t="shared" ref="AC24:AC27" si="21">Q24*S24*(1+T24)*(1+U24)*V24*(1+W24)*X24*Y24*(1+Z24)*(1+AA24)*(1+AB24)*O24</f>
        <v>110531.822544987</v>
      </c>
    </row>
    <row r="25" s="1" customFormat="1" ht="15" spans="1:32">
      <c r="G25" s="2"/>
      <c r="O25" s="32">
        <f t="shared" si="18"/>
        <v>1</v>
      </c>
      <c r="P25" s="47" t="s">
        <v>91</v>
      </c>
      <c r="Q25" s="74">
        <v>2.9822</v>
      </c>
      <c r="R25" s="47" t="s">
        <v>90</v>
      </c>
      <c r="S25" s="47">
        <v>10027</v>
      </c>
      <c r="T25" s="74">
        <v>0</v>
      </c>
      <c r="U25" s="74">
        <v>0</v>
      </c>
      <c r="V25" s="76">
        <v>1</v>
      </c>
      <c r="W25" s="48">
        <v>0</v>
      </c>
      <c r="X25" s="76">
        <f t="shared" si="19"/>
        <v>0.488431876606684</v>
      </c>
      <c r="Y25" s="47">
        <f t="shared" si="20"/>
        <v>0.8</v>
      </c>
      <c r="Z25" s="77">
        <v>0</v>
      </c>
      <c r="AA25" s="77">
        <v>0</v>
      </c>
      <c r="AB25" s="34">
        <v>0.5</v>
      </c>
      <c r="AC25" s="103">
        <f t="shared" si="21"/>
        <v>17526.4123989717</v>
      </c>
    </row>
    <row r="26" s="1" customFormat="1" ht="15" spans="1:32">
      <c r="B26" s="104" t="s">
        <v>92</v>
      </c>
      <c r="D26" s="104"/>
      <c r="G26" s="2"/>
      <c r="O26" s="32">
        <f t="shared" si="18"/>
        <v>1</v>
      </c>
      <c r="P26" s="47" t="s">
        <v>93</v>
      </c>
      <c r="Q26" s="74">
        <v>5.9643</v>
      </c>
      <c r="R26" s="47" t="s">
        <v>90</v>
      </c>
      <c r="S26" s="47">
        <v>10027</v>
      </c>
      <c r="T26" s="74">
        <v>0</v>
      </c>
      <c r="U26" s="74">
        <v>0</v>
      </c>
      <c r="V26" s="76">
        <v>1</v>
      </c>
      <c r="W26" s="48">
        <v>0</v>
      </c>
      <c r="X26" s="76">
        <f t="shared" si="19"/>
        <v>0.488431876606684</v>
      </c>
      <c r="Y26" s="47">
        <f t="shared" si="20"/>
        <v>0.8</v>
      </c>
      <c r="Z26" s="77">
        <v>0</v>
      </c>
      <c r="AA26" s="77">
        <v>0</v>
      </c>
      <c r="AB26" s="34">
        <v>0.5</v>
      </c>
      <c r="AC26" s="105">
        <f t="shared" si="21"/>
        <v>35052.2370971723</v>
      </c>
    </row>
    <row r="27" s="1" customFormat="1" ht="15" spans="1:32">
      <c r="B27" s="106"/>
      <c r="C27" s="107" t="s">
        <v>94</v>
      </c>
      <c r="D27" s="107" t="s">
        <v>95</v>
      </c>
      <c r="E27" s="107" t="s">
        <v>96</v>
      </c>
      <c r="F27" s="107" t="s">
        <v>97</v>
      </c>
      <c r="G27" s="2"/>
      <c r="O27" s="19">
        <v>1</v>
      </c>
      <c r="P27" s="108" t="s">
        <v>98</v>
      </c>
      <c r="Q27" s="109">
        <v>16</v>
      </c>
      <c r="R27" s="108" t="s">
        <v>99</v>
      </c>
      <c r="S27" s="108">
        <v>10027</v>
      </c>
      <c r="T27" s="109">
        <v>0</v>
      </c>
      <c r="U27" s="109">
        <v>0</v>
      </c>
      <c r="V27" s="110">
        <v>1</v>
      </c>
      <c r="W27" s="111">
        <v>0</v>
      </c>
      <c r="X27" s="110">
        <f t="shared" si="19"/>
        <v>0.488431876606684</v>
      </c>
      <c r="Y27" s="108">
        <f t="shared" si="20"/>
        <v>0.8</v>
      </c>
      <c r="Z27" s="112">
        <v>0</v>
      </c>
      <c r="AA27" s="112">
        <v>0</v>
      </c>
      <c r="AB27" s="113">
        <v>0</v>
      </c>
      <c r="AC27" s="114">
        <f t="shared" si="21"/>
        <v>62688.0822622108</v>
      </c>
    </row>
    <row r="28" s="1" customFormat="1" ht="15" spans="1:32">
      <c r="B28" s="4" t="s">
        <v>0</v>
      </c>
      <c r="C28" s="115">
        <f>SUM(AC3:AC15)</f>
        <v>1907338.55814148</v>
      </c>
      <c r="D28" s="115">
        <f>C28/$E$28</f>
        <v>76293.542325659</v>
      </c>
      <c r="E28" s="116">
        <v>25</v>
      </c>
      <c r="F28" s="117">
        <f>C28/$C$32</f>
        <v>0.840323889980467</v>
      </c>
      <c r="G28" s="2"/>
      <c r="Q28" s="2"/>
      <c r="U28" s="2"/>
      <c r="V28" s="3"/>
      <c r="AB28" s="4"/>
      <c r="AC28" s="4"/>
    </row>
    <row r="29" s="1" customFormat="1" ht="15" spans="1:32">
      <c r="A29" s="1" t="s">
        <v>120</v>
      </c>
      <c r="B29" s="4" t="s">
        <v>109</v>
      </c>
      <c r="C29" s="115">
        <f>SUM(AC16:AC22)</f>
        <v>249739.316370209</v>
      </c>
      <c r="D29" s="115">
        <f>C29/$E$28</f>
        <v>9989.57265480835</v>
      </c>
      <c r="E29" s="118"/>
      <c r="F29" s="117">
        <f>C29/$C$32</f>
        <v>0.110028664243944</v>
      </c>
      <c r="G29" s="2"/>
      <c r="N29" s="83" t="s">
        <v>101</v>
      </c>
      <c r="O29" s="85" t="s">
        <v>12</v>
      </c>
      <c r="P29" s="85"/>
      <c r="Q29" s="87"/>
      <c r="R29" s="85"/>
      <c r="S29" s="85"/>
      <c r="T29" s="85"/>
      <c r="U29" s="87"/>
      <c r="V29" s="119"/>
      <c r="W29" s="85"/>
      <c r="X29" s="85"/>
      <c r="Y29" s="85"/>
      <c r="Z29" s="85"/>
      <c r="AA29" s="85"/>
      <c r="AB29" s="86"/>
      <c r="AC29" s="120"/>
    </row>
    <row r="30" s="1" customFormat="1" ht="15" spans="1:32">
      <c r="B30" s="4" t="s">
        <v>121</v>
      </c>
      <c r="C30" s="115">
        <v>50000</v>
      </c>
      <c r="D30" s="115">
        <f>C30/$E$28</f>
        <v>2000</v>
      </c>
      <c r="E30" s="121"/>
      <c r="F30" s="117">
        <f>C30/$C$32</f>
        <v>0.0220287029377544</v>
      </c>
      <c r="G30" s="2"/>
      <c r="N30" s="32"/>
      <c r="O30" s="47">
        <v>1</v>
      </c>
      <c r="P30" s="122" t="s">
        <v>102</v>
      </c>
      <c r="Q30" s="123">
        <f>IF(N30&gt;0,(MAX(45%,112.5%+112.5%*(N30-2))),(IF(N30&lt;=0,0)))</f>
        <v>0</v>
      </c>
      <c r="R30" s="122" t="s">
        <v>102</v>
      </c>
      <c r="S30" s="124">
        <v>3674.1</v>
      </c>
      <c r="T30" s="125">
        <v>0</v>
      </c>
      <c r="U30" s="125">
        <v>0</v>
      </c>
      <c r="V30" s="126">
        <v>1</v>
      </c>
      <c r="W30" s="127">
        <v>0</v>
      </c>
      <c r="X30" s="126">
        <f t="shared" ref="X30:X33" si="22">$AF$3</f>
        <v>0.488431876606684</v>
      </c>
      <c r="Y30" s="122">
        <f>$AF$13</f>
        <v>0.8</v>
      </c>
      <c r="Z30" s="128">
        <v>0</v>
      </c>
      <c r="AA30" s="128">
        <v>0</v>
      </c>
      <c r="AB30" s="128">
        <v>0</v>
      </c>
      <c r="AC30" s="129">
        <f t="shared" ref="AC30:AC33" si="23">Q30*S30*(1+T30)*(1+U30)*V30*(1+W30)*X30*Y30*(1+Z30)*(1+AA30)*(1+AB30)*O30</f>
        <v>0</v>
      </c>
    </row>
    <row r="31" s="1" customFormat="1" ht="15" spans="1:32">
      <c r="B31" s="4" t="s">
        <v>98</v>
      </c>
      <c r="C31" s="115">
        <f>AC27</f>
        <v>62688.0822622108</v>
      </c>
      <c r="D31" s="115">
        <f>C31/$E$28</f>
        <v>2507.52329048843</v>
      </c>
      <c r="E31" s="121"/>
      <c r="F31" s="117">
        <f>C31/$C$32</f>
        <v>0.0276187428378351</v>
      </c>
      <c r="G31" s="2"/>
      <c r="N31" s="32"/>
      <c r="O31" s="47"/>
      <c r="P31" s="130" t="s">
        <v>103</v>
      </c>
      <c r="Q31" s="131">
        <f>IF(N31=1,0.3,IF(AND(N31&gt;=2,N31&lt;=10),0.3+0.2439*(N31-1),IF(AND(N31&gt;=11),2.4951+0.8317*(N31-10),IF(AND(N31&lt;=0),0,""))))</f>
        <v>0</v>
      </c>
      <c r="R31" s="130" t="s">
        <v>103</v>
      </c>
      <c r="S31" s="132">
        <v>3674.1</v>
      </c>
      <c r="T31" s="133">
        <v>0</v>
      </c>
      <c r="U31" s="133">
        <v>0</v>
      </c>
      <c r="V31" s="134">
        <v>1</v>
      </c>
      <c r="W31" s="135">
        <v>0</v>
      </c>
      <c r="X31" s="134">
        <f t="shared" si="22"/>
        <v>0.488431876606684</v>
      </c>
      <c r="Y31" s="130">
        <f>$AF$11</f>
        <v>0.8</v>
      </c>
      <c r="Z31" s="136">
        <v>0</v>
      </c>
      <c r="AA31" s="136">
        <v>0</v>
      </c>
      <c r="AB31" s="136">
        <v>0</v>
      </c>
      <c r="AC31" s="137">
        <f t="shared" si="23"/>
        <v>0</v>
      </c>
    </row>
    <row r="32" s="1" customFormat="1" ht="15" spans="1:32">
      <c r="B32" s="4" t="s">
        <v>105</v>
      </c>
      <c r="C32" s="145">
        <f>SUM(C28:C31)</f>
        <v>2269765.95677389</v>
      </c>
      <c r="D32" s="145">
        <f>C32/E28</f>
        <v>90790.6382709558</v>
      </c>
      <c r="E32" s="146"/>
      <c r="F32" s="147"/>
      <c r="G32" s="2"/>
      <c r="N32" s="32"/>
      <c r="O32" s="47">
        <v>1</v>
      </c>
      <c r="P32" s="59" t="s">
        <v>104</v>
      </c>
      <c r="Q32" s="138" t="str">
        <f>IF(N32=1,24.5%,IF(AND(10&gt;=N32,N32&gt;=2),24.5%+(N32-1)*19.9185%,IF(AND(13&gt;=N32,N32&gt;=11),203.77%+(N32-10)*(271.69%-203.77%),"")))</f>
        <v/>
      </c>
      <c r="R32" s="59" t="s">
        <v>104</v>
      </c>
      <c r="S32" s="139">
        <v>3674.1</v>
      </c>
      <c r="T32" s="140">
        <v>0</v>
      </c>
      <c r="U32" s="140">
        <v>0</v>
      </c>
      <c r="V32" s="141">
        <v>1</v>
      </c>
      <c r="W32" s="142">
        <v>0</v>
      </c>
      <c r="X32" s="141">
        <f t="shared" si="22"/>
        <v>0.488431876606684</v>
      </c>
      <c r="Y32" s="59">
        <f>$AF$15</f>
        <v>0.8</v>
      </c>
      <c r="Z32" s="143">
        <v>0</v>
      </c>
      <c r="AA32" s="143">
        <v>0</v>
      </c>
      <c r="AB32" s="143">
        <v>0</v>
      </c>
      <c r="AC32" s="144" t="e">
        <f t="shared" si="23"/>
        <v>#VALUE!</v>
      </c>
    </row>
    <row r="33" s="1" customFormat="1" ht="15" spans="2:29">
      <c r="B33" s="4"/>
      <c r="C33" s="4"/>
      <c r="D33" s="4"/>
      <c r="G33" s="2"/>
      <c r="N33" s="40"/>
      <c r="O33" s="79">
        <v>1</v>
      </c>
      <c r="P33" s="148" t="s">
        <v>106</v>
      </c>
      <c r="Q33" s="149" t="str">
        <f>IF(N33=1,0.84,IF(N33=2,1.5229,IF(N33=3,2.2058,IF(N33=4,2.8888,IF(N33=5,3.5717,IF(N33=6,4.2546,IF(N33=7,4.9375,IF(N33=8,5.6204,IF(N33=9,6.3034,IF(N33=10,6.9863,IF(N33=11,9.315,IF(N33=12,11.6438,IF(N33=13,13.9726,"")))))))))))))</f>
        <v/>
      </c>
      <c r="R33" s="148" t="s">
        <v>106</v>
      </c>
      <c r="S33" s="150">
        <v>3674.1</v>
      </c>
      <c r="T33" s="151">
        <v>0</v>
      </c>
      <c r="U33" s="151">
        <v>0</v>
      </c>
      <c r="V33" s="152">
        <v>1</v>
      </c>
      <c r="W33" s="153">
        <v>0</v>
      </c>
      <c r="X33" s="152">
        <f t="shared" si="22"/>
        <v>0.488431876606684</v>
      </c>
      <c r="Y33" s="148">
        <f>$AF$16</f>
        <v>0.8</v>
      </c>
      <c r="Z33" s="154">
        <v>0</v>
      </c>
      <c r="AA33" s="154">
        <v>0</v>
      </c>
      <c r="AB33" s="154">
        <v>0</v>
      </c>
      <c r="AC33" s="155" t="e">
        <f t="shared" si="23"/>
        <v>#VALUE!</v>
      </c>
    </row>
    <row r="34" s="1" customFormat="1" spans="2:29">
      <c r="B34" s="4"/>
      <c r="C34" s="4"/>
      <c r="D34" s="4"/>
      <c r="F34" s="4"/>
      <c r="G34" s="2"/>
      <c r="H34" s="1"/>
      <c r="Q34" s="2"/>
      <c r="U34" s="2"/>
      <c r="V34" s="3"/>
      <c r="AB34" s="4"/>
      <c r="AC34" s="4"/>
    </row>
    <row r="35" s="1" customFormat="1" spans="2:29">
      <c r="F35" s="4"/>
      <c r="G35" s="2"/>
      <c r="Q35" s="2"/>
      <c r="U35" s="2"/>
      <c r="V35" s="3"/>
      <c r="AB35" s="4"/>
      <c r="AC35" s="4"/>
    </row>
    <row r="36" s="1" customFormat="1" spans="2:29">
      <c r="G36" s="2"/>
      <c r="Q36" s="2"/>
      <c r="U36" s="2"/>
      <c r="V36" s="3"/>
      <c r="AB36" s="4"/>
      <c r="AC36" s="4"/>
    </row>
    <row r="37" s="1" customFormat="1" spans="2:29">
      <c r="B37" s="4"/>
      <c r="C37" s="4"/>
      <c r="D37" s="4"/>
      <c r="F37" s="4"/>
      <c r="Q37" s="2"/>
      <c r="U37" s="2"/>
      <c r="V37" s="3"/>
      <c r="AB37" s="4"/>
      <c r="AC37" s="4"/>
    </row>
    <row r="38" s="1" customFormat="1" spans="2:29">
      <c r="B38" s="4"/>
      <c r="C38" s="4"/>
      <c r="D38" s="4"/>
      <c r="F38" s="4"/>
      <c r="G38" s="2"/>
      <c r="Q38" s="2"/>
      <c r="U38" s="2"/>
      <c r="V38" s="3"/>
      <c r="AB38" s="4"/>
      <c r="AC38" s="4"/>
    </row>
    <row r="39" s="1" customFormat="1" spans="2:29">
      <c r="G39" s="2"/>
      <c r="Q39" s="2"/>
      <c r="U39" s="2"/>
      <c r="V39" s="3"/>
      <c r="AB39" s="4"/>
      <c r="AC39" s="4"/>
    </row>
    <row r="40" s="1" customFormat="1" spans="2:29">
      <c r="B40" s="4"/>
      <c r="C40" s="4"/>
      <c r="D40" s="4"/>
      <c r="F40" s="4"/>
      <c r="G40" s="2"/>
      <c r="Q40" s="2"/>
      <c r="U40" s="2"/>
      <c r="V40" s="3"/>
      <c r="AB40" s="4"/>
      <c r="AC40" s="4"/>
    </row>
    <row r="41" s="1" customFormat="1" spans="2:29">
      <c r="B41" s="4"/>
      <c r="C41" s="4"/>
      <c r="D41" s="4"/>
      <c r="F41" s="4"/>
      <c r="G41" s="2"/>
      <c r="Q41" s="2"/>
      <c r="U41" s="2"/>
      <c r="V41" s="3"/>
      <c r="AB41" s="4"/>
      <c r="AC41" s="4"/>
    </row>
    <row r="42" s="1" customFormat="1" spans="2:29">
      <c r="G42" s="2"/>
      <c r="Q42" s="2"/>
      <c r="U42" s="2"/>
      <c r="V42" s="3"/>
      <c r="AB42" s="4"/>
      <c r="AC42" s="4"/>
    </row>
    <row r="43" s="1" customFormat="1" spans="2:29">
      <c r="B43" s="4"/>
      <c r="C43" s="4"/>
      <c r="D43" s="4"/>
      <c r="F43" s="4"/>
      <c r="G43" s="2"/>
      <c r="Q43" s="2"/>
      <c r="U43" s="2"/>
      <c r="V43" s="3"/>
      <c r="AB43" s="4"/>
      <c r="AC43" s="4"/>
    </row>
    <row r="44" s="1" customFormat="1" spans="2:29">
      <c r="B44" s="4"/>
      <c r="C44" s="4"/>
      <c r="D44" s="4"/>
      <c r="G44" s="2"/>
      <c r="Q44" s="2"/>
      <c r="U44" s="2"/>
      <c r="V44" s="3"/>
      <c r="AB44" s="4"/>
      <c r="AC44" s="4"/>
    </row>
    <row r="45" s="1" customFormat="1" spans="2:29">
      <c r="G45" s="2"/>
      <c r="Q45" s="2"/>
      <c r="U45" s="2"/>
      <c r="V45" s="3"/>
      <c r="AB45" s="4"/>
      <c r="AC45" s="4"/>
    </row>
    <row r="46" s="1" customFormat="1" spans="2:29">
      <c r="B46" s="4"/>
      <c r="C46" s="4"/>
      <c r="D46" s="4"/>
      <c r="G46" s="2"/>
      <c r="Q46" s="2"/>
      <c r="U46" s="2"/>
      <c r="V46" s="3"/>
      <c r="AB46" s="4"/>
      <c r="AC46" s="4"/>
    </row>
    <row r="47" s="1" customFormat="1" spans="2:29">
      <c r="G47" s="2"/>
      <c r="Q47" s="2"/>
      <c r="U47" s="2"/>
      <c r="V47" s="3"/>
      <c r="AB47" s="4"/>
      <c r="AC47" s="4"/>
    </row>
    <row r="48" s="1" customFormat="1" spans="2:29">
      <c r="G48" s="2"/>
      <c r="Q48" s="2"/>
      <c r="U48" s="2"/>
      <c r="V48" s="3"/>
      <c r="AB48" s="4"/>
      <c r="AC48" s="4"/>
    </row>
    <row r="49" s="1" customFormat="1" spans="7:29">
      <c r="G49" s="2"/>
      <c r="H49" s="1"/>
      <c r="I49" s="1"/>
      <c r="J49" s="1"/>
      <c r="K49" s="1"/>
      <c r="L49" s="1"/>
      <c r="M49" s="1"/>
      <c r="N49" s="1"/>
      <c r="Q49" s="2"/>
      <c r="R49" s="1"/>
      <c r="S49" s="1"/>
      <c r="T49" s="1"/>
      <c r="U49" s="2"/>
      <c r="V49" s="3"/>
      <c r="W49" s="1"/>
      <c r="X49" s="1"/>
      <c r="Y49" s="1"/>
      <c r="Z49" s="1"/>
      <c r="AA49" s="1"/>
      <c r="AB49" s="4"/>
      <c r="AC49" s="4"/>
    </row>
    <row r="50" s="1" customFormat="1" spans="7:29">
      <c r="G50" s="2"/>
      <c r="H50" s="1"/>
      <c r="I50" s="1"/>
      <c r="J50" s="1"/>
      <c r="K50" s="1"/>
      <c r="L50" s="1"/>
      <c r="M50" s="1"/>
      <c r="N50" s="1"/>
      <c r="O50" s="1"/>
      <c r="P50" s="1"/>
      <c r="Q50" s="2"/>
      <c r="R50" s="1"/>
      <c r="S50" s="1"/>
      <c r="T50" s="1"/>
      <c r="U50" s="2"/>
      <c r="V50" s="3"/>
      <c r="W50" s="1"/>
      <c r="X50" s="1"/>
      <c r="Y50" s="1"/>
      <c r="Z50" s="1"/>
      <c r="AA50" s="1"/>
      <c r="AB50" s="4"/>
      <c r="AC50" s="4"/>
    </row>
    <row r="51" s="1" customFormat="1" spans="7:29">
      <c r="G51" s="2"/>
      <c r="H51" s="1"/>
      <c r="I51" s="1"/>
      <c r="J51" s="1"/>
      <c r="K51" s="1"/>
      <c r="L51" s="1"/>
      <c r="M51" s="1"/>
      <c r="N51" s="1"/>
      <c r="O51" s="1"/>
      <c r="P51" s="1"/>
      <c r="Q51" s="2"/>
      <c r="R51" s="1"/>
      <c r="S51" s="1"/>
      <c r="T51" s="1"/>
      <c r="U51" s="2"/>
      <c r="V51" s="3"/>
      <c r="W51" s="1"/>
      <c r="X51" s="1"/>
      <c r="Y51" s="1"/>
      <c r="Z51" s="1"/>
      <c r="AA51" s="1"/>
      <c r="AB51" s="4"/>
      <c r="AC51" s="4"/>
    </row>
    <row r="52" s="1" customFormat="1" spans="7:29">
      <c r="G52" s="2"/>
      <c r="H52" s="1"/>
      <c r="I52" s="1"/>
      <c r="J52" s="1"/>
      <c r="K52" s="1"/>
      <c r="L52" s="1"/>
      <c r="M52" s="1"/>
      <c r="N52" s="1"/>
      <c r="O52" s="1"/>
      <c r="P52" s="1"/>
      <c r="Q52" s="2"/>
      <c r="R52" s="1"/>
      <c r="S52" s="1"/>
      <c r="T52" s="1"/>
      <c r="U52" s="2"/>
      <c r="V52" s="3"/>
      <c r="W52" s="1"/>
      <c r="X52" s="1"/>
      <c r="Y52" s="1"/>
      <c r="Z52" s="1"/>
      <c r="AA52" s="1"/>
      <c r="AB52" s="4"/>
      <c r="AC52" s="4"/>
    </row>
    <row r="53" s="1" customFormat="1" spans="7:29">
      <c r="G53" s="2"/>
      <c r="H53" s="1"/>
      <c r="I53" s="1"/>
      <c r="J53" s="1"/>
      <c r="K53" s="1"/>
      <c r="L53" s="1"/>
      <c r="M53" s="1"/>
      <c r="N53" s="1"/>
      <c r="O53" s="1"/>
      <c r="P53" s="1"/>
      <c r="Q53" s="2"/>
      <c r="R53" s="1"/>
      <c r="S53" s="1"/>
      <c r="T53" s="1"/>
      <c r="U53" s="2"/>
      <c r="V53" s="3"/>
      <c r="W53" s="1"/>
      <c r="X53" s="1"/>
      <c r="Y53" s="1"/>
      <c r="Z53" s="1"/>
      <c r="AA53" s="1"/>
      <c r="AB53" s="4"/>
      <c r="AC53" s="4"/>
    </row>
    <row r="54" s="1" customFormat="1" spans="7:29">
      <c r="G54" s="2"/>
      <c r="H54" s="1"/>
      <c r="I54" s="1"/>
      <c r="J54" s="1"/>
      <c r="K54" s="1"/>
      <c r="L54" s="1"/>
      <c r="M54" s="1"/>
      <c r="N54" s="1"/>
      <c r="O54" s="1"/>
      <c r="P54" s="1"/>
      <c r="Q54" s="2"/>
      <c r="R54" s="1"/>
      <c r="S54" s="1"/>
      <c r="T54" s="1"/>
      <c r="U54" s="2"/>
      <c r="V54" s="3"/>
      <c r="W54" s="1"/>
      <c r="X54" s="1"/>
      <c r="Y54" s="1"/>
      <c r="Z54" s="1"/>
      <c r="AA54" s="1"/>
      <c r="AB54" s="4"/>
      <c r="AC54" s="4"/>
    </row>
    <row r="55" s="1" customFormat="1" spans="7:29">
      <c r="G55" s="2"/>
      <c r="H55" s="1"/>
      <c r="I55" s="1"/>
      <c r="J55" s="1"/>
      <c r="K55" s="1"/>
      <c r="L55" s="1"/>
      <c r="M55" s="1"/>
      <c r="N55" s="1"/>
      <c r="O55" s="1"/>
      <c r="P55" s="1"/>
      <c r="Q55" s="2"/>
      <c r="R55" s="1"/>
      <c r="S55" s="1"/>
      <c r="T55" s="1"/>
      <c r="U55" s="2"/>
      <c r="V55" s="3"/>
      <c r="W55" s="1"/>
      <c r="X55" s="1"/>
      <c r="Y55" s="1"/>
      <c r="Z55" s="1"/>
      <c r="AA55" s="1"/>
      <c r="AB55" s="4"/>
      <c r="AC55" s="4"/>
    </row>
    <row r="56" s="1" customFormat="1" spans="7:29">
      <c r="G56" s="2"/>
      <c r="H56" s="1"/>
      <c r="I56" s="1"/>
      <c r="J56" s="1"/>
      <c r="K56" s="1"/>
      <c r="L56" s="1"/>
      <c r="M56" s="1"/>
      <c r="N56" s="1"/>
      <c r="O56" s="1"/>
      <c r="P56" s="1"/>
      <c r="Q56" s="2"/>
      <c r="R56" s="1"/>
      <c r="S56" s="1"/>
      <c r="T56" s="1"/>
      <c r="U56" s="2"/>
      <c r="V56" s="3"/>
      <c r="W56" s="1"/>
      <c r="X56" s="1"/>
      <c r="Y56" s="1"/>
      <c r="Z56" s="1"/>
      <c r="AA56" s="1"/>
      <c r="AB56" s="4"/>
      <c r="AC56" s="4"/>
    </row>
    <row r="57" s="1" customFormat="1" spans="7:29">
      <c r="G57" s="2"/>
      <c r="H57" s="1"/>
      <c r="I57" s="1"/>
      <c r="J57" s="1"/>
      <c r="K57" s="1"/>
      <c r="L57" s="1"/>
      <c r="M57" s="1"/>
      <c r="N57" s="1"/>
      <c r="O57" s="1"/>
      <c r="P57" s="1"/>
      <c r="Q57" s="2"/>
      <c r="R57" s="1"/>
      <c r="S57" s="1"/>
      <c r="T57" s="1"/>
      <c r="U57" s="2"/>
      <c r="V57" s="3"/>
      <c r="W57" s="1"/>
      <c r="X57" s="1"/>
      <c r="Y57" s="1"/>
      <c r="Z57" s="1"/>
      <c r="AA57" s="1"/>
      <c r="AB57" s="4"/>
      <c r="AC57" s="4"/>
    </row>
    <row r="58" s="1" customFormat="1" spans="7:29">
      <c r="G58" s="2"/>
      <c r="H58" s="1"/>
      <c r="I58" s="1"/>
      <c r="J58" s="1"/>
      <c r="K58" s="1"/>
      <c r="L58" s="1"/>
      <c r="M58" s="1"/>
      <c r="N58" s="1"/>
      <c r="O58" s="1"/>
      <c r="P58" s="1"/>
      <c r="Q58" s="2"/>
      <c r="R58" s="1"/>
      <c r="S58" s="1"/>
      <c r="T58" s="1"/>
      <c r="U58" s="2"/>
      <c r="V58" s="3"/>
      <c r="W58" s="1"/>
      <c r="X58" s="1"/>
      <c r="Y58" s="1"/>
      <c r="Z58" s="1"/>
      <c r="AA58" s="1"/>
      <c r="AB58" s="4"/>
      <c r="AC58" s="4"/>
    </row>
    <row r="59" s="1" customFormat="1" spans="7:29">
      <c r="G59" s="2"/>
      <c r="H59" s="1"/>
      <c r="I59" s="1"/>
      <c r="J59" s="1"/>
      <c r="K59" s="1"/>
      <c r="L59" s="1"/>
      <c r="M59" s="1"/>
      <c r="N59" s="1"/>
      <c r="O59" s="1"/>
      <c r="P59" s="1"/>
      <c r="Q59" s="2"/>
      <c r="R59" s="1"/>
      <c r="S59" s="1"/>
      <c r="T59" s="1"/>
      <c r="U59" s="2"/>
      <c r="V59" s="3"/>
      <c r="W59" s="1"/>
      <c r="X59" s="1"/>
      <c r="Y59" s="1"/>
      <c r="Z59" s="1"/>
      <c r="AA59" s="1"/>
      <c r="AB59" s="4"/>
      <c r="AC59" s="4"/>
    </row>
  </sheetData>
  <mergeCells count="14">
    <mergeCell ref="B2:M2"/>
    <mergeCell ref="B3:C3"/>
    <mergeCell ref="D3:E3"/>
    <mergeCell ref="F3:G3"/>
    <mergeCell ref="H3:I3"/>
    <mergeCell ref="J3:K3"/>
    <mergeCell ref="L3:M3"/>
    <mergeCell ref="B14:M14"/>
    <mergeCell ref="B15:C15"/>
    <mergeCell ref="D15:E15"/>
    <mergeCell ref="F15:G15"/>
    <mergeCell ref="H15:I15"/>
    <mergeCell ref="J15:K15"/>
    <mergeCell ref="L15:M15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59"/>
  <sheetViews>
    <sheetView tabSelected="1" topLeftCell="L13" workbookViewId="0">
      <selection activeCell="A19" sqref="$A1:$XFD1048576"/>
    </sheetView>
  </sheetViews>
  <sheetFormatPr defaultColWidth="9.69090909090909" defaultRowHeight="14"/>
  <cols>
    <col min="1" max="1" width="9.69090909090909" style="1"/>
    <col min="2" max="2" width="15.4545454545455" style="1" customWidth="1"/>
    <col min="3" max="3" width="10" style="1" customWidth="1"/>
    <col min="4" max="4" width="11.8181818181818" style="1" customWidth="1"/>
    <col min="5" max="5" width="5.54545454545455" style="1" customWidth="1"/>
    <col min="6" max="6" width="11.8181818181818" style="1" customWidth="1"/>
    <col min="7" max="7" width="7.54545454545455" style="2" customWidth="1"/>
    <col min="8" max="8" width="14" style="1" customWidth="1"/>
    <col min="9" max="9" width="8.54545454545454" style="1" customWidth="1"/>
    <col min="10" max="10" width="11.8181818181818" style="1" customWidth="1"/>
    <col min="11" max="11" width="4.54545454545455" style="1" customWidth="1"/>
    <col min="12" max="12" width="9.54545454545454" style="1" customWidth="1"/>
    <col min="13" max="13" width="7.54545454545455" style="1" customWidth="1"/>
    <col min="14" max="14" width="5.54545454545455" style="1" customWidth="1"/>
    <col min="15" max="15" width="6.27272727272727" style="1" customWidth="1"/>
    <col min="16" max="16" width="21.2727272727273" style="1" customWidth="1"/>
    <col min="17" max="17" width="9.54545454545454" style="2" customWidth="1"/>
    <col min="18" max="18" width="6.27272727272727" style="1" customWidth="1"/>
    <col min="19" max="19" width="11" style="1" customWidth="1"/>
    <col min="20" max="20" width="8.54545454545454" style="1" customWidth="1"/>
    <col min="21" max="21" width="8.54545454545454" style="2" customWidth="1"/>
    <col min="22" max="22" width="8.54545454545454" style="3" customWidth="1"/>
    <col min="23" max="25" width="8.54545454545454" style="1" customWidth="1"/>
    <col min="26" max="26" width="11" style="1" customWidth="1"/>
    <col min="27" max="27" width="8.54545454545454" style="1" customWidth="1"/>
    <col min="28" max="28" width="11" style="4" customWidth="1"/>
    <col min="29" max="29" width="10" style="4" customWidth="1"/>
    <col min="30" max="30" width="9.54545454545454" style="1" customWidth="1"/>
    <col min="31" max="31" width="5.54545454545455" style="1" customWidth="1"/>
    <col min="32" max="32" width="8.54545454545454" style="1" customWidth="1"/>
    <col min="33" max="33" width="9.54545454545454" style="1" customWidth="1"/>
    <col min="34" max="16384" width="9.69090909090909" style="1"/>
  </cols>
  <sheetData>
    <row r="1" s="1" customFormat="1" ht="14.75" spans="2:33">
      <c r="B1" s="5" t="s">
        <v>9</v>
      </c>
      <c r="C1" s="5" t="s">
        <v>10</v>
      </c>
      <c r="D1" s="6" t="s">
        <v>11</v>
      </c>
      <c r="E1" s="6">
        <v>0</v>
      </c>
      <c r="F1" s="1" t="s">
        <v>108</v>
      </c>
      <c r="Q1" s="2">
        <f>SUM(Q3:Q15)</f>
        <v>59.9057</v>
      </c>
      <c r="U1" s="2"/>
      <c r="V1" s="3"/>
      <c r="AB1" s="4"/>
      <c r="AC1" s="4"/>
    </row>
    <row r="2" s="1" customFormat="1" ht="15.75" spans="2:33">
      <c r="B2" s="7" t="s">
        <v>0</v>
      </c>
      <c r="C2" s="8"/>
      <c r="D2" s="8"/>
      <c r="E2" s="8"/>
      <c r="F2" s="8"/>
      <c r="G2" s="8"/>
      <c r="H2" s="8"/>
      <c r="I2" s="8"/>
      <c r="J2" s="8"/>
      <c r="K2" s="8"/>
      <c r="L2" s="8"/>
      <c r="M2" s="9"/>
      <c r="O2" s="10" t="s">
        <v>12</v>
      </c>
      <c r="P2" s="11" t="s">
        <v>13</v>
      </c>
      <c r="Q2" s="12" t="s">
        <v>14</v>
      </c>
      <c r="R2" s="11" t="s">
        <v>15</v>
      </c>
      <c r="S2" s="11" t="s">
        <v>16</v>
      </c>
      <c r="T2" s="11" t="s">
        <v>17</v>
      </c>
      <c r="U2" s="12" t="s">
        <v>18</v>
      </c>
      <c r="V2" s="13" t="s">
        <v>19</v>
      </c>
      <c r="W2" s="11" t="s">
        <v>20</v>
      </c>
      <c r="X2" s="11" t="s">
        <v>21</v>
      </c>
      <c r="Y2" s="11" t="s">
        <v>22</v>
      </c>
      <c r="Z2" s="11" t="s">
        <v>23</v>
      </c>
      <c r="AA2" s="11" t="s">
        <v>24</v>
      </c>
      <c r="AB2" s="14" t="s">
        <v>25</v>
      </c>
      <c r="AC2" s="15" t="s">
        <v>26</v>
      </c>
      <c r="AD2" s="17" t="s">
        <v>29</v>
      </c>
      <c r="AE2" s="17" t="s">
        <v>30</v>
      </c>
      <c r="AF2" s="18" t="s">
        <v>21</v>
      </c>
      <c r="AG2" s="18" t="s">
        <v>31</v>
      </c>
    </row>
    <row r="3" s="1" customFormat="1" ht="15" spans="2:33">
      <c r="B3" s="19" t="s">
        <v>32</v>
      </c>
      <c r="C3" s="20"/>
      <c r="D3" s="19" t="s">
        <v>18</v>
      </c>
      <c r="E3" s="20"/>
      <c r="F3" s="19" t="s">
        <v>33</v>
      </c>
      <c r="G3" s="20"/>
      <c r="H3" s="19" t="s">
        <v>34</v>
      </c>
      <c r="I3" s="20"/>
      <c r="J3" s="19" t="s">
        <v>20</v>
      </c>
      <c r="K3" s="20"/>
      <c r="L3" s="19" t="s">
        <v>35</v>
      </c>
      <c r="M3" s="20"/>
      <c r="O3" s="21">
        <v>1</v>
      </c>
      <c r="P3" s="22" t="s">
        <v>36</v>
      </c>
      <c r="Q3" s="23">
        <f>163.42%</f>
        <v>1.6342</v>
      </c>
      <c r="R3" s="24" t="s">
        <v>37</v>
      </c>
      <c r="S3" s="25">
        <f t="shared" ref="S3:S15" si="0">$C$4*(1+C$5+C$6+C$7+C$8)+C$9</f>
        <v>3101.488</v>
      </c>
      <c r="T3" s="23">
        <f t="shared" ref="T3:T15" si="1">($C$5+$C$6+$C$7+$C$8)+($C$9+$C$10)/$C$4</f>
        <v>2.028796875</v>
      </c>
      <c r="U3" s="23">
        <f t="shared" ref="U3:U15" si="2">IF(R3=$C$1,SUM($E$4:$E$9),SUM($E$4:$E$8))</f>
        <v>1.47</v>
      </c>
      <c r="V3" s="26">
        <f t="shared" ref="V3:V15" si="3">1+$G$10*($I$10-1)</f>
        <v>3.39596</v>
      </c>
      <c r="W3" s="27">
        <f t="shared" ref="W3:W6" si="4">IF(R3=$C$1,$K$4+$K$5,$K$4)</f>
        <v>0.15</v>
      </c>
      <c r="X3" s="26">
        <f>$AF$3</f>
        <v>0.488431876606684</v>
      </c>
      <c r="Y3" s="24">
        <f t="shared" ref="Y3:Y15" si="5">$AF$11</f>
        <v>0.8</v>
      </c>
      <c r="Z3" s="28">
        <v>0</v>
      </c>
      <c r="AA3" s="28">
        <v>0</v>
      </c>
      <c r="AB3" s="28">
        <v>0</v>
      </c>
      <c r="AC3" s="29">
        <f t="shared" ref="AC3:AC20" si="6">Q3*$C$4*(1+T3)*(1+U3)*V3*(1+W3)*X3*Y3*(1+Z3)*(1+AA3)*(1+AB3)*O3</f>
        <v>19104.1032983931</v>
      </c>
      <c r="AD3" s="17">
        <v>0</v>
      </c>
      <c r="AE3" s="17">
        <v>0</v>
      </c>
      <c r="AF3" s="18">
        <f t="shared" ref="AF3:AF8" si="7">1520/(1520+(792+8*AG3)*(1-AE3/100))</f>
        <v>0.488431876606684</v>
      </c>
      <c r="AG3" s="31">
        <v>100</v>
      </c>
    </row>
    <row r="4" s="1" customFormat="1" ht="15" spans="2:33">
      <c r="B4" s="32" t="s">
        <v>38</v>
      </c>
      <c r="C4" s="33">
        <f>437+587</f>
        <v>1024</v>
      </c>
      <c r="D4" s="32" t="s">
        <v>39</v>
      </c>
      <c r="E4" s="34">
        <f>E1*30%</f>
        <v>0</v>
      </c>
      <c r="F4" s="32" t="s">
        <v>40</v>
      </c>
      <c r="G4" s="35">
        <v>0.13</v>
      </c>
      <c r="H4" s="32" t="s">
        <v>40</v>
      </c>
      <c r="I4" s="35">
        <v>1.5</v>
      </c>
      <c r="J4" s="36" t="s">
        <v>41</v>
      </c>
      <c r="K4" s="34">
        <v>0.15</v>
      </c>
      <c r="L4" s="32" t="s">
        <v>42</v>
      </c>
      <c r="M4" s="35">
        <f>8.6%*2</f>
        <v>0.172</v>
      </c>
      <c r="O4" s="21">
        <v>1</v>
      </c>
      <c r="P4" s="29" t="s">
        <v>43</v>
      </c>
      <c r="Q4" s="23">
        <f>50.34%*2+33.41%*3+51.7%*4</f>
        <v>4.0771</v>
      </c>
      <c r="R4" s="24" t="s">
        <v>44</v>
      </c>
      <c r="S4" s="25">
        <f t="shared" si="0"/>
        <v>3101.488</v>
      </c>
      <c r="T4" s="23">
        <f t="shared" si="1"/>
        <v>2.028796875</v>
      </c>
      <c r="U4" s="23">
        <f t="shared" si="2"/>
        <v>1.47</v>
      </c>
      <c r="V4" s="26">
        <f t="shared" si="3"/>
        <v>3.39596</v>
      </c>
      <c r="W4" s="27">
        <f t="shared" si="4"/>
        <v>0.15</v>
      </c>
      <c r="X4" s="26">
        <f>$AF$3</f>
        <v>0.488431876606684</v>
      </c>
      <c r="Y4" s="24">
        <f t="shared" si="5"/>
        <v>0.8</v>
      </c>
      <c r="Z4" s="28">
        <v>0</v>
      </c>
      <c r="AA4" s="28">
        <v>0</v>
      </c>
      <c r="AB4" s="28">
        <v>0</v>
      </c>
      <c r="AC4" s="29">
        <f t="shared" si="6"/>
        <v>47662.0606767093</v>
      </c>
      <c r="AD4" s="17">
        <v>10</v>
      </c>
      <c r="AE4" s="17"/>
      <c r="AF4" s="18">
        <f>1520/(1520+(792+8*AG4)*(1-AE4/100)*(1-AD4/100))</f>
        <v>0.514765646166351</v>
      </c>
      <c r="AG4" s="31">
        <v>100</v>
      </c>
    </row>
    <row r="5" s="1" customFormat="1" ht="15" spans="2:33">
      <c r="B5" s="32" t="s">
        <v>45</v>
      </c>
      <c r="C5" s="34">
        <f>12%+12%</f>
        <v>0.24</v>
      </c>
      <c r="D5" s="32" t="s">
        <v>46</v>
      </c>
      <c r="E5" s="34">
        <f>12%+25%</f>
        <v>0.37</v>
      </c>
      <c r="F5" s="32" t="s">
        <v>47</v>
      </c>
      <c r="G5" s="35"/>
      <c r="H5" s="32" t="s">
        <v>47</v>
      </c>
      <c r="I5" s="35">
        <v>0.486</v>
      </c>
      <c r="J5" s="37" t="s">
        <v>48</v>
      </c>
      <c r="K5" s="34">
        <f>32%+50%</f>
        <v>0.82</v>
      </c>
      <c r="L5" s="32" t="s">
        <v>49</v>
      </c>
      <c r="M5" s="35">
        <f>9.2%*2</f>
        <v>0.184</v>
      </c>
      <c r="O5" s="21">
        <v>1</v>
      </c>
      <c r="P5" s="29" t="s">
        <v>50</v>
      </c>
      <c r="Q5" s="23">
        <f>28.81%*4+172.85%</f>
        <v>2.8809</v>
      </c>
      <c r="R5" s="24" t="s">
        <v>10</v>
      </c>
      <c r="S5" s="25">
        <f t="shared" si="0"/>
        <v>3101.488</v>
      </c>
      <c r="T5" s="23">
        <f t="shared" si="1"/>
        <v>2.028796875</v>
      </c>
      <c r="U5" s="23">
        <f t="shared" si="2"/>
        <v>2.65</v>
      </c>
      <c r="V5" s="26">
        <f t="shared" si="3"/>
        <v>3.39596</v>
      </c>
      <c r="W5" s="27">
        <f t="shared" si="4"/>
        <v>0.97</v>
      </c>
      <c r="X5" s="26">
        <f t="shared" ref="X5:X15" si="8">$AF$4</f>
        <v>0.514765646166351</v>
      </c>
      <c r="Y5" s="24">
        <f t="shared" si="5"/>
        <v>0.8</v>
      </c>
      <c r="Z5" s="28">
        <v>0.7</v>
      </c>
      <c r="AA5" s="28">
        <v>0</v>
      </c>
      <c r="AB5" s="28">
        <v>0</v>
      </c>
      <c r="AC5" s="29">
        <f t="shared" si="6"/>
        <v>152745.494802897</v>
      </c>
      <c r="AD5" s="17">
        <v>0</v>
      </c>
      <c r="AE5" s="17"/>
      <c r="AF5" s="18">
        <f t="shared" si="7"/>
        <v>0.488431876606684</v>
      </c>
      <c r="AG5" s="31">
        <v>100</v>
      </c>
    </row>
    <row r="6" s="1" customFormat="1" ht="15" spans="2:33">
      <c r="B6" s="32" t="s">
        <v>51</v>
      </c>
      <c r="C6" s="34">
        <f>18%+18%+M4+(1-E1)*30%</f>
        <v>0.832</v>
      </c>
      <c r="D6" s="32" t="s">
        <v>52</v>
      </c>
      <c r="E6" s="34">
        <f>E11*3%+30%</f>
        <v>0.48</v>
      </c>
      <c r="F6" s="32" t="s">
        <v>53</v>
      </c>
      <c r="G6" s="35">
        <v>0.2</v>
      </c>
      <c r="H6" s="32" t="s">
        <v>53</v>
      </c>
      <c r="I6" s="35">
        <v>0</v>
      </c>
      <c r="J6" s="37"/>
      <c r="K6" s="35"/>
      <c r="L6" s="32" t="s">
        <v>33</v>
      </c>
      <c r="M6" s="35">
        <f>8.1*5%</f>
        <v>0.405</v>
      </c>
      <c r="O6" s="21">
        <v>1</v>
      </c>
      <c r="P6" s="29" t="s">
        <v>54</v>
      </c>
      <c r="Q6" s="23">
        <f>132.51%</f>
        <v>1.3251</v>
      </c>
      <c r="R6" s="24" t="s">
        <v>10</v>
      </c>
      <c r="S6" s="25">
        <f t="shared" si="0"/>
        <v>3101.488</v>
      </c>
      <c r="T6" s="23">
        <f t="shared" si="1"/>
        <v>2.028796875</v>
      </c>
      <c r="U6" s="23">
        <f t="shared" si="2"/>
        <v>2.65</v>
      </c>
      <c r="V6" s="26">
        <f t="shared" si="3"/>
        <v>3.39596</v>
      </c>
      <c r="W6" s="27">
        <f t="shared" si="4"/>
        <v>0.97</v>
      </c>
      <c r="X6" s="26">
        <f t="shared" si="8"/>
        <v>0.514765646166351</v>
      </c>
      <c r="Y6" s="24">
        <f t="shared" si="5"/>
        <v>0.8</v>
      </c>
      <c r="Z6" s="28">
        <v>0</v>
      </c>
      <c r="AA6" s="28">
        <v>0</v>
      </c>
      <c r="AB6" s="28">
        <v>0</v>
      </c>
      <c r="AC6" s="29">
        <f t="shared" si="6"/>
        <v>41327.5784249036</v>
      </c>
      <c r="AD6" s="17">
        <v>0</v>
      </c>
      <c r="AE6" s="17"/>
      <c r="AF6" s="18">
        <f t="shared" si="7"/>
        <v>0.488431876606684</v>
      </c>
      <c r="AG6" s="31">
        <v>100</v>
      </c>
    </row>
    <row r="7" s="1" customFormat="1" ht="15" spans="2:33">
      <c r="B7" s="32" t="s">
        <v>55</v>
      </c>
      <c r="C7" s="38"/>
      <c r="D7" s="32" t="s">
        <v>56</v>
      </c>
      <c r="E7" s="34">
        <f>12%+50%</f>
        <v>0.62</v>
      </c>
      <c r="F7" s="32" t="s">
        <v>51</v>
      </c>
      <c r="G7" s="35">
        <f>M6</f>
        <v>0.405</v>
      </c>
      <c r="H7" s="32" t="s">
        <v>51</v>
      </c>
      <c r="I7" s="35">
        <f>M7+44%</f>
        <v>1.25</v>
      </c>
      <c r="J7" s="37"/>
      <c r="K7" s="35"/>
      <c r="L7" s="32" t="s">
        <v>57</v>
      </c>
      <c r="M7" s="34">
        <f>16.2%*5</f>
        <v>0.81</v>
      </c>
      <c r="O7" s="21">
        <v>1</v>
      </c>
      <c r="P7" s="29" t="s">
        <v>58</v>
      </c>
      <c r="Q7" s="23">
        <f>39.76%+59.63%*4+119.26%</f>
        <v>3.9754</v>
      </c>
      <c r="R7" s="24" t="s">
        <v>10</v>
      </c>
      <c r="S7" s="25">
        <f t="shared" si="0"/>
        <v>3101.488</v>
      </c>
      <c r="T7" s="23">
        <f t="shared" si="1"/>
        <v>2.028796875</v>
      </c>
      <c r="U7" s="23">
        <f t="shared" si="2"/>
        <v>2.65</v>
      </c>
      <c r="V7" s="26">
        <f t="shared" si="3"/>
        <v>3.39596</v>
      </c>
      <c r="W7" s="27">
        <f>IF(R7=$C$1,$K$4+$K$5,$K$4)+0.3</f>
        <v>1.27</v>
      </c>
      <c r="X7" s="26">
        <f t="shared" si="8"/>
        <v>0.514765646166351</v>
      </c>
      <c r="Y7" s="24">
        <f t="shared" si="5"/>
        <v>0.8</v>
      </c>
      <c r="Z7" s="28">
        <v>0.5</v>
      </c>
      <c r="AA7" s="28">
        <v>0</v>
      </c>
      <c r="AB7" s="28">
        <v>0</v>
      </c>
      <c r="AC7" s="29">
        <f t="shared" si="6"/>
        <v>214300.422952691</v>
      </c>
      <c r="AD7" s="17">
        <v>0</v>
      </c>
      <c r="AE7" s="17"/>
      <c r="AF7" s="18">
        <f t="shared" si="7"/>
        <v>0.488431876606684</v>
      </c>
      <c r="AG7" s="31">
        <v>100</v>
      </c>
    </row>
    <row r="8" s="1" customFormat="1" ht="15" spans="2:33">
      <c r="B8" s="32" t="s">
        <v>59</v>
      </c>
      <c r="C8" s="38">
        <f>39%+22.5%</f>
        <v>0.615</v>
      </c>
      <c r="D8" s="32" t="s">
        <v>60</v>
      </c>
      <c r="E8" s="39"/>
      <c r="F8" s="32" t="s">
        <v>61</v>
      </c>
      <c r="G8" s="35">
        <v>0</v>
      </c>
      <c r="H8" s="32" t="s">
        <v>61</v>
      </c>
      <c r="I8" s="35">
        <v>0</v>
      </c>
      <c r="J8" s="37"/>
      <c r="K8" s="35"/>
      <c r="L8" s="32"/>
      <c r="M8" s="33"/>
      <c r="O8" s="21">
        <v>1</v>
      </c>
      <c r="P8" s="29" t="s">
        <v>62</v>
      </c>
      <c r="Q8" s="23">
        <v>8.6143</v>
      </c>
      <c r="R8" s="24" t="s">
        <v>10</v>
      </c>
      <c r="S8" s="25">
        <f t="shared" si="0"/>
        <v>3101.488</v>
      </c>
      <c r="T8" s="23">
        <f t="shared" si="1"/>
        <v>2.028796875</v>
      </c>
      <c r="U8" s="23">
        <f t="shared" si="2"/>
        <v>2.65</v>
      </c>
      <c r="V8" s="26">
        <f t="shared" si="3"/>
        <v>3.39596</v>
      </c>
      <c r="W8" s="27">
        <f t="shared" ref="W8:W10" si="9">IF(R8=$C$1,$K$4+$K$5,$K$4)</f>
        <v>0.97</v>
      </c>
      <c r="X8" s="26">
        <f t="shared" si="8"/>
        <v>0.514765646166351</v>
      </c>
      <c r="Y8" s="24">
        <f t="shared" si="5"/>
        <v>0.8</v>
      </c>
      <c r="Z8" s="28">
        <v>0</v>
      </c>
      <c r="AA8" s="28">
        <v>0</v>
      </c>
      <c r="AB8" s="28">
        <v>0</v>
      </c>
      <c r="AC8" s="29">
        <f t="shared" si="6"/>
        <v>268665.126273977</v>
      </c>
      <c r="AD8" s="17">
        <v>0</v>
      </c>
      <c r="AE8" s="17"/>
      <c r="AF8" s="18">
        <f t="shared" si="7"/>
        <v>0.488431876606684</v>
      </c>
      <c r="AG8" s="31">
        <v>100</v>
      </c>
    </row>
    <row r="9" s="1" customFormat="1" ht="15" spans="2:33">
      <c r="B9" s="32" t="s">
        <v>63</v>
      </c>
      <c r="C9" s="33">
        <v>350</v>
      </c>
      <c r="D9" s="32" t="s">
        <v>64</v>
      </c>
      <c r="E9" s="34">
        <f>50%+20%+E11*3%+30%</f>
        <v>1.18</v>
      </c>
      <c r="F9" s="32" t="s">
        <v>65</v>
      </c>
      <c r="G9" s="35">
        <v>0.125</v>
      </c>
      <c r="H9" s="32" t="s">
        <v>65</v>
      </c>
      <c r="I9" s="35">
        <f>25%+30%</f>
        <v>0.55</v>
      </c>
      <c r="J9" s="37"/>
      <c r="K9" s="35"/>
      <c r="L9" s="32"/>
      <c r="M9" s="33"/>
      <c r="O9" s="21">
        <v>1</v>
      </c>
      <c r="P9" s="29" t="s">
        <v>66</v>
      </c>
      <c r="Q9" s="23">
        <f>52.97%+50.34%*2+33.41%*3+51.7%*4</f>
        <v>4.6068</v>
      </c>
      <c r="R9" s="24" t="s">
        <v>44</v>
      </c>
      <c r="S9" s="25">
        <f t="shared" si="0"/>
        <v>3101.488</v>
      </c>
      <c r="T9" s="23">
        <f t="shared" si="1"/>
        <v>2.028796875</v>
      </c>
      <c r="U9" s="23">
        <f t="shared" si="2"/>
        <v>1.47</v>
      </c>
      <c r="V9" s="26">
        <f t="shared" si="3"/>
        <v>3.39596</v>
      </c>
      <c r="W9" s="27">
        <f t="shared" si="9"/>
        <v>0.15</v>
      </c>
      <c r="X9" s="26">
        <f t="shared" si="8"/>
        <v>0.514765646166351</v>
      </c>
      <c r="Y9" s="24">
        <f t="shared" si="5"/>
        <v>0.8</v>
      </c>
      <c r="Z9" s="28">
        <v>0</v>
      </c>
      <c r="AA9" s="28">
        <v>0</v>
      </c>
      <c r="AB9" s="28">
        <v>0</v>
      </c>
      <c r="AC9" s="29">
        <f t="shared" si="6"/>
        <v>56757.9061900785</v>
      </c>
    </row>
    <row r="10" s="1" customFormat="1" ht="15" spans="2:33">
      <c r="B10" s="40" t="s">
        <v>67</v>
      </c>
      <c r="C10" s="41"/>
      <c r="D10" s="40"/>
      <c r="E10" s="42"/>
      <c r="F10" s="43" t="s">
        <v>68</v>
      </c>
      <c r="G10" s="44">
        <f>MIN(100%,SUM(G4:G9))</f>
        <v>0.86</v>
      </c>
      <c r="H10" s="43" t="s">
        <v>69</v>
      </c>
      <c r="I10" s="44">
        <f>SUM(I4:I9)</f>
        <v>3.786</v>
      </c>
      <c r="J10" s="45"/>
      <c r="K10" s="46"/>
      <c r="L10" s="40"/>
      <c r="M10" s="41"/>
      <c r="O10" s="21">
        <v>1</v>
      </c>
      <c r="P10" s="29" t="s">
        <v>70</v>
      </c>
      <c r="Q10" s="23">
        <f>27.83%*3+194.77%</f>
        <v>2.7826</v>
      </c>
      <c r="R10" s="24" t="s">
        <v>10</v>
      </c>
      <c r="S10" s="25">
        <f t="shared" si="0"/>
        <v>3101.488</v>
      </c>
      <c r="T10" s="23">
        <f t="shared" si="1"/>
        <v>2.028796875</v>
      </c>
      <c r="U10" s="23">
        <f t="shared" si="2"/>
        <v>2.65</v>
      </c>
      <c r="V10" s="26">
        <f t="shared" si="3"/>
        <v>3.39596</v>
      </c>
      <c r="W10" s="27">
        <f t="shared" si="9"/>
        <v>0.97</v>
      </c>
      <c r="X10" s="26">
        <f t="shared" si="8"/>
        <v>0.514765646166351</v>
      </c>
      <c r="Y10" s="24">
        <f t="shared" si="5"/>
        <v>0.8</v>
      </c>
      <c r="Z10" s="28">
        <v>0.7</v>
      </c>
      <c r="AA10" s="28">
        <v>0</v>
      </c>
      <c r="AB10" s="28">
        <v>0</v>
      </c>
      <c r="AC10" s="29">
        <f t="shared" si="6"/>
        <v>147533.622770155</v>
      </c>
    </row>
    <row r="11" s="1" customFormat="1" ht="15" spans="2:33">
      <c r="B11" s="47"/>
      <c r="C11" s="47"/>
      <c r="D11" s="1" t="s">
        <v>71</v>
      </c>
      <c r="E11" s="48">
        <v>6</v>
      </c>
      <c r="F11" s="19" t="s">
        <v>72</v>
      </c>
      <c r="G11" s="49">
        <f>MAX(0,SUM(G4:G9)-1)</f>
        <v>0</v>
      </c>
      <c r="J11" s="2"/>
      <c r="K11" s="2"/>
      <c r="O11" s="21">
        <v>1</v>
      </c>
      <c r="P11" s="29" t="s">
        <v>54</v>
      </c>
      <c r="Q11" s="23">
        <f>132.51%</f>
        <v>1.3251</v>
      </c>
      <c r="R11" s="24" t="s">
        <v>10</v>
      </c>
      <c r="S11" s="25">
        <f t="shared" si="0"/>
        <v>3101.488</v>
      </c>
      <c r="T11" s="23">
        <f t="shared" si="1"/>
        <v>2.028796875</v>
      </c>
      <c r="U11" s="23">
        <f t="shared" si="2"/>
        <v>2.65</v>
      </c>
      <c r="V11" s="26">
        <f t="shared" si="3"/>
        <v>3.39596</v>
      </c>
      <c r="W11" s="27">
        <f>IF(R11=$C$1,$K$4+$K$5,$K$4)+0.3</f>
        <v>1.27</v>
      </c>
      <c r="X11" s="26">
        <f t="shared" si="8"/>
        <v>0.514765646166351</v>
      </c>
      <c r="Y11" s="24">
        <f t="shared" si="5"/>
        <v>0.8</v>
      </c>
      <c r="Z11" s="28">
        <v>0</v>
      </c>
      <c r="AA11" s="28">
        <v>0</v>
      </c>
      <c r="AB11" s="28">
        <v>0</v>
      </c>
      <c r="AC11" s="29">
        <f t="shared" si="6"/>
        <v>47621.1182865641</v>
      </c>
      <c r="AE11" s="50" t="s">
        <v>73</v>
      </c>
      <c r="AF11" s="50">
        <v>0.8</v>
      </c>
    </row>
    <row r="12" s="1" customFormat="1" ht="15" spans="2:33">
      <c r="B12" s="47"/>
      <c r="C12" s="47"/>
      <c r="E12" s="51"/>
      <c r="G12" s="52"/>
      <c r="J12" s="2"/>
      <c r="K12" s="2"/>
      <c r="O12" s="1">
        <v>1</v>
      </c>
      <c r="P12" s="29" t="s">
        <v>74</v>
      </c>
      <c r="Q12" s="23">
        <f>117.67%+205.92%+264.75%</f>
        <v>5.8834</v>
      </c>
      <c r="R12" s="24" t="s">
        <v>10</v>
      </c>
      <c r="S12" s="25">
        <f t="shared" si="0"/>
        <v>3101.488</v>
      </c>
      <c r="T12" s="23">
        <f t="shared" si="1"/>
        <v>2.028796875</v>
      </c>
      <c r="U12" s="23">
        <f t="shared" si="2"/>
        <v>2.65</v>
      </c>
      <c r="V12" s="26">
        <f t="shared" si="3"/>
        <v>3.39596</v>
      </c>
      <c r="W12" s="27">
        <f>IF(R12=$C$1,$K$4+$K$5,$K$4)+0.6</f>
        <v>1.57</v>
      </c>
      <c r="X12" s="26">
        <f t="shared" si="8"/>
        <v>0.514765646166351</v>
      </c>
      <c r="Y12" s="24">
        <f t="shared" si="5"/>
        <v>0.8</v>
      </c>
      <c r="Z12" s="28">
        <v>0.5</v>
      </c>
      <c r="AA12" s="28">
        <v>0</v>
      </c>
      <c r="AB12" s="28">
        <v>0</v>
      </c>
      <c r="AC12" s="29">
        <f t="shared" si="6"/>
        <v>359068.937909514</v>
      </c>
      <c r="AE12" s="53" t="s">
        <v>75</v>
      </c>
      <c r="AF12" s="53">
        <v>0.8</v>
      </c>
    </row>
    <row r="13" s="1" customFormat="1" ht="15" spans="2:33">
      <c r="B13" s="5" t="s">
        <v>9</v>
      </c>
      <c r="C13" s="5" t="s">
        <v>86</v>
      </c>
      <c r="D13" s="6" t="s">
        <v>11</v>
      </c>
      <c r="E13" s="6">
        <v>2</v>
      </c>
      <c r="O13" s="21">
        <v>1</v>
      </c>
      <c r="P13" s="29" t="s">
        <v>76</v>
      </c>
      <c r="Q13" s="23">
        <f>302.87%+908.61%</f>
        <v>12.1148</v>
      </c>
      <c r="R13" s="24" t="s">
        <v>10</v>
      </c>
      <c r="S13" s="25">
        <f t="shared" si="0"/>
        <v>3101.488</v>
      </c>
      <c r="T13" s="23">
        <f t="shared" si="1"/>
        <v>2.028796875</v>
      </c>
      <c r="U13" s="23">
        <f t="shared" si="2"/>
        <v>2.65</v>
      </c>
      <c r="V13" s="26">
        <f t="shared" si="3"/>
        <v>3.39596</v>
      </c>
      <c r="W13" s="27">
        <f>IF(R13=$C$1,$K$4+$K$5,$K$4)+0.6</f>
        <v>1.57</v>
      </c>
      <c r="X13" s="26">
        <f t="shared" si="8"/>
        <v>0.514765646166351</v>
      </c>
      <c r="Y13" s="24">
        <f t="shared" si="5"/>
        <v>0.8</v>
      </c>
      <c r="Z13" s="28">
        <v>1.15</v>
      </c>
      <c r="AA13" s="28">
        <v>0</v>
      </c>
      <c r="AB13" s="28">
        <v>0</v>
      </c>
      <c r="AC13" s="29">
        <f t="shared" si="6"/>
        <v>1059773.14628959</v>
      </c>
      <c r="AE13" s="54" t="s">
        <v>77</v>
      </c>
      <c r="AF13" s="54">
        <v>0.8</v>
      </c>
    </row>
    <row r="14" s="1" customFormat="1" ht="15" spans="2:33">
      <c r="B14" s="55" t="s">
        <v>109</v>
      </c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O14" s="21">
        <v>1</v>
      </c>
      <c r="P14" s="29" t="s">
        <v>79</v>
      </c>
      <c r="Q14" s="23">
        <v>7.95</v>
      </c>
      <c r="R14" s="24" t="s">
        <v>80</v>
      </c>
      <c r="S14" s="25">
        <f t="shared" si="0"/>
        <v>3101.488</v>
      </c>
      <c r="T14" s="23">
        <f t="shared" si="1"/>
        <v>2.028796875</v>
      </c>
      <c r="U14" s="23">
        <f t="shared" si="2"/>
        <v>1.47</v>
      </c>
      <c r="V14" s="26">
        <f t="shared" si="3"/>
        <v>3.39596</v>
      </c>
      <c r="W14" s="27">
        <f>IF(R14=$C$1,$K$4+$K$5,$K$4)</f>
        <v>0.15</v>
      </c>
      <c r="X14" s="26">
        <f t="shared" si="8"/>
        <v>0.514765646166351</v>
      </c>
      <c r="Y14" s="24">
        <f t="shared" si="5"/>
        <v>0.8</v>
      </c>
      <c r="Z14" s="28">
        <v>0</v>
      </c>
      <c r="AA14" s="28">
        <v>0</v>
      </c>
      <c r="AB14" s="28">
        <v>0</v>
      </c>
      <c r="AC14" s="29">
        <f t="shared" si="6"/>
        <v>97947.6760899374</v>
      </c>
      <c r="AE14" s="56" t="s">
        <v>81</v>
      </c>
      <c r="AF14" s="56">
        <v>0.8</v>
      </c>
    </row>
    <row r="15" s="1" customFormat="1" ht="12" customHeight="1" spans="2:33">
      <c r="B15" s="57" t="s">
        <v>32</v>
      </c>
      <c r="C15" s="57"/>
      <c r="D15" s="57" t="s">
        <v>18</v>
      </c>
      <c r="E15" s="57"/>
      <c r="F15" s="57" t="s">
        <v>33</v>
      </c>
      <c r="G15" s="57"/>
      <c r="H15" s="57" t="s">
        <v>34</v>
      </c>
      <c r="I15" s="57"/>
      <c r="J15" s="57" t="s">
        <v>20</v>
      </c>
      <c r="K15" s="57"/>
      <c r="L15" s="57" t="s">
        <v>35</v>
      </c>
      <c r="M15" s="57"/>
      <c r="O15" s="21">
        <v>1</v>
      </c>
      <c r="P15" s="58" t="s">
        <v>10</v>
      </c>
      <c r="Q15" s="23">
        <v>2.736</v>
      </c>
      <c r="R15" s="24" t="s">
        <v>10</v>
      </c>
      <c r="S15" s="25">
        <f t="shared" si="0"/>
        <v>3101.488</v>
      </c>
      <c r="T15" s="23">
        <f t="shared" si="1"/>
        <v>2.028796875</v>
      </c>
      <c r="U15" s="23">
        <f t="shared" si="2"/>
        <v>2.65</v>
      </c>
      <c r="V15" s="26">
        <f t="shared" si="3"/>
        <v>3.39596</v>
      </c>
      <c r="W15" s="27">
        <f>IF(R15=$C$1,$K$4+$K$5,$K$4)</f>
        <v>0.97</v>
      </c>
      <c r="X15" s="26">
        <f t="shared" si="8"/>
        <v>0.514765646166351</v>
      </c>
      <c r="Y15" s="24">
        <f t="shared" si="5"/>
        <v>0.8</v>
      </c>
      <c r="Z15" s="28">
        <v>0</v>
      </c>
      <c r="AA15" s="28">
        <v>0</v>
      </c>
      <c r="AB15" s="28">
        <v>0</v>
      </c>
      <c r="AC15" s="29">
        <f t="shared" si="6"/>
        <v>85331.1105354587</v>
      </c>
      <c r="AE15" s="59" t="s">
        <v>82</v>
      </c>
      <c r="AF15" s="60">
        <v>0.8</v>
      </c>
    </row>
    <row r="16" s="1" customFormat="1" ht="15" spans="2:33">
      <c r="B16" s="61" t="s">
        <v>38</v>
      </c>
      <c r="C16" s="62">
        <f>375+587</f>
        <v>962</v>
      </c>
      <c r="D16" s="61" t="s">
        <v>39</v>
      </c>
      <c r="E16" s="63">
        <f>E13*30%</f>
        <v>0.6</v>
      </c>
      <c r="F16" s="61" t="s">
        <v>40</v>
      </c>
      <c r="G16" s="64">
        <v>0.13</v>
      </c>
      <c r="H16" s="61" t="s">
        <v>40</v>
      </c>
      <c r="I16" s="64">
        <v>1.5</v>
      </c>
      <c r="J16" s="65" t="s">
        <v>41</v>
      </c>
      <c r="K16" s="63">
        <v>0.15</v>
      </c>
      <c r="L16" s="61" t="s">
        <v>42</v>
      </c>
      <c r="M16" s="64">
        <f>8.6%*2</f>
        <v>0.172</v>
      </c>
      <c r="O16" s="61">
        <v>1</v>
      </c>
      <c r="P16" s="66" t="s">
        <v>110</v>
      </c>
      <c r="Q16" s="67">
        <v>2.3463</v>
      </c>
      <c r="R16" s="68" t="s">
        <v>86</v>
      </c>
      <c r="S16" s="69">
        <f t="shared" ref="S16:S20" si="10">$C$16*(1+$C$17+$C$18+$C$19+$C$20)+($C$21+$C$22)</f>
        <v>2526.044</v>
      </c>
      <c r="T16" s="67">
        <f t="shared" ref="T16:T20" si="11">($C$17+$C$18+$C$19+$C$20)+($C$21+$C$22)/$C$16</f>
        <v>1.62582536382536</v>
      </c>
      <c r="U16" s="67">
        <f t="shared" ref="U16:U19" si="12">IF(R16=$C$13,SUM($E$16:$E$21),SUM($E$16:$E$20))</f>
        <v>1.38</v>
      </c>
      <c r="V16" s="70">
        <f t="shared" ref="V16:V20" si="13">1+$G$22*($I$22-1)</f>
        <v>2.85115</v>
      </c>
      <c r="W16" s="71">
        <f t="shared" ref="W16:W20" si="14">IF(R16=$C$1,$K$16+$K$17,$K$16)</f>
        <v>0.15</v>
      </c>
      <c r="X16" s="70">
        <f t="shared" ref="X16:X20" si="15">$AF$3</f>
        <v>0.488431876606684</v>
      </c>
      <c r="Y16" s="68">
        <f t="shared" ref="Y16:Y20" si="16">$AF$12</f>
        <v>0.8</v>
      </c>
      <c r="Z16" s="72">
        <v>0</v>
      </c>
      <c r="AA16" s="72">
        <v>0</v>
      </c>
      <c r="AB16" s="72">
        <v>0</v>
      </c>
      <c r="AC16" s="66">
        <f t="shared" si="6"/>
        <v>19237.0372789364</v>
      </c>
      <c r="AE16" s="73" t="s">
        <v>84</v>
      </c>
      <c r="AF16" s="73">
        <v>0.8</v>
      </c>
    </row>
    <row r="17" s="1" customFormat="1" ht="15" spans="1:32">
      <c r="B17" s="32" t="s">
        <v>45</v>
      </c>
      <c r="C17" s="34">
        <f>12%+12%</f>
        <v>0.24</v>
      </c>
      <c r="D17" s="32" t="s">
        <v>46</v>
      </c>
      <c r="E17" s="34"/>
      <c r="F17" s="32" t="s">
        <v>47</v>
      </c>
      <c r="G17" s="35">
        <v>0.243</v>
      </c>
      <c r="H17" s="32" t="s">
        <v>47</v>
      </c>
      <c r="I17" s="35">
        <v>0</v>
      </c>
      <c r="J17" s="37" t="s">
        <v>48</v>
      </c>
      <c r="K17" s="34"/>
      <c r="L17" s="32" t="s">
        <v>111</v>
      </c>
      <c r="M17" s="35">
        <f>8.6%*2</f>
        <v>0.172</v>
      </c>
      <c r="O17" s="32">
        <v>1</v>
      </c>
      <c r="P17" s="66" t="s">
        <v>112</v>
      </c>
      <c r="Q17" s="74">
        <v>3.1814</v>
      </c>
      <c r="R17" s="47" t="s">
        <v>86</v>
      </c>
      <c r="S17" s="75">
        <f t="shared" si="10"/>
        <v>2526.044</v>
      </c>
      <c r="T17" s="74">
        <f t="shared" si="11"/>
        <v>1.62582536382536</v>
      </c>
      <c r="U17" s="74">
        <f t="shared" si="12"/>
        <v>1.38</v>
      </c>
      <c r="V17" s="76">
        <f t="shared" si="13"/>
        <v>2.85115</v>
      </c>
      <c r="W17" s="48">
        <f t="shared" si="14"/>
        <v>0.15</v>
      </c>
      <c r="X17" s="76">
        <f t="shared" si="15"/>
        <v>0.488431876606684</v>
      </c>
      <c r="Y17" s="47">
        <f t="shared" si="16"/>
        <v>0.8</v>
      </c>
      <c r="Z17" s="77">
        <v>0</v>
      </c>
      <c r="AA17" s="77">
        <v>0</v>
      </c>
      <c r="AB17" s="77">
        <v>0</v>
      </c>
      <c r="AC17" s="66">
        <f t="shared" si="6"/>
        <v>26083.9237945738</v>
      </c>
    </row>
    <row r="18" s="1" customFormat="1" ht="15" spans="1:32">
      <c r="B18" s="32" t="s">
        <v>51</v>
      </c>
      <c r="C18" s="34">
        <f>18%+18%+M16+(2-E13)*30%</f>
        <v>0.532</v>
      </c>
      <c r="D18" s="32" t="s">
        <v>52</v>
      </c>
      <c r="E18" s="34"/>
      <c r="F18" s="32" t="s">
        <v>53</v>
      </c>
      <c r="G18" s="35"/>
      <c r="H18" s="32" t="s">
        <v>53</v>
      </c>
      <c r="I18" s="35">
        <v>0</v>
      </c>
      <c r="J18" s="37"/>
      <c r="K18" s="35"/>
      <c r="L18" s="32" t="s">
        <v>33</v>
      </c>
      <c r="M18" s="35">
        <f>8.1*5%</f>
        <v>0.405</v>
      </c>
      <c r="O18" s="32">
        <v>1</v>
      </c>
      <c r="P18" s="66" t="s">
        <v>113</v>
      </c>
      <c r="Q18" s="74">
        <v>7.9524</v>
      </c>
      <c r="R18" s="47" t="s">
        <v>10</v>
      </c>
      <c r="S18" s="75">
        <f t="shared" si="10"/>
        <v>2526.044</v>
      </c>
      <c r="T18" s="74">
        <f t="shared" si="11"/>
        <v>1.62582536382536</v>
      </c>
      <c r="U18" s="74">
        <f t="shared" ref="U18:U22" si="17">IF(R18=$C$13,SUM($E$16:$E$21),SUM($E$16:$E$20))+E$22</f>
        <v>1.46</v>
      </c>
      <c r="V18" s="76">
        <f t="shared" si="13"/>
        <v>2.85115</v>
      </c>
      <c r="W18" s="48">
        <f t="shared" si="14"/>
        <v>0.15</v>
      </c>
      <c r="X18" s="76">
        <f t="shared" si="15"/>
        <v>0.488431876606684</v>
      </c>
      <c r="Y18" s="47">
        <f t="shared" si="16"/>
        <v>0.8</v>
      </c>
      <c r="Z18" s="77">
        <v>0</v>
      </c>
      <c r="AA18" s="77">
        <v>0</v>
      </c>
      <c r="AB18" s="77">
        <v>0</v>
      </c>
      <c r="AC18" s="66">
        <f t="shared" si="6"/>
        <v>67392.4139333725</v>
      </c>
      <c r="AE18" s="1" t="s">
        <v>87</v>
      </c>
      <c r="AF18" s="1">
        <v>0.8</v>
      </c>
    </row>
    <row r="19" s="1" customFormat="1" ht="15" spans="1:32">
      <c r="B19" s="32" t="s">
        <v>55</v>
      </c>
      <c r="C19" s="38">
        <v>0.1</v>
      </c>
      <c r="D19" s="32" t="s">
        <v>56</v>
      </c>
      <c r="E19" s="34">
        <v>0.18</v>
      </c>
      <c r="F19" s="32" t="s">
        <v>51</v>
      </c>
      <c r="G19" s="35">
        <f>M18</f>
        <v>0.405</v>
      </c>
      <c r="H19" s="32" t="s">
        <v>51</v>
      </c>
      <c r="I19" s="35">
        <f>M19+44%</f>
        <v>1.25</v>
      </c>
      <c r="J19" s="37"/>
      <c r="K19" s="35"/>
      <c r="L19" s="32" t="s">
        <v>57</v>
      </c>
      <c r="M19" s="34">
        <f>16.2%*5</f>
        <v>0.81</v>
      </c>
      <c r="O19" s="32">
        <v>1</v>
      </c>
      <c r="P19" s="66" t="s">
        <v>114</v>
      </c>
      <c r="Q19" s="74">
        <v>8.8457</v>
      </c>
      <c r="R19" s="47" t="s">
        <v>86</v>
      </c>
      <c r="S19" s="75">
        <f t="shared" si="10"/>
        <v>2526.044</v>
      </c>
      <c r="T19" s="74">
        <f t="shared" si="11"/>
        <v>1.62582536382536</v>
      </c>
      <c r="U19" s="74">
        <f t="shared" si="12"/>
        <v>1.38</v>
      </c>
      <c r="V19" s="76">
        <f t="shared" si="13"/>
        <v>2.85115</v>
      </c>
      <c r="W19" s="48">
        <f t="shared" si="14"/>
        <v>0.15</v>
      </c>
      <c r="X19" s="76">
        <f t="shared" si="15"/>
        <v>0.488431876606684</v>
      </c>
      <c r="Y19" s="47">
        <f t="shared" si="16"/>
        <v>0.8</v>
      </c>
      <c r="Z19" s="77">
        <v>0</v>
      </c>
      <c r="AA19" s="77">
        <v>0</v>
      </c>
      <c r="AB19" s="77">
        <v>0.5</v>
      </c>
      <c r="AC19" s="66">
        <f t="shared" si="6"/>
        <v>108787.278262555</v>
      </c>
    </row>
    <row r="20" s="1" customFormat="1" ht="15" spans="1:32">
      <c r="B20" s="32" t="s">
        <v>59</v>
      </c>
      <c r="C20" s="38">
        <f>39%</f>
        <v>0.39</v>
      </c>
      <c r="D20" s="32"/>
      <c r="E20" s="165"/>
      <c r="F20" s="32" t="s">
        <v>61</v>
      </c>
      <c r="G20" s="35">
        <v>0</v>
      </c>
      <c r="H20" s="32" t="s">
        <v>61</v>
      </c>
      <c r="I20" s="35">
        <v>0</v>
      </c>
      <c r="J20" s="37"/>
      <c r="K20" s="35"/>
      <c r="L20" s="32"/>
      <c r="M20" s="33"/>
      <c r="O20" s="32">
        <v>1</v>
      </c>
      <c r="P20" s="66" t="s">
        <v>115</v>
      </c>
      <c r="Q20" s="74">
        <v>2.1552</v>
      </c>
      <c r="R20" s="47" t="s">
        <v>10</v>
      </c>
      <c r="S20" s="75">
        <f t="shared" si="10"/>
        <v>2526.044</v>
      </c>
      <c r="T20" s="74">
        <f t="shared" si="11"/>
        <v>1.62582536382536</v>
      </c>
      <c r="U20" s="74">
        <f t="shared" si="17"/>
        <v>1.46</v>
      </c>
      <c r="V20" s="76">
        <f t="shared" si="13"/>
        <v>2.85115</v>
      </c>
      <c r="W20" s="48">
        <f t="shared" si="14"/>
        <v>0.15</v>
      </c>
      <c r="X20" s="76">
        <f t="shared" si="15"/>
        <v>0.488431876606684</v>
      </c>
      <c r="Y20" s="47">
        <f t="shared" si="16"/>
        <v>0.8</v>
      </c>
      <c r="Z20" s="77">
        <v>0</v>
      </c>
      <c r="AA20" s="77">
        <v>0</v>
      </c>
      <c r="AB20" s="77">
        <v>0</v>
      </c>
      <c r="AC20" s="66">
        <f t="shared" si="6"/>
        <v>18264.1882336407</v>
      </c>
    </row>
    <row r="21" s="1" customFormat="1" ht="15" spans="1:32">
      <c r="B21" s="32" t="s">
        <v>63</v>
      </c>
      <c r="C21" s="33">
        <v>350</v>
      </c>
      <c r="D21" s="32" t="s">
        <v>116</v>
      </c>
      <c r="E21" s="34">
        <v>0.6</v>
      </c>
      <c r="F21" s="32" t="s">
        <v>65</v>
      </c>
      <c r="G21" s="35">
        <v>0.125</v>
      </c>
      <c r="H21" s="32" t="s">
        <v>65</v>
      </c>
      <c r="I21" s="35">
        <v>0.3</v>
      </c>
      <c r="J21" s="37"/>
      <c r="K21" s="35"/>
      <c r="L21" s="32"/>
      <c r="M21" s="33"/>
      <c r="O21" s="32">
        <v>1</v>
      </c>
      <c r="P21" s="66" t="s">
        <v>117</v>
      </c>
      <c r="Q21" s="74"/>
      <c r="R21" s="47"/>
      <c r="S21" s="75"/>
      <c r="T21" s="74"/>
      <c r="U21" s="74"/>
      <c r="V21" s="76"/>
      <c r="W21" s="48"/>
      <c r="X21" s="76"/>
      <c r="Y21" s="47"/>
      <c r="Z21" s="77"/>
      <c r="AA21" s="77"/>
      <c r="AB21" s="77"/>
      <c r="AC21" s="66">
        <v>1500</v>
      </c>
    </row>
    <row r="22" s="1" customFormat="1" ht="15" spans="1:32">
      <c r="B22" s="40" t="s">
        <v>67</v>
      </c>
      <c r="C22" s="41"/>
      <c r="D22" s="32" t="s">
        <v>118</v>
      </c>
      <c r="E22" s="165">
        <f>50%+18%</f>
        <v>0.68</v>
      </c>
      <c r="F22" s="43" t="s">
        <v>68</v>
      </c>
      <c r="G22" s="44">
        <f>MIN(100%,SUM(G16:G21))</f>
        <v>0.903</v>
      </c>
      <c r="H22" s="43" t="s">
        <v>69</v>
      </c>
      <c r="I22" s="44">
        <f>SUM(I16:I21)</f>
        <v>3.05</v>
      </c>
      <c r="J22" s="45"/>
      <c r="K22" s="46"/>
      <c r="L22" s="40"/>
      <c r="M22" s="41"/>
      <c r="O22" s="40">
        <v>1</v>
      </c>
      <c r="P22" s="66" t="s">
        <v>119</v>
      </c>
      <c r="Q22" s="78">
        <v>1</v>
      </c>
      <c r="R22" s="79" t="s">
        <v>10</v>
      </c>
      <c r="S22" s="82">
        <f>$C$16*(1+$C$17+$C$18+$C$19+$C$20)+($C$21+$C$22)</f>
        <v>2526.044</v>
      </c>
      <c r="T22" s="78">
        <f>($C$17+$C$18+$C$19+$C$20)+($C$21+$C$22)/$C$16</f>
        <v>1.62582536382536</v>
      </c>
      <c r="U22" s="74">
        <f t="shared" si="17"/>
        <v>1.46</v>
      </c>
      <c r="V22" s="80">
        <f>1+$G$22*($I$22-1)</f>
        <v>2.85115</v>
      </c>
      <c r="W22" s="166">
        <f>IF(R22=$C$1,$K$16+$K$17,$K$16)</f>
        <v>0.15</v>
      </c>
      <c r="X22" s="80">
        <f t="shared" ref="X22:X27" si="18">$AF$3</f>
        <v>0.488431876606684</v>
      </c>
      <c r="Y22" s="79">
        <f>$AF$12</f>
        <v>0.8</v>
      </c>
      <c r="Z22" s="81">
        <v>0</v>
      </c>
      <c r="AA22" s="81">
        <v>0</v>
      </c>
      <c r="AB22" s="81">
        <v>0</v>
      </c>
      <c r="AC22" s="66">
        <f>Q22*$C$4*(1+T22)*(1+U22)*V22*(1+W22)*X22*Y22*(1+Z22)*(1+AA22)*(1+AB22)*O22</f>
        <v>8474.47486713099</v>
      </c>
    </row>
    <row r="23" s="1" customFormat="1" spans="1:32">
      <c r="B23" s="47"/>
      <c r="C23" s="47"/>
      <c r="E23" s="51"/>
      <c r="F23" s="19" t="s">
        <v>72</v>
      </c>
      <c r="G23" s="49">
        <f>MAX(0,SUM(G16:G21)-1)</f>
        <v>0</v>
      </c>
      <c r="J23" s="2"/>
      <c r="K23" s="2"/>
    </row>
    <row r="24" s="1" customFormat="1" ht="15" spans="1:32">
      <c r="B24" s="47"/>
      <c r="C24" s="47"/>
      <c r="E24" s="51"/>
      <c r="J24" s="2"/>
      <c r="K24" s="2"/>
      <c r="O24" s="61">
        <f t="shared" ref="O24:O26" si="19">$O$27</f>
        <v>1</v>
      </c>
      <c r="P24" s="68" t="s">
        <v>89</v>
      </c>
      <c r="Q24" s="67">
        <v>18.8075</v>
      </c>
      <c r="R24" s="68" t="s">
        <v>90</v>
      </c>
      <c r="S24" s="68">
        <v>10027</v>
      </c>
      <c r="T24" s="67">
        <v>0</v>
      </c>
      <c r="U24" s="67">
        <v>0</v>
      </c>
      <c r="V24" s="70">
        <v>1</v>
      </c>
      <c r="W24" s="71">
        <v>0</v>
      </c>
      <c r="X24" s="70">
        <f t="shared" si="18"/>
        <v>0.488431876606684</v>
      </c>
      <c r="Y24" s="68">
        <f t="shared" ref="Y24:Y27" si="20">$AF$18</f>
        <v>0.8</v>
      </c>
      <c r="Z24" s="72">
        <v>0</v>
      </c>
      <c r="AA24" s="72">
        <v>0</v>
      </c>
      <c r="AB24" s="63">
        <v>0.5</v>
      </c>
      <c r="AC24" s="103">
        <f t="shared" ref="AC24:AC27" si="21">Q24*S24*(1+T24)*(1+U24)*V24*(1+W24)*X24*Y24*(1+Z24)*(1+AA24)*(1+AB24)*O24</f>
        <v>110531.822544987</v>
      </c>
    </row>
    <row r="25" s="1" customFormat="1" ht="15" spans="1:32">
      <c r="G25" s="2"/>
      <c r="O25" s="32">
        <f t="shared" si="19"/>
        <v>1</v>
      </c>
      <c r="P25" s="47" t="s">
        <v>91</v>
      </c>
      <c r="Q25" s="74">
        <v>2.9822</v>
      </c>
      <c r="R25" s="47" t="s">
        <v>90</v>
      </c>
      <c r="S25" s="47">
        <v>10027</v>
      </c>
      <c r="T25" s="74">
        <v>0</v>
      </c>
      <c r="U25" s="74">
        <v>0</v>
      </c>
      <c r="V25" s="76">
        <v>1</v>
      </c>
      <c r="W25" s="48">
        <v>0</v>
      </c>
      <c r="X25" s="76">
        <f t="shared" si="18"/>
        <v>0.488431876606684</v>
      </c>
      <c r="Y25" s="47">
        <f t="shared" si="20"/>
        <v>0.8</v>
      </c>
      <c r="Z25" s="77">
        <v>0</v>
      </c>
      <c r="AA25" s="77">
        <v>0</v>
      </c>
      <c r="AB25" s="34">
        <v>0.5</v>
      </c>
      <c r="AC25" s="103">
        <f t="shared" si="21"/>
        <v>17526.4123989717</v>
      </c>
    </row>
    <row r="26" s="1" customFormat="1" ht="15" spans="1:32">
      <c r="B26" s="104" t="s">
        <v>92</v>
      </c>
      <c r="C26" s="1"/>
      <c r="D26" s="104"/>
      <c r="E26" s="1"/>
      <c r="F26" s="1"/>
      <c r="G26" s="2"/>
      <c r="H26" s="1"/>
      <c r="I26" s="1"/>
      <c r="J26" s="1"/>
      <c r="K26" s="1"/>
      <c r="L26" s="1"/>
      <c r="M26" s="1"/>
      <c r="O26" s="32">
        <f t="shared" si="19"/>
        <v>1</v>
      </c>
      <c r="P26" s="47" t="s">
        <v>93</v>
      </c>
      <c r="Q26" s="74">
        <v>5.9643</v>
      </c>
      <c r="R26" s="47" t="s">
        <v>90</v>
      </c>
      <c r="S26" s="47">
        <v>10027</v>
      </c>
      <c r="T26" s="74">
        <v>0</v>
      </c>
      <c r="U26" s="74">
        <v>0</v>
      </c>
      <c r="V26" s="76">
        <v>1</v>
      </c>
      <c r="W26" s="48">
        <v>0</v>
      </c>
      <c r="X26" s="76">
        <f t="shared" si="18"/>
        <v>0.488431876606684</v>
      </c>
      <c r="Y26" s="47">
        <f t="shared" si="20"/>
        <v>0.8</v>
      </c>
      <c r="Z26" s="77">
        <v>0</v>
      </c>
      <c r="AA26" s="77">
        <v>0</v>
      </c>
      <c r="AB26" s="34">
        <v>0.5</v>
      </c>
      <c r="AC26" s="105">
        <f t="shared" si="21"/>
        <v>35052.2370971722</v>
      </c>
    </row>
    <row r="27" s="1" customFormat="1" ht="15" spans="1:32">
      <c r="B27" s="106"/>
      <c r="C27" s="107" t="s">
        <v>94</v>
      </c>
      <c r="D27" s="107" t="s">
        <v>95</v>
      </c>
      <c r="E27" s="107" t="s">
        <v>96</v>
      </c>
      <c r="F27" s="107" t="s">
        <v>97</v>
      </c>
      <c r="G27" s="2"/>
      <c r="H27" s="1"/>
      <c r="I27" s="1"/>
      <c r="J27" s="1"/>
      <c r="K27" s="1"/>
      <c r="L27" s="1"/>
      <c r="M27" s="1"/>
      <c r="O27" s="19">
        <v>1</v>
      </c>
      <c r="P27" s="108" t="s">
        <v>98</v>
      </c>
      <c r="Q27" s="109">
        <v>16</v>
      </c>
      <c r="R27" s="108" t="s">
        <v>99</v>
      </c>
      <c r="S27" s="108">
        <v>10027</v>
      </c>
      <c r="T27" s="109">
        <v>0</v>
      </c>
      <c r="U27" s="109">
        <v>0</v>
      </c>
      <c r="V27" s="110">
        <v>1</v>
      </c>
      <c r="W27" s="111">
        <v>0</v>
      </c>
      <c r="X27" s="110">
        <f t="shared" si="18"/>
        <v>0.488431876606684</v>
      </c>
      <c r="Y27" s="108">
        <f t="shared" si="20"/>
        <v>0.8</v>
      </c>
      <c r="Z27" s="112">
        <v>0</v>
      </c>
      <c r="AA27" s="112">
        <v>0</v>
      </c>
      <c r="AB27" s="113">
        <v>0</v>
      </c>
      <c r="AC27" s="114">
        <f t="shared" si="21"/>
        <v>62688.0822622108</v>
      </c>
    </row>
    <row r="28" s="1" customFormat="1" ht="15" spans="1:32">
      <c r="B28" s="4" t="s">
        <v>0</v>
      </c>
      <c r="C28" s="115">
        <f>SUM(AC3:AC15)</f>
        <v>2597838.30450087</v>
      </c>
      <c r="D28" s="115">
        <f t="shared" ref="D28:D31" si="22">C28/$E$28</f>
        <v>103913.532180035</v>
      </c>
      <c r="E28" s="116">
        <v>25</v>
      </c>
      <c r="F28" s="117">
        <f t="shared" ref="F28:F31" si="23">C28/$C$32</f>
        <v>0.877569301212114</v>
      </c>
      <c r="G28" s="2"/>
      <c r="H28" s="1"/>
      <c r="I28" s="1"/>
      <c r="J28" s="1"/>
      <c r="K28" s="1"/>
      <c r="L28" s="1"/>
      <c r="M28" s="1"/>
      <c r="Q28" s="2"/>
      <c r="R28" s="1"/>
      <c r="S28" s="1"/>
      <c r="T28" s="1"/>
      <c r="U28" s="2"/>
      <c r="V28" s="3"/>
      <c r="W28" s="1"/>
      <c r="X28" s="1"/>
      <c r="Y28" s="1"/>
      <c r="Z28" s="1"/>
      <c r="AA28" s="1"/>
      <c r="AB28" s="4"/>
      <c r="AC28" s="4"/>
    </row>
    <row r="29" s="1" customFormat="1" ht="15" spans="1:32">
      <c r="A29" s="1" t="s">
        <v>120</v>
      </c>
      <c r="B29" s="4" t="s">
        <v>109</v>
      </c>
      <c r="C29" s="115">
        <f>SUM(AC16:AC22)</f>
        <v>249739.316370209</v>
      </c>
      <c r="D29" s="115">
        <f t="shared" si="22"/>
        <v>9989.57265480836</v>
      </c>
      <c r="E29" s="118"/>
      <c r="F29" s="117">
        <f t="shared" si="23"/>
        <v>0.0843638177836107</v>
      </c>
      <c r="G29" s="2"/>
      <c r="H29" s="1"/>
      <c r="I29" s="1"/>
      <c r="J29" s="1"/>
      <c r="K29" s="1"/>
      <c r="L29" s="1"/>
      <c r="M29" s="1"/>
      <c r="N29" s="83" t="s">
        <v>101</v>
      </c>
      <c r="O29" s="85" t="s">
        <v>12</v>
      </c>
      <c r="P29" s="85"/>
      <c r="Q29" s="87"/>
      <c r="R29" s="85"/>
      <c r="S29" s="85"/>
      <c r="T29" s="85"/>
      <c r="U29" s="87"/>
      <c r="V29" s="119"/>
      <c r="W29" s="85"/>
      <c r="X29" s="85"/>
      <c r="Y29" s="85"/>
      <c r="Z29" s="85"/>
      <c r="AA29" s="85"/>
      <c r="AB29" s="86"/>
      <c r="AC29" s="120"/>
    </row>
    <row r="30" s="1" customFormat="1" ht="15" spans="1:32">
      <c r="B30" s="4" t="s">
        <v>121</v>
      </c>
      <c r="C30" s="115">
        <v>50000</v>
      </c>
      <c r="D30" s="115">
        <f t="shared" si="22"/>
        <v>2000</v>
      </c>
      <c r="E30" s="121"/>
      <c r="F30" s="117">
        <f t="shared" si="23"/>
        <v>0.0168903757345422</v>
      </c>
      <c r="G30" s="2"/>
      <c r="H30" s="1"/>
      <c r="I30" s="1"/>
      <c r="J30" s="1"/>
      <c r="K30" s="1"/>
      <c r="L30" s="1"/>
      <c r="M30" s="1"/>
      <c r="N30" s="32"/>
      <c r="O30" s="47">
        <v>1</v>
      </c>
      <c r="P30" s="122" t="s">
        <v>102</v>
      </c>
      <c r="Q30" s="123">
        <f>IF(N30&gt;0,(MAX(45%,112.5%+112.5%*(N30-2))),(IF(N30&lt;=0,0)))</f>
        <v>0</v>
      </c>
      <c r="R30" s="122" t="s">
        <v>102</v>
      </c>
      <c r="S30" s="124">
        <v>3674.1</v>
      </c>
      <c r="T30" s="125">
        <v>0</v>
      </c>
      <c r="U30" s="125">
        <v>0</v>
      </c>
      <c r="V30" s="126">
        <v>1</v>
      </c>
      <c r="W30" s="127">
        <v>0</v>
      </c>
      <c r="X30" s="126">
        <f t="shared" ref="X30:X33" si="24">$AF$3</f>
        <v>0.488431876606684</v>
      </c>
      <c r="Y30" s="122">
        <f>$AF$13</f>
        <v>0.8</v>
      </c>
      <c r="Z30" s="128">
        <v>0</v>
      </c>
      <c r="AA30" s="128">
        <v>0</v>
      </c>
      <c r="AB30" s="128">
        <v>0</v>
      </c>
      <c r="AC30" s="129">
        <f t="shared" ref="AC30:AC33" si="25">Q30*S30*(1+T30)*(1+U30)*V30*(1+W30)*X30*Y30*(1+Z30)*(1+AA30)*(1+AB30)*O30</f>
        <v>0</v>
      </c>
    </row>
    <row r="31" s="1" customFormat="1" ht="15" spans="1:32">
      <c r="B31" s="4" t="s">
        <v>98</v>
      </c>
      <c r="C31" s="115">
        <f>AC27</f>
        <v>62688.0822622108</v>
      </c>
      <c r="D31" s="115">
        <f t="shared" si="22"/>
        <v>2507.52329048843</v>
      </c>
      <c r="E31" s="121"/>
      <c r="F31" s="117">
        <f t="shared" si="23"/>
        <v>0.0211765052697326</v>
      </c>
      <c r="G31" s="2"/>
      <c r="H31" s="1"/>
      <c r="I31" s="1"/>
      <c r="J31" s="1"/>
      <c r="K31" s="1"/>
      <c r="L31" s="1"/>
      <c r="M31" s="1"/>
      <c r="N31" s="32"/>
      <c r="O31" s="47"/>
      <c r="P31" s="130" t="s">
        <v>103</v>
      </c>
      <c r="Q31" s="131">
        <f>IF(N31=1,0.3,IF(AND(N31&gt;=2,N31&lt;=10),0.3+0.2439*(N31-1),IF(AND(N31&gt;=11),2.4951+0.8317*(N31-10),IF(AND(N31&lt;=0),0,""))))</f>
        <v>0</v>
      </c>
      <c r="R31" s="130" t="s">
        <v>103</v>
      </c>
      <c r="S31" s="132">
        <v>3674.1</v>
      </c>
      <c r="T31" s="133">
        <v>0</v>
      </c>
      <c r="U31" s="133">
        <v>0</v>
      </c>
      <c r="V31" s="134">
        <v>1</v>
      </c>
      <c r="W31" s="135">
        <v>0</v>
      </c>
      <c r="X31" s="134">
        <f t="shared" si="24"/>
        <v>0.488431876606684</v>
      </c>
      <c r="Y31" s="130">
        <f>$AF$11</f>
        <v>0.8</v>
      </c>
      <c r="Z31" s="136">
        <v>0</v>
      </c>
      <c r="AA31" s="136">
        <v>0</v>
      </c>
      <c r="AB31" s="136">
        <v>0</v>
      </c>
      <c r="AC31" s="137">
        <f t="shared" si="25"/>
        <v>0</v>
      </c>
    </row>
    <row r="32" s="1" customFormat="1" ht="15" spans="1:32">
      <c r="B32" s="4" t="s">
        <v>105</v>
      </c>
      <c r="C32" s="145">
        <f>SUM(C28:C31)</f>
        <v>2960265.70313329</v>
      </c>
      <c r="D32" s="145">
        <f>C32/E28</f>
        <v>118410.628125332</v>
      </c>
      <c r="E32" s="146"/>
      <c r="F32" s="147"/>
      <c r="G32" s="2"/>
      <c r="H32" s="1"/>
      <c r="I32" s="1"/>
      <c r="J32" s="1"/>
      <c r="K32" s="1"/>
      <c r="L32" s="1"/>
      <c r="M32" s="1"/>
      <c r="N32" s="32"/>
      <c r="O32" s="47">
        <v>1</v>
      </c>
      <c r="P32" s="59" t="s">
        <v>104</v>
      </c>
      <c r="Q32" s="138" t="str">
        <f>IF(N32=1,24.5%,IF(AND(10&gt;=N32,N32&gt;=2),24.5%+(N32-1)*19.9185%,IF(AND(13&gt;=N32,N32&gt;=11),203.77%+(N32-10)*(271.69%-203.77%),"")))</f>
        <v/>
      </c>
      <c r="R32" s="59" t="s">
        <v>104</v>
      </c>
      <c r="S32" s="139">
        <v>3674.1</v>
      </c>
      <c r="T32" s="140">
        <v>0</v>
      </c>
      <c r="U32" s="140">
        <v>0</v>
      </c>
      <c r="V32" s="141">
        <v>1</v>
      </c>
      <c r="W32" s="142">
        <v>0</v>
      </c>
      <c r="X32" s="141">
        <f t="shared" si="24"/>
        <v>0.488431876606684</v>
      </c>
      <c r="Y32" s="59">
        <f>$AF$15</f>
        <v>0.8</v>
      </c>
      <c r="Z32" s="143">
        <v>0</v>
      </c>
      <c r="AA32" s="143">
        <v>0</v>
      </c>
      <c r="AB32" s="143">
        <v>0</v>
      </c>
      <c r="AC32" s="144" t="e">
        <f t="shared" si="25"/>
        <v>#VALUE!</v>
      </c>
    </row>
    <row r="33" s="1" customFormat="1" ht="15" spans="2:29">
      <c r="B33" s="4"/>
      <c r="C33" s="4"/>
      <c r="D33" s="4"/>
      <c r="E33" s="1"/>
      <c r="F33" s="1"/>
      <c r="G33" s="2"/>
      <c r="H33" s="1"/>
      <c r="I33" s="1"/>
      <c r="J33" s="1"/>
      <c r="K33" s="1"/>
      <c r="L33" s="1"/>
      <c r="M33" s="1"/>
      <c r="N33" s="40"/>
      <c r="O33" s="79">
        <v>1</v>
      </c>
      <c r="P33" s="148" t="s">
        <v>106</v>
      </c>
      <c r="Q33" s="149" t="str">
        <f>IF(N33=1,0.84,IF(N33=2,1.5229,IF(N33=3,2.2058,IF(N33=4,2.8888,IF(N33=5,3.5717,IF(N33=6,4.2546,IF(N33=7,4.9375,IF(N33=8,5.6204,IF(N33=9,6.3034,IF(N33=10,6.9863,IF(N33=11,9.315,IF(N33=12,11.6438,IF(N33=13,13.9726,"")))))))))))))</f>
        <v/>
      </c>
      <c r="R33" s="148" t="s">
        <v>106</v>
      </c>
      <c r="S33" s="150">
        <v>3674.1</v>
      </c>
      <c r="T33" s="151">
        <v>0</v>
      </c>
      <c r="U33" s="151">
        <v>0</v>
      </c>
      <c r="V33" s="152">
        <v>1</v>
      </c>
      <c r="W33" s="153">
        <v>0</v>
      </c>
      <c r="X33" s="152">
        <f t="shared" si="24"/>
        <v>0.488431876606684</v>
      </c>
      <c r="Y33" s="148">
        <f>$AF$16</f>
        <v>0.8</v>
      </c>
      <c r="Z33" s="154">
        <v>0</v>
      </c>
      <c r="AA33" s="154">
        <v>0</v>
      </c>
      <c r="AB33" s="154">
        <v>0</v>
      </c>
      <c r="AC33" s="155" t="e">
        <f t="shared" si="25"/>
        <v>#VALUE!</v>
      </c>
    </row>
    <row r="34" s="1" customFormat="1" spans="2:29">
      <c r="B34" s="4"/>
      <c r="C34" s="4"/>
      <c r="D34" s="4"/>
      <c r="E34" s="1"/>
      <c r="F34" s="4"/>
      <c r="G34" s="2"/>
      <c r="H34" s="1">
        <v>90761</v>
      </c>
      <c r="I34" s="1"/>
      <c r="J34" s="1"/>
      <c r="K34" s="1"/>
      <c r="L34" s="1"/>
      <c r="M34" s="1"/>
      <c r="N34" s="1"/>
      <c r="Q34" s="2"/>
      <c r="U34" s="2"/>
      <c r="V34" s="3"/>
      <c r="AB34" s="4"/>
      <c r="AC34" s="4"/>
    </row>
    <row r="35" s="1" customFormat="1" spans="2:29">
      <c r="F35" s="4"/>
      <c r="G35" s="2"/>
      <c r="H35" s="1">
        <v>95736</v>
      </c>
      <c r="Q35" s="2"/>
      <c r="R35" s="1"/>
      <c r="S35" s="1"/>
      <c r="T35" s="1"/>
      <c r="U35" s="2"/>
      <c r="V35" s="3"/>
      <c r="W35" s="1"/>
      <c r="X35" s="1"/>
      <c r="Y35" s="1"/>
      <c r="Z35" s="1"/>
      <c r="AA35" s="1"/>
      <c r="AB35" s="4"/>
      <c r="AC35" s="4"/>
    </row>
    <row r="36" s="1" customFormat="1" spans="2:29">
      <c r="G36" s="2"/>
      <c r="H36" s="1">
        <v>118411</v>
      </c>
      <c r="Q36" s="2"/>
      <c r="R36" s="1"/>
      <c r="S36" s="1"/>
      <c r="T36" s="1"/>
      <c r="U36" s="2"/>
      <c r="V36" s="3"/>
      <c r="W36" s="1"/>
      <c r="X36" s="1"/>
      <c r="Y36" s="1"/>
      <c r="Z36" s="1"/>
      <c r="AA36" s="1"/>
      <c r="AB36" s="4"/>
      <c r="AC36" s="4"/>
    </row>
    <row r="37" s="1" customFormat="1" spans="2:29">
      <c r="B37" s="4"/>
      <c r="C37" s="4"/>
      <c r="D37" s="4"/>
      <c r="F37" s="4"/>
      <c r="G37" s="1"/>
      <c r="H37" s="1"/>
      <c r="Q37" s="2"/>
      <c r="R37" s="1"/>
      <c r="S37" s="1"/>
      <c r="T37" s="1"/>
      <c r="U37" s="2"/>
      <c r="V37" s="3"/>
      <c r="W37" s="1"/>
      <c r="X37" s="1"/>
      <c r="Y37" s="1"/>
      <c r="Z37" s="1"/>
      <c r="AA37" s="1"/>
      <c r="AB37" s="4"/>
      <c r="AC37" s="4"/>
    </row>
    <row r="38" s="1" customFormat="1" spans="2:29">
      <c r="B38" s="4"/>
      <c r="C38" s="4"/>
      <c r="D38" s="4"/>
      <c r="E38" s="1"/>
      <c r="F38" s="4"/>
      <c r="G38" s="2"/>
      <c r="H38" s="1"/>
      <c r="Q38" s="2"/>
      <c r="R38" s="1"/>
      <c r="S38" s="1"/>
      <c r="T38" s="1"/>
      <c r="U38" s="2"/>
      <c r="V38" s="3"/>
      <c r="W38" s="1"/>
      <c r="X38" s="1"/>
      <c r="Y38" s="1"/>
      <c r="Z38" s="1"/>
      <c r="AA38" s="1"/>
      <c r="AB38" s="4"/>
      <c r="AC38" s="4"/>
    </row>
    <row r="39" s="1" customFormat="1" spans="2:29">
      <c r="G39" s="2"/>
      <c r="H39" s="1"/>
      <c r="Q39" s="2"/>
      <c r="U39" s="2"/>
      <c r="V39" s="3"/>
      <c r="AB39" s="4"/>
      <c r="AC39" s="4"/>
    </row>
    <row r="40" s="1" customFormat="1" spans="2:29">
      <c r="B40" s="4"/>
      <c r="C40" s="4"/>
      <c r="D40" s="4"/>
      <c r="E40" s="1"/>
      <c r="F40" s="4"/>
      <c r="G40" s="2"/>
      <c r="Q40" s="2"/>
      <c r="R40" s="1"/>
      <c r="S40" s="1"/>
      <c r="T40" s="1"/>
      <c r="U40" s="2"/>
      <c r="V40" s="3"/>
      <c r="W40" s="1"/>
      <c r="X40" s="1"/>
      <c r="Y40" s="1"/>
      <c r="Z40" s="1"/>
      <c r="AA40" s="1"/>
      <c r="AB40" s="4"/>
      <c r="AC40" s="4"/>
    </row>
    <row r="41" s="1" customFormat="1" spans="2:29">
      <c r="B41" s="4"/>
      <c r="C41" s="4"/>
      <c r="D41" s="4"/>
      <c r="E41" s="1"/>
      <c r="F41" s="4"/>
      <c r="G41" s="2"/>
      <c r="Q41" s="2"/>
      <c r="R41" s="1"/>
      <c r="S41" s="1"/>
      <c r="T41" s="1"/>
      <c r="U41" s="2"/>
      <c r="V41" s="3"/>
      <c r="W41" s="1"/>
      <c r="X41" s="1"/>
      <c r="Y41" s="1"/>
      <c r="Z41" s="1"/>
      <c r="AA41" s="1"/>
      <c r="AB41" s="4"/>
      <c r="AC41" s="4"/>
    </row>
    <row r="42" s="1" customFormat="1" spans="2:29">
      <c r="G42" s="2"/>
      <c r="Q42" s="2"/>
      <c r="R42" s="1"/>
      <c r="S42" s="1"/>
      <c r="T42" s="1"/>
      <c r="U42" s="2"/>
      <c r="V42" s="3"/>
      <c r="W42" s="1"/>
      <c r="X42" s="1"/>
      <c r="Y42" s="1"/>
      <c r="Z42" s="1"/>
      <c r="AA42" s="1"/>
      <c r="AB42" s="4"/>
      <c r="AC42" s="4"/>
    </row>
    <row r="43" s="1" customFormat="1" spans="2:29">
      <c r="B43" s="4"/>
      <c r="C43" s="4"/>
      <c r="D43" s="4"/>
      <c r="E43" s="1"/>
      <c r="F43" s="4"/>
      <c r="G43" s="2"/>
      <c r="Q43" s="2"/>
      <c r="R43" s="1"/>
      <c r="S43" s="1"/>
      <c r="T43" s="1"/>
      <c r="U43" s="2"/>
      <c r="V43" s="3"/>
      <c r="W43" s="1"/>
      <c r="X43" s="1"/>
      <c r="Y43" s="1"/>
      <c r="Z43" s="1"/>
      <c r="AA43" s="1"/>
      <c r="AB43" s="4"/>
      <c r="AC43" s="4"/>
    </row>
    <row r="44" s="1" customFormat="1" spans="2:29">
      <c r="B44" s="4"/>
      <c r="C44" s="4"/>
      <c r="D44" s="4"/>
      <c r="E44" s="1"/>
      <c r="F44" s="1"/>
      <c r="G44" s="2"/>
      <c r="Q44" s="2"/>
      <c r="R44" s="1"/>
      <c r="S44" s="1"/>
      <c r="T44" s="1"/>
      <c r="U44" s="2"/>
      <c r="V44" s="3"/>
      <c r="W44" s="1"/>
      <c r="X44" s="1"/>
      <c r="Y44" s="1"/>
      <c r="Z44" s="1"/>
      <c r="AA44" s="1"/>
      <c r="AB44" s="4"/>
      <c r="AC44" s="4"/>
    </row>
    <row r="45" s="1" customFormat="1" spans="2:29">
      <c r="G45" s="2"/>
      <c r="H45" s="1"/>
      <c r="Q45" s="2"/>
      <c r="U45" s="2"/>
      <c r="V45" s="3"/>
      <c r="AB45" s="4"/>
      <c r="AC45" s="4"/>
    </row>
    <row r="46" s="1" customFormat="1" spans="2:29">
      <c r="B46" s="4"/>
      <c r="C46" s="4"/>
      <c r="D46" s="4"/>
      <c r="G46" s="2"/>
      <c r="H46" s="1"/>
      <c r="Q46" s="2"/>
      <c r="U46" s="2"/>
      <c r="V46" s="3"/>
      <c r="AB46" s="4"/>
      <c r="AC46" s="4"/>
    </row>
    <row r="47" s="1" customFormat="1" spans="2:29">
      <c r="G47" s="2"/>
      <c r="H47" s="1"/>
      <c r="I47" s="1"/>
      <c r="Q47" s="2"/>
      <c r="U47" s="2"/>
      <c r="V47" s="3"/>
      <c r="AB47" s="4"/>
      <c r="AC47" s="4"/>
    </row>
    <row r="48" s="1" customFormat="1" spans="2:29">
      <c r="G48" s="2"/>
      <c r="H48" s="1"/>
      <c r="Q48" s="2"/>
      <c r="U48" s="2"/>
      <c r="V48" s="3"/>
      <c r="AB48" s="4"/>
      <c r="AC48" s="4"/>
    </row>
    <row r="49" s="1" customFormat="1" spans="7:29">
      <c r="G49" s="2"/>
      <c r="H49" s="1"/>
      <c r="Q49" s="2"/>
      <c r="U49" s="2"/>
      <c r="V49" s="3"/>
      <c r="AB49" s="4"/>
      <c r="AC49" s="4"/>
    </row>
    <row r="50" s="1" customFormat="1" spans="7:29">
      <c r="G50" s="2"/>
      <c r="H50" s="1"/>
      <c r="Q50" s="2"/>
      <c r="U50" s="2"/>
      <c r="V50" s="3"/>
      <c r="AB50" s="4"/>
      <c r="AC50" s="4"/>
    </row>
    <row r="51" s="1" customFormat="1" spans="7:29">
      <c r="G51" s="2"/>
      <c r="H51" s="1"/>
      <c r="Q51" s="2"/>
      <c r="U51" s="2"/>
      <c r="V51" s="3"/>
      <c r="AB51" s="4"/>
      <c r="AC51" s="4"/>
    </row>
    <row r="52" s="1" customFormat="1" spans="7:29">
      <c r="G52" s="2"/>
      <c r="Q52" s="2"/>
      <c r="U52" s="2"/>
      <c r="V52" s="3"/>
      <c r="AB52" s="4"/>
      <c r="AC52" s="4"/>
    </row>
    <row r="53" s="1" customFormat="1" spans="7:29">
      <c r="G53" s="2"/>
      <c r="Q53" s="2"/>
      <c r="U53" s="2"/>
      <c r="V53" s="3"/>
      <c r="AB53" s="4"/>
      <c r="AC53" s="4"/>
    </row>
    <row r="54" s="1" customFormat="1" spans="7:29">
      <c r="G54" s="2"/>
      <c r="Q54" s="2"/>
      <c r="U54" s="2"/>
      <c r="V54" s="3"/>
      <c r="AB54" s="4"/>
      <c r="AC54" s="4"/>
    </row>
    <row r="55" s="1" customFormat="1" spans="7:29">
      <c r="G55" s="2"/>
      <c r="Q55" s="2"/>
      <c r="U55" s="2"/>
      <c r="V55" s="3"/>
      <c r="AB55" s="4"/>
      <c r="AC55" s="4"/>
    </row>
    <row r="56" s="1" customFormat="1" spans="7:29">
      <c r="G56" s="2"/>
      <c r="Q56" s="2"/>
      <c r="U56" s="2"/>
      <c r="V56" s="3"/>
      <c r="AB56" s="4"/>
      <c r="AC56" s="4"/>
    </row>
    <row r="57" s="1" customFormat="1" spans="7:29">
      <c r="G57" s="2"/>
      <c r="Q57" s="2"/>
      <c r="U57" s="2"/>
      <c r="V57" s="3"/>
      <c r="AB57" s="4"/>
      <c r="AC57" s="4"/>
    </row>
    <row r="58" s="1" customFormat="1" spans="7:29">
      <c r="G58" s="2"/>
      <c r="Q58" s="2"/>
      <c r="U58" s="2"/>
      <c r="V58" s="3"/>
      <c r="AB58" s="4"/>
      <c r="AC58" s="4"/>
    </row>
    <row r="59" s="1" customFormat="1" spans="7:29">
      <c r="G59" s="2"/>
      <c r="Q59" s="2"/>
      <c r="U59" s="2"/>
      <c r="V59" s="3"/>
      <c r="AB59" s="4"/>
      <c r="AC59" s="4"/>
    </row>
  </sheetData>
  <mergeCells count="14">
    <mergeCell ref="B2:M2"/>
    <mergeCell ref="B3:C3"/>
    <mergeCell ref="D3:E3"/>
    <mergeCell ref="F3:G3"/>
    <mergeCell ref="H3:I3"/>
    <mergeCell ref="J3:K3"/>
    <mergeCell ref="L3:M3"/>
    <mergeCell ref="B14:M14"/>
    <mergeCell ref="B15:C15"/>
    <mergeCell ref="D15:E15"/>
    <mergeCell ref="F15:G15"/>
    <mergeCell ref="H15:I15"/>
    <mergeCell ref="J15:K15"/>
    <mergeCell ref="L15:M15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59"/>
  <sheetViews>
    <sheetView workbookViewId="0">
      <selection activeCell="A13" sqref="$A1:$XFD1048576"/>
    </sheetView>
  </sheetViews>
  <sheetFormatPr defaultColWidth="9.69090909090909" defaultRowHeight="14"/>
  <cols>
    <col min="1" max="1" width="9.69090909090909" style="1"/>
    <col min="2" max="2" width="15.4545454545455" style="1" customWidth="1"/>
    <col min="3" max="3" width="10" style="1" customWidth="1"/>
    <col min="4" max="4" width="11.8181818181818" style="1" customWidth="1"/>
    <col min="5" max="5" width="5.54545454545455" style="1" customWidth="1"/>
    <col min="6" max="6" width="11.8181818181818" style="1" customWidth="1"/>
    <col min="7" max="7" width="7.54545454545455" style="2" customWidth="1"/>
    <col min="8" max="8" width="14" style="1" customWidth="1"/>
    <col min="9" max="9" width="8.54545454545454" style="1" customWidth="1"/>
    <col min="10" max="10" width="11.8181818181818" style="1" customWidth="1"/>
    <col min="11" max="11" width="4.54545454545455" style="1" customWidth="1"/>
    <col min="12" max="12" width="9.54545454545454" style="1" customWidth="1"/>
    <col min="13" max="13" width="7.54545454545455" style="1" customWidth="1"/>
    <col min="14" max="14" width="5.54545454545455" style="1" customWidth="1"/>
    <col min="15" max="15" width="6.27272727272727" style="1" customWidth="1"/>
    <col min="16" max="16" width="21.2727272727273" style="1" customWidth="1"/>
    <col min="17" max="17" width="9.54545454545454" style="2" customWidth="1"/>
    <col min="18" max="18" width="6.27272727272727" style="1" customWidth="1"/>
    <col min="19" max="19" width="11" style="1" customWidth="1"/>
    <col min="20" max="20" width="8.54545454545454" style="1" customWidth="1"/>
    <col min="21" max="21" width="8.54545454545454" style="2" customWidth="1"/>
    <col min="22" max="22" width="8.54545454545454" style="3" customWidth="1"/>
    <col min="23" max="25" width="8.54545454545454" style="1" customWidth="1"/>
    <col min="26" max="26" width="11" style="1" customWidth="1"/>
    <col min="27" max="27" width="8.54545454545454" style="1" customWidth="1"/>
    <col min="28" max="28" width="11" style="4" customWidth="1"/>
    <col min="29" max="29" width="10" style="4" customWidth="1"/>
    <col min="30" max="30" width="9.54545454545454" style="1" customWidth="1"/>
    <col min="31" max="31" width="5.54545454545455" style="1" customWidth="1"/>
    <col min="32" max="32" width="8.54545454545454" style="1" customWidth="1"/>
    <col min="33" max="33" width="9.54545454545454" style="1" customWidth="1"/>
    <col min="34" max="16384" width="9.69090909090909" style="1"/>
  </cols>
  <sheetData>
    <row r="1" s="1" customFormat="1" ht="14.75" spans="2:33">
      <c r="B1" s="5" t="s">
        <v>9</v>
      </c>
      <c r="C1" s="5" t="s">
        <v>10</v>
      </c>
      <c r="D1" s="6" t="s">
        <v>11</v>
      </c>
      <c r="E1" s="6">
        <v>0</v>
      </c>
      <c r="F1" s="1" t="s">
        <v>108</v>
      </c>
      <c r="Q1" s="2">
        <f>SUM(Q3:Q15)</f>
        <v>59.9057</v>
      </c>
      <c r="U1" s="2"/>
      <c r="V1" s="3"/>
      <c r="AB1" s="4"/>
      <c r="AC1" s="4"/>
    </row>
    <row r="2" s="1" customFormat="1" ht="15.75" spans="2:33">
      <c r="B2" s="7" t="s">
        <v>0</v>
      </c>
      <c r="C2" s="8"/>
      <c r="D2" s="8"/>
      <c r="E2" s="8"/>
      <c r="F2" s="8"/>
      <c r="G2" s="8"/>
      <c r="H2" s="8"/>
      <c r="I2" s="8"/>
      <c r="J2" s="8"/>
      <c r="K2" s="8"/>
      <c r="L2" s="8"/>
      <c r="M2" s="9"/>
      <c r="O2" s="10" t="s">
        <v>12</v>
      </c>
      <c r="P2" s="11" t="s">
        <v>13</v>
      </c>
      <c r="Q2" s="12" t="s">
        <v>14</v>
      </c>
      <c r="R2" s="11" t="s">
        <v>15</v>
      </c>
      <c r="S2" s="11" t="s">
        <v>16</v>
      </c>
      <c r="T2" s="11" t="s">
        <v>17</v>
      </c>
      <c r="U2" s="12" t="s">
        <v>18</v>
      </c>
      <c r="V2" s="13" t="s">
        <v>19</v>
      </c>
      <c r="W2" s="11" t="s">
        <v>20</v>
      </c>
      <c r="X2" s="11" t="s">
        <v>21</v>
      </c>
      <c r="Y2" s="11" t="s">
        <v>22</v>
      </c>
      <c r="Z2" s="11" t="s">
        <v>23</v>
      </c>
      <c r="AA2" s="11" t="s">
        <v>24</v>
      </c>
      <c r="AB2" s="14" t="s">
        <v>25</v>
      </c>
      <c r="AC2" s="15" t="s">
        <v>26</v>
      </c>
      <c r="AD2" s="17" t="s">
        <v>29</v>
      </c>
      <c r="AE2" s="17" t="s">
        <v>30</v>
      </c>
      <c r="AF2" s="18" t="s">
        <v>21</v>
      </c>
      <c r="AG2" s="18" t="s">
        <v>31</v>
      </c>
    </row>
    <row r="3" s="1" customFormat="1" ht="15" spans="2:33">
      <c r="B3" s="19" t="s">
        <v>32</v>
      </c>
      <c r="C3" s="20"/>
      <c r="D3" s="19" t="s">
        <v>18</v>
      </c>
      <c r="E3" s="20"/>
      <c r="F3" s="19" t="s">
        <v>33</v>
      </c>
      <c r="G3" s="20"/>
      <c r="H3" s="19" t="s">
        <v>34</v>
      </c>
      <c r="I3" s="20"/>
      <c r="J3" s="19" t="s">
        <v>20</v>
      </c>
      <c r="K3" s="20"/>
      <c r="L3" s="19" t="s">
        <v>35</v>
      </c>
      <c r="M3" s="20"/>
      <c r="O3" s="21">
        <v>1</v>
      </c>
      <c r="P3" s="22" t="s">
        <v>36</v>
      </c>
      <c r="Q3" s="23">
        <f>163.42%</f>
        <v>1.6342</v>
      </c>
      <c r="R3" s="24" t="s">
        <v>37</v>
      </c>
      <c r="S3" s="25">
        <f t="shared" ref="S3:S15" si="0">$C$4*(1+C$5+C$6+C$7+C$8)+C$9</f>
        <v>3429.168</v>
      </c>
      <c r="T3" s="23">
        <f t="shared" ref="T3:T15" si="1">($C$5+$C$6+$C$7+$C$8)+($C$9+$C$10)/$C$4</f>
        <v>2.348796875</v>
      </c>
      <c r="U3" s="23">
        <f t="shared" ref="U3:U15" si="2">IF(R3=$C$1,SUM($E$4:$E$9),SUM($E$4:$E$8))</f>
        <v>1.47</v>
      </c>
      <c r="V3" s="26">
        <f t="shared" ref="V3:V15" si="3">1+$G$10*($I$10-1)</f>
        <v>3.39596</v>
      </c>
      <c r="W3" s="27">
        <f t="shared" ref="W3:W6" si="4">IF(R3=$C$1,$K$4+$K$5,$K$4)</f>
        <v>0.15</v>
      </c>
      <c r="X3" s="26">
        <f>$AF$3</f>
        <v>0.488431876606684</v>
      </c>
      <c r="Y3" s="24">
        <f t="shared" ref="Y3:Y15" si="5">$AF$11</f>
        <v>0.8</v>
      </c>
      <c r="Z3" s="28">
        <v>0</v>
      </c>
      <c r="AA3" s="28">
        <v>0.3</v>
      </c>
      <c r="AB3" s="28">
        <v>0</v>
      </c>
      <c r="AC3" s="29">
        <f t="shared" ref="AC3:AC20" si="6">Q3*$C$4*(1+T3)*(1+U3)*V3*(1+W3)*X3*Y3*(1+Z3)*(1+AA3)*(1+AB3)*O3</f>
        <v>27459.2497566997</v>
      </c>
      <c r="AD3" s="17">
        <v>0</v>
      </c>
      <c r="AE3" s="17">
        <v>0</v>
      </c>
      <c r="AF3" s="18">
        <f>1520/(1520+(792+8*AG3)*(1-AE3/100))</f>
        <v>0.488431876606684</v>
      </c>
      <c r="AG3" s="31">
        <v>100</v>
      </c>
    </row>
    <row r="4" s="1" customFormat="1" ht="15" spans="2:33">
      <c r="B4" s="32" t="s">
        <v>38</v>
      </c>
      <c r="C4" s="33">
        <f>437+587</f>
        <v>1024</v>
      </c>
      <c r="D4" s="32" t="s">
        <v>39</v>
      </c>
      <c r="E4" s="34">
        <f>E1*30%</f>
        <v>0</v>
      </c>
      <c r="F4" s="32" t="s">
        <v>40</v>
      </c>
      <c r="G4" s="35">
        <v>0.13</v>
      </c>
      <c r="H4" s="32" t="s">
        <v>40</v>
      </c>
      <c r="I4" s="35">
        <v>1.5</v>
      </c>
      <c r="J4" s="36" t="s">
        <v>41</v>
      </c>
      <c r="K4" s="34">
        <v>0.15</v>
      </c>
      <c r="L4" s="32" t="s">
        <v>42</v>
      </c>
      <c r="M4" s="35">
        <f>8.6%*2</f>
        <v>0.172</v>
      </c>
      <c r="O4" s="21">
        <v>1</v>
      </c>
      <c r="P4" s="29" t="s">
        <v>43</v>
      </c>
      <c r="Q4" s="23">
        <f>50.34%*2+33.41%*3+51.7%*4</f>
        <v>4.0771</v>
      </c>
      <c r="R4" s="24" t="s">
        <v>44</v>
      </c>
      <c r="S4" s="25">
        <f t="shared" si="0"/>
        <v>3429.168</v>
      </c>
      <c r="T4" s="23">
        <f t="shared" si="1"/>
        <v>2.348796875</v>
      </c>
      <c r="U4" s="23">
        <f t="shared" si="2"/>
        <v>1.47</v>
      </c>
      <c r="V4" s="26">
        <f t="shared" si="3"/>
        <v>3.39596</v>
      </c>
      <c r="W4" s="27">
        <f t="shared" si="4"/>
        <v>0.15</v>
      </c>
      <c r="X4" s="26">
        <f>$AF$3</f>
        <v>0.488431876606684</v>
      </c>
      <c r="Y4" s="24">
        <f t="shared" si="5"/>
        <v>0.8</v>
      </c>
      <c r="Z4" s="28">
        <v>0</v>
      </c>
      <c r="AA4" s="28">
        <v>0.3</v>
      </c>
      <c r="AB4" s="28">
        <v>0</v>
      </c>
      <c r="AC4" s="29">
        <f t="shared" si="6"/>
        <v>68506.9802857915</v>
      </c>
      <c r="AD4" s="17">
        <v>20</v>
      </c>
      <c r="AE4" s="17"/>
      <c r="AF4" s="18">
        <f>1520/(1520+(792+8*AG4)*(1-AE4/100)*(1-AD4/100))</f>
        <v>0.544100801832761</v>
      </c>
      <c r="AG4" s="31">
        <v>100</v>
      </c>
    </row>
    <row r="5" s="1" customFormat="1" ht="15" spans="2:33">
      <c r="B5" s="32" t="s">
        <v>45</v>
      </c>
      <c r="C5" s="34">
        <f>12%+12%+12%</f>
        <v>0.36</v>
      </c>
      <c r="D5" s="32" t="s">
        <v>46</v>
      </c>
      <c r="E5" s="34">
        <f>12%+25%</f>
        <v>0.37</v>
      </c>
      <c r="F5" s="32" t="s">
        <v>47</v>
      </c>
      <c r="G5" s="35"/>
      <c r="H5" s="32" t="s">
        <v>47</v>
      </c>
      <c r="I5" s="35">
        <v>0.486</v>
      </c>
      <c r="J5" s="37" t="s">
        <v>48</v>
      </c>
      <c r="K5" s="34">
        <f>32%*2+50%</f>
        <v>1.14</v>
      </c>
      <c r="L5" s="32" t="s">
        <v>49</v>
      </c>
      <c r="M5" s="35">
        <f>9.2%*2</f>
        <v>0.184</v>
      </c>
      <c r="O5" s="21">
        <v>1</v>
      </c>
      <c r="P5" s="29" t="s">
        <v>50</v>
      </c>
      <c r="Q5" s="23">
        <f>28.81%*4+172.85%</f>
        <v>2.8809</v>
      </c>
      <c r="R5" s="24" t="s">
        <v>10</v>
      </c>
      <c r="S5" s="25">
        <f t="shared" si="0"/>
        <v>3429.168</v>
      </c>
      <c r="T5" s="23">
        <f t="shared" si="1"/>
        <v>2.348796875</v>
      </c>
      <c r="U5" s="23">
        <f t="shared" si="2"/>
        <v>2.65</v>
      </c>
      <c r="V5" s="26">
        <f t="shared" si="3"/>
        <v>3.39596</v>
      </c>
      <c r="W5" s="27">
        <f t="shared" si="4"/>
        <v>1.29</v>
      </c>
      <c r="X5" s="26">
        <f>$AF$4</f>
        <v>0.544100801832761</v>
      </c>
      <c r="Y5" s="24">
        <f t="shared" si="5"/>
        <v>0.8</v>
      </c>
      <c r="Z5" s="28">
        <v>0.7</v>
      </c>
      <c r="AA5" s="28">
        <v>0.3</v>
      </c>
      <c r="AB5" s="28">
        <v>0</v>
      </c>
      <c r="AC5" s="29">
        <f t="shared" si="6"/>
        <v>269754.989001117</v>
      </c>
      <c r="AD5" s="17">
        <v>25</v>
      </c>
      <c r="AE5" s="17"/>
      <c r="AF5" s="18">
        <f>1520/(1520+(792+8*AG5)*(1-AE5/100)*(1-AD5/100))</f>
        <v>0.56005895357406</v>
      </c>
      <c r="AG5" s="31">
        <v>100</v>
      </c>
    </row>
    <row r="6" s="1" customFormat="1" ht="15" spans="2:33">
      <c r="B6" s="32" t="s">
        <v>51</v>
      </c>
      <c r="C6" s="34">
        <f>18%+18%+M4+(1-E1)*30%</f>
        <v>0.832</v>
      </c>
      <c r="D6" s="32" t="s">
        <v>52</v>
      </c>
      <c r="E6" s="34">
        <f>E11*3%+30%</f>
        <v>0.48</v>
      </c>
      <c r="F6" s="32" t="s">
        <v>53</v>
      </c>
      <c r="G6" s="35">
        <v>0.2</v>
      </c>
      <c r="H6" s="32" t="s">
        <v>53</v>
      </c>
      <c r="I6" s="35">
        <v>0</v>
      </c>
      <c r="J6" s="37"/>
      <c r="K6" s="35"/>
      <c r="L6" s="32" t="s">
        <v>33</v>
      </c>
      <c r="M6" s="35">
        <f>8.1*5%</f>
        <v>0.405</v>
      </c>
      <c r="O6" s="21">
        <v>1</v>
      </c>
      <c r="P6" s="29" t="s">
        <v>54</v>
      </c>
      <c r="Q6" s="23">
        <f>132.51%</f>
        <v>1.3251</v>
      </c>
      <c r="R6" s="24" t="s">
        <v>10</v>
      </c>
      <c r="S6" s="25">
        <f t="shared" si="0"/>
        <v>3429.168</v>
      </c>
      <c r="T6" s="23">
        <f t="shared" si="1"/>
        <v>2.348796875</v>
      </c>
      <c r="U6" s="23">
        <f t="shared" si="2"/>
        <v>2.65</v>
      </c>
      <c r="V6" s="26">
        <f t="shared" si="3"/>
        <v>3.39596</v>
      </c>
      <c r="W6" s="27">
        <f>IF(R6=$C$1,$K$4+$K$5,$K$4)+0.6+0.3</f>
        <v>2.19</v>
      </c>
      <c r="X6" s="26">
        <f>$AF$6</f>
        <v>0.57698147585788</v>
      </c>
      <c r="Y6" s="24">
        <f t="shared" si="5"/>
        <v>0.8</v>
      </c>
      <c r="Z6" s="28">
        <v>0</v>
      </c>
      <c r="AA6" s="28">
        <v>0.3</v>
      </c>
      <c r="AB6" s="28">
        <v>0</v>
      </c>
      <c r="AC6" s="29">
        <f t="shared" si="6"/>
        <v>107814.888866677</v>
      </c>
      <c r="AD6" s="17">
        <v>30</v>
      </c>
      <c r="AE6" s="17"/>
      <c r="AF6" s="18">
        <f>1520/(1520+(792+8*AG6)*(1-AE6/100)*(1-AD6/100))</f>
        <v>0.57698147585788</v>
      </c>
      <c r="AG6" s="31">
        <v>100</v>
      </c>
    </row>
    <row r="7" s="1" customFormat="1" ht="15" spans="2:33">
      <c r="B7" s="32" t="s">
        <v>55</v>
      </c>
      <c r="C7" s="38">
        <v>0.2</v>
      </c>
      <c r="D7" s="32" t="s">
        <v>56</v>
      </c>
      <c r="E7" s="34">
        <f>12%+50%</f>
        <v>0.62</v>
      </c>
      <c r="F7" s="32" t="s">
        <v>51</v>
      </c>
      <c r="G7" s="35">
        <f>M6</f>
        <v>0.405</v>
      </c>
      <c r="H7" s="32" t="s">
        <v>51</v>
      </c>
      <c r="I7" s="35">
        <f>M7+44%</f>
        <v>1.25</v>
      </c>
      <c r="J7" s="37"/>
      <c r="K7" s="35"/>
      <c r="L7" s="32" t="s">
        <v>57</v>
      </c>
      <c r="M7" s="34">
        <f>16.2%*5</f>
        <v>0.81</v>
      </c>
      <c r="O7" s="21">
        <v>1</v>
      </c>
      <c r="P7" s="29" t="s">
        <v>58</v>
      </c>
      <c r="Q7" s="23">
        <f>39.76%+59.63%*4+119.26%</f>
        <v>3.9754</v>
      </c>
      <c r="R7" s="24" t="s">
        <v>10</v>
      </c>
      <c r="S7" s="25">
        <f t="shared" si="0"/>
        <v>3429.168</v>
      </c>
      <c r="T7" s="23">
        <f t="shared" si="1"/>
        <v>2.348796875</v>
      </c>
      <c r="U7" s="23">
        <f t="shared" si="2"/>
        <v>2.65</v>
      </c>
      <c r="V7" s="26">
        <f t="shared" si="3"/>
        <v>3.39596</v>
      </c>
      <c r="W7" s="27">
        <f>IF(R7=$C$1,$K$4+$K$5,$K$4)+0.9+0.45</f>
        <v>2.64</v>
      </c>
      <c r="X7" s="26">
        <f>$AF$7</f>
        <v>0.594958509472366</v>
      </c>
      <c r="Y7" s="24">
        <f t="shared" si="5"/>
        <v>0.8</v>
      </c>
      <c r="Z7" s="28">
        <v>0.5</v>
      </c>
      <c r="AA7" s="28">
        <v>0.3</v>
      </c>
      <c r="AB7" s="28">
        <v>0</v>
      </c>
      <c r="AC7" s="29">
        <f t="shared" si="6"/>
        <v>570870.615182874</v>
      </c>
      <c r="AD7" s="17">
        <v>35</v>
      </c>
      <c r="AE7" s="17"/>
      <c r="AF7" s="18">
        <f>1520/(1520+(792+8*AG7)*(1-AE7/100)*(1-AD7/100))</f>
        <v>0.594958509472366</v>
      </c>
      <c r="AG7" s="31">
        <v>100</v>
      </c>
    </row>
    <row r="8" s="1" customFormat="1" ht="15" spans="2:33">
      <c r="B8" s="32" t="s">
        <v>59</v>
      </c>
      <c r="C8" s="38">
        <f>39%+22.5%</f>
        <v>0.615</v>
      </c>
      <c r="D8" s="32" t="s">
        <v>60</v>
      </c>
      <c r="E8" s="39"/>
      <c r="F8" s="32" t="s">
        <v>61</v>
      </c>
      <c r="G8" s="35">
        <v>0</v>
      </c>
      <c r="H8" s="32" t="s">
        <v>61</v>
      </c>
      <c r="I8" s="35">
        <v>0</v>
      </c>
      <c r="J8" s="37"/>
      <c r="K8" s="35"/>
      <c r="L8" s="32"/>
      <c r="M8" s="33"/>
      <c r="O8" s="21">
        <v>1</v>
      </c>
      <c r="P8" s="29" t="s">
        <v>62</v>
      </c>
      <c r="Q8" s="23">
        <v>8.6143</v>
      </c>
      <c r="R8" s="24" t="s">
        <v>10</v>
      </c>
      <c r="S8" s="25">
        <f t="shared" si="0"/>
        <v>3429.168</v>
      </c>
      <c r="T8" s="23">
        <f t="shared" si="1"/>
        <v>2.348796875</v>
      </c>
      <c r="U8" s="23">
        <f t="shared" si="2"/>
        <v>2.65</v>
      </c>
      <c r="V8" s="26">
        <f t="shared" si="3"/>
        <v>3.39596</v>
      </c>
      <c r="W8" s="27">
        <f>IF(R8=$C$1,$K$4+$K$5,$K$4)</f>
        <v>1.29</v>
      </c>
      <c r="X8" s="26">
        <f t="shared" ref="X5:X15" si="7">$AF$4</f>
        <v>0.544100801832761</v>
      </c>
      <c r="Y8" s="24">
        <f t="shared" si="5"/>
        <v>0.8</v>
      </c>
      <c r="Z8" s="28">
        <v>0.3</v>
      </c>
      <c r="AA8" s="28">
        <v>0.3</v>
      </c>
      <c r="AB8" s="28">
        <v>0</v>
      </c>
      <c r="AC8" s="29">
        <f t="shared" si="6"/>
        <v>616816.134312198</v>
      </c>
      <c r="AD8" s="17">
        <v>40</v>
      </c>
      <c r="AE8" s="17"/>
      <c r="AF8" s="18">
        <f>1520/(1520+(792+8*AG8)*(1-AE8/100)*(1-AD8/100))</f>
        <v>0.614091790562379</v>
      </c>
      <c r="AG8" s="31">
        <v>100</v>
      </c>
    </row>
    <row r="9" s="1" customFormat="1" ht="15" spans="2:33">
      <c r="B9" s="32" t="s">
        <v>63</v>
      </c>
      <c r="C9" s="33">
        <v>350</v>
      </c>
      <c r="D9" s="32" t="s">
        <v>64</v>
      </c>
      <c r="E9" s="34">
        <f>50%+20%+E11*3%+30%</f>
        <v>1.18</v>
      </c>
      <c r="F9" s="32" t="s">
        <v>65</v>
      </c>
      <c r="G9" s="35">
        <v>0.125</v>
      </c>
      <c r="H9" s="32" t="s">
        <v>65</v>
      </c>
      <c r="I9" s="35">
        <f>25%+30%</f>
        <v>0.55</v>
      </c>
      <c r="J9" s="37"/>
      <c r="K9" s="35"/>
      <c r="L9" s="32"/>
      <c r="M9" s="33"/>
      <c r="O9" s="21">
        <v>1</v>
      </c>
      <c r="P9" s="29" t="s">
        <v>66</v>
      </c>
      <c r="Q9" s="23">
        <f>52.97%+50.34%*2+33.41%*3+51.7%*4</f>
        <v>4.6068</v>
      </c>
      <c r="R9" s="24" t="s">
        <v>44</v>
      </c>
      <c r="S9" s="25">
        <f t="shared" si="0"/>
        <v>3429.168</v>
      </c>
      <c r="T9" s="23">
        <f t="shared" si="1"/>
        <v>2.348796875</v>
      </c>
      <c r="U9" s="23">
        <f t="shared" si="2"/>
        <v>1.47</v>
      </c>
      <c r="V9" s="26">
        <f t="shared" si="3"/>
        <v>3.39596</v>
      </c>
      <c r="W9" s="27">
        <f t="shared" ref="W8:W10" si="8">IF(R9=$C$1,$K$4+$K$5,$K$4)</f>
        <v>0.15</v>
      </c>
      <c r="X9" s="26">
        <f t="shared" si="7"/>
        <v>0.544100801832761</v>
      </c>
      <c r="Y9" s="24">
        <f t="shared" si="5"/>
        <v>0.8</v>
      </c>
      <c r="Z9" s="28">
        <v>0</v>
      </c>
      <c r="AA9" s="28">
        <v>0.3</v>
      </c>
      <c r="AB9" s="28">
        <v>0</v>
      </c>
      <c r="AC9" s="29">
        <f t="shared" si="6"/>
        <v>86229.960177689</v>
      </c>
    </row>
    <row r="10" s="1" customFormat="1" ht="15" spans="2:33">
      <c r="B10" s="40" t="s">
        <v>67</v>
      </c>
      <c r="C10" s="41"/>
      <c r="D10" s="40"/>
      <c r="E10" s="42"/>
      <c r="F10" s="43" t="s">
        <v>68</v>
      </c>
      <c r="G10" s="44">
        <f>MIN(100%,SUM(G4:G9))</f>
        <v>0.86</v>
      </c>
      <c r="H10" s="43" t="s">
        <v>69</v>
      </c>
      <c r="I10" s="44">
        <f>SUM(I4:I9)</f>
        <v>3.786</v>
      </c>
      <c r="J10" s="45"/>
      <c r="K10" s="46"/>
      <c r="L10" s="40"/>
      <c r="M10" s="41"/>
      <c r="O10" s="21">
        <v>1</v>
      </c>
      <c r="P10" s="29" t="s">
        <v>70</v>
      </c>
      <c r="Q10" s="23">
        <f>27.83%*3+194.77%</f>
        <v>2.7826</v>
      </c>
      <c r="R10" s="24" t="s">
        <v>10</v>
      </c>
      <c r="S10" s="25">
        <f t="shared" si="0"/>
        <v>3429.168</v>
      </c>
      <c r="T10" s="23">
        <f t="shared" si="1"/>
        <v>2.348796875</v>
      </c>
      <c r="U10" s="23">
        <f t="shared" si="2"/>
        <v>2.65</v>
      </c>
      <c r="V10" s="26">
        <f t="shared" si="3"/>
        <v>3.39596</v>
      </c>
      <c r="W10" s="27">
        <f t="shared" si="8"/>
        <v>1.29</v>
      </c>
      <c r="X10" s="26">
        <f t="shared" si="7"/>
        <v>0.544100801832761</v>
      </c>
      <c r="Y10" s="24">
        <f t="shared" si="5"/>
        <v>0.8</v>
      </c>
      <c r="Z10" s="28">
        <v>0.7</v>
      </c>
      <c r="AA10" s="28">
        <v>0.3</v>
      </c>
      <c r="AB10" s="28">
        <v>0</v>
      </c>
      <c r="AC10" s="29">
        <f t="shared" si="6"/>
        <v>260550.603073522</v>
      </c>
    </row>
    <row r="11" s="1" customFormat="1" ht="15" spans="2:33">
      <c r="B11" s="47"/>
      <c r="C11" s="47"/>
      <c r="D11" s="1" t="s">
        <v>71</v>
      </c>
      <c r="E11" s="48">
        <v>6</v>
      </c>
      <c r="F11" s="19" t="s">
        <v>72</v>
      </c>
      <c r="G11" s="49">
        <f>MAX(0,SUM(G4:G9)-1)</f>
        <v>0</v>
      </c>
      <c r="J11" s="2"/>
      <c r="K11" s="2"/>
      <c r="O11" s="21">
        <v>1</v>
      </c>
      <c r="P11" s="29" t="s">
        <v>54</v>
      </c>
      <c r="Q11" s="23">
        <f>132.51%</f>
        <v>1.3251</v>
      </c>
      <c r="R11" s="24" t="s">
        <v>10</v>
      </c>
      <c r="S11" s="25">
        <f t="shared" si="0"/>
        <v>3429.168</v>
      </c>
      <c r="T11" s="23">
        <f t="shared" si="1"/>
        <v>2.348796875</v>
      </c>
      <c r="U11" s="23">
        <f t="shared" si="2"/>
        <v>2.65</v>
      </c>
      <c r="V11" s="26">
        <f t="shared" si="3"/>
        <v>3.39596</v>
      </c>
      <c r="W11" s="27">
        <f>IF(R11=$C$1,$K$4+$K$5,$K$4)+0.9+0.45</f>
        <v>2.64</v>
      </c>
      <c r="X11" s="26">
        <f>$AF$7</f>
        <v>0.594958509472366</v>
      </c>
      <c r="Y11" s="24">
        <f t="shared" si="5"/>
        <v>0.8</v>
      </c>
      <c r="Z11" s="28">
        <v>0</v>
      </c>
      <c r="AA11" s="28">
        <v>0.3</v>
      </c>
      <c r="AB11" s="28">
        <v>0</v>
      </c>
      <c r="AC11" s="29">
        <f t="shared" si="6"/>
        <v>126856.945578445</v>
      </c>
      <c r="AE11" s="50" t="s">
        <v>73</v>
      </c>
      <c r="AF11" s="50">
        <v>0.8</v>
      </c>
    </row>
    <row r="12" s="1" customFormat="1" ht="15" spans="2:33">
      <c r="B12" s="47"/>
      <c r="C12" s="47"/>
      <c r="E12" s="51"/>
      <c r="G12" s="52"/>
      <c r="J12" s="2"/>
      <c r="K12" s="2"/>
      <c r="O12" s="1">
        <v>1</v>
      </c>
      <c r="P12" s="29" t="s">
        <v>74</v>
      </c>
      <c r="Q12" s="23">
        <f>117.67%+205.92%+264.75%</f>
        <v>5.8834</v>
      </c>
      <c r="R12" s="24" t="s">
        <v>10</v>
      </c>
      <c r="S12" s="25">
        <f t="shared" si="0"/>
        <v>3429.168</v>
      </c>
      <c r="T12" s="23">
        <f t="shared" si="1"/>
        <v>2.348796875</v>
      </c>
      <c r="U12" s="23">
        <f t="shared" si="2"/>
        <v>2.65</v>
      </c>
      <c r="V12" s="26">
        <f t="shared" si="3"/>
        <v>3.39596</v>
      </c>
      <c r="W12" s="27">
        <f>IF(R12=$C$1,$K$4+$K$5,$K$4)+1.8</f>
        <v>3.09</v>
      </c>
      <c r="X12" s="26">
        <f>$AF$8</f>
        <v>0.614091790562379</v>
      </c>
      <c r="Y12" s="24">
        <f t="shared" si="5"/>
        <v>0.8</v>
      </c>
      <c r="Z12" s="28">
        <v>0.5</v>
      </c>
      <c r="AA12" s="28">
        <v>0.3</v>
      </c>
      <c r="AB12" s="28">
        <v>0</v>
      </c>
      <c r="AC12" s="29">
        <f t="shared" si="6"/>
        <v>979836.846848278</v>
      </c>
      <c r="AE12" s="53" t="s">
        <v>75</v>
      </c>
      <c r="AF12" s="53">
        <v>0.8</v>
      </c>
    </row>
    <row r="13" s="1" customFormat="1" ht="15" spans="2:33">
      <c r="B13" s="5" t="s">
        <v>9</v>
      </c>
      <c r="C13" s="5" t="s">
        <v>86</v>
      </c>
      <c r="D13" s="6" t="s">
        <v>11</v>
      </c>
      <c r="E13" s="6">
        <v>2</v>
      </c>
      <c r="O13" s="21">
        <v>1</v>
      </c>
      <c r="P13" s="29" t="s">
        <v>76</v>
      </c>
      <c r="Q13" s="23">
        <f>302.87%+908.61%</f>
        <v>12.1148</v>
      </c>
      <c r="R13" s="24" t="s">
        <v>10</v>
      </c>
      <c r="S13" s="25">
        <f t="shared" si="0"/>
        <v>3429.168</v>
      </c>
      <c r="T13" s="23">
        <f t="shared" si="1"/>
        <v>2.348796875</v>
      </c>
      <c r="U13" s="23">
        <f t="shared" si="2"/>
        <v>2.65</v>
      </c>
      <c r="V13" s="26">
        <f t="shared" si="3"/>
        <v>3.39596</v>
      </c>
      <c r="W13" s="27">
        <f>IF(R13=$C$1,$K$4+$K$5,$K$4)+1.8</f>
        <v>3.09</v>
      </c>
      <c r="X13" s="26">
        <f>$AF$8</f>
        <v>0.614091790562379</v>
      </c>
      <c r="Y13" s="24">
        <f t="shared" si="5"/>
        <v>0.8</v>
      </c>
      <c r="Z13" s="28">
        <v>1.15</v>
      </c>
      <c r="AA13" s="28">
        <v>0.3</v>
      </c>
      <c r="AB13" s="28">
        <v>0</v>
      </c>
      <c r="AC13" s="29">
        <f t="shared" si="6"/>
        <v>2891937.08617746</v>
      </c>
      <c r="AE13" s="54" t="s">
        <v>77</v>
      </c>
      <c r="AF13" s="54">
        <v>0.8</v>
      </c>
    </row>
    <row r="14" s="1" customFormat="1" ht="15" spans="2:33">
      <c r="B14" s="55" t="s">
        <v>109</v>
      </c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O14" s="21">
        <v>1</v>
      </c>
      <c r="P14" s="29" t="s">
        <v>79</v>
      </c>
      <c r="Q14" s="23">
        <v>7.95</v>
      </c>
      <c r="R14" s="24" t="s">
        <v>80</v>
      </c>
      <c r="S14" s="25">
        <f t="shared" si="0"/>
        <v>3429.168</v>
      </c>
      <c r="T14" s="23">
        <f t="shared" si="1"/>
        <v>2.348796875</v>
      </c>
      <c r="U14" s="23">
        <f t="shared" si="2"/>
        <v>1.47</v>
      </c>
      <c r="V14" s="26">
        <f t="shared" si="3"/>
        <v>3.39596</v>
      </c>
      <c r="W14" s="27">
        <f>IF(R14=$C$1,$K$4+$K$5,$K$4)</f>
        <v>0.15</v>
      </c>
      <c r="X14" s="26">
        <f t="shared" si="7"/>
        <v>0.544100801832761</v>
      </c>
      <c r="Y14" s="24">
        <f t="shared" si="5"/>
        <v>0.8</v>
      </c>
      <c r="Z14" s="28">
        <v>0</v>
      </c>
      <c r="AA14" s="28">
        <v>0.3</v>
      </c>
      <c r="AB14" s="28">
        <v>0</v>
      </c>
      <c r="AC14" s="29">
        <f t="shared" si="6"/>
        <v>148807.889079758</v>
      </c>
      <c r="AE14" s="56" t="s">
        <v>81</v>
      </c>
      <c r="AF14" s="56">
        <v>0.8</v>
      </c>
    </row>
    <row r="15" s="1" customFormat="1" ht="12" customHeight="1" spans="2:33">
      <c r="B15" s="57" t="s">
        <v>32</v>
      </c>
      <c r="C15" s="57"/>
      <c r="D15" s="57" t="s">
        <v>18</v>
      </c>
      <c r="E15" s="57"/>
      <c r="F15" s="57" t="s">
        <v>33</v>
      </c>
      <c r="G15" s="57"/>
      <c r="H15" s="57" t="s">
        <v>34</v>
      </c>
      <c r="I15" s="57"/>
      <c r="J15" s="57" t="s">
        <v>20</v>
      </c>
      <c r="K15" s="57"/>
      <c r="L15" s="57" t="s">
        <v>35</v>
      </c>
      <c r="M15" s="57"/>
      <c r="O15" s="21">
        <v>1</v>
      </c>
      <c r="P15" s="58" t="s">
        <v>10</v>
      </c>
      <c r="Q15" s="23">
        <v>2.736</v>
      </c>
      <c r="R15" s="24" t="s">
        <v>10</v>
      </c>
      <c r="S15" s="25">
        <f t="shared" si="0"/>
        <v>3429.168</v>
      </c>
      <c r="T15" s="23">
        <f t="shared" si="1"/>
        <v>2.348796875</v>
      </c>
      <c r="U15" s="23">
        <f t="shared" si="2"/>
        <v>2.65</v>
      </c>
      <c r="V15" s="26">
        <f t="shared" si="3"/>
        <v>3.39596</v>
      </c>
      <c r="W15" s="27">
        <f>IF(R15=$C$1,$K$4+$K$5,$K$4)</f>
        <v>1.29</v>
      </c>
      <c r="X15" s="26">
        <f t="shared" si="7"/>
        <v>0.544100801832761</v>
      </c>
      <c r="Y15" s="24">
        <f t="shared" si="5"/>
        <v>0.8</v>
      </c>
      <c r="Z15" s="28">
        <v>0</v>
      </c>
      <c r="AA15" s="28">
        <v>0.3</v>
      </c>
      <c r="AB15" s="28">
        <v>0</v>
      </c>
      <c r="AC15" s="29">
        <f t="shared" si="6"/>
        <v>150698.341798224</v>
      </c>
      <c r="AE15" s="59" t="s">
        <v>82</v>
      </c>
      <c r="AF15" s="60">
        <v>0.8</v>
      </c>
    </row>
    <row r="16" s="1" customFormat="1" ht="15" spans="2:33">
      <c r="B16" s="61" t="s">
        <v>38</v>
      </c>
      <c r="C16" s="62">
        <f>375+587</f>
        <v>962</v>
      </c>
      <c r="D16" s="61" t="s">
        <v>39</v>
      </c>
      <c r="E16" s="63">
        <f>E13*30%</f>
        <v>0.6</v>
      </c>
      <c r="F16" s="61" t="s">
        <v>40</v>
      </c>
      <c r="G16" s="64">
        <v>0.13</v>
      </c>
      <c r="H16" s="61" t="s">
        <v>40</v>
      </c>
      <c r="I16" s="64">
        <v>1.5</v>
      </c>
      <c r="J16" s="65" t="s">
        <v>41</v>
      </c>
      <c r="K16" s="63">
        <v>0.15</v>
      </c>
      <c r="L16" s="61" t="s">
        <v>42</v>
      </c>
      <c r="M16" s="64">
        <f>8.6%*2</f>
        <v>0.172</v>
      </c>
      <c r="O16" s="61">
        <v>1</v>
      </c>
      <c r="P16" s="66" t="s">
        <v>110</v>
      </c>
      <c r="Q16" s="67">
        <v>2.3463</v>
      </c>
      <c r="R16" s="68" t="s">
        <v>86</v>
      </c>
      <c r="S16" s="69">
        <f t="shared" ref="S16:S20" si="9">$C$16*(1+$C$17+$C$18+$C$19+$C$20)+($C$21+$C$22)</f>
        <v>2718.444</v>
      </c>
      <c r="T16" s="67">
        <f t="shared" ref="T16:T20" si="10">($C$17+$C$18+$C$19+$C$20)+($C$21+$C$22)/$C$16</f>
        <v>1.82582536382536</v>
      </c>
      <c r="U16" s="67">
        <f t="shared" ref="U16:U19" si="11">IF(R16=$C$13,SUM($E$16:$E$21),SUM($E$16:$E$20))</f>
        <v>1.38</v>
      </c>
      <c r="V16" s="70">
        <f t="shared" ref="V16:V20" si="12">1+$G$22*($I$22-1)</f>
        <v>2.85115</v>
      </c>
      <c r="W16" s="71">
        <f t="shared" ref="W16:W20" si="13">IF(R16=$C$1,$K$16+$K$17,$K$16)</f>
        <v>0.15</v>
      </c>
      <c r="X16" s="70">
        <f t="shared" ref="X16:X20" si="14">$AF$3</f>
        <v>0.488431876606684</v>
      </c>
      <c r="Y16" s="68">
        <f t="shared" ref="Y16:Y20" si="15">$AF$12</f>
        <v>0.8</v>
      </c>
      <c r="Z16" s="72">
        <v>0</v>
      </c>
      <c r="AA16" s="72">
        <v>0</v>
      </c>
      <c r="AB16" s="72">
        <v>0</v>
      </c>
      <c r="AC16" s="66">
        <f t="shared" si="6"/>
        <v>20702.2556094435</v>
      </c>
      <c r="AE16" s="73" t="s">
        <v>84</v>
      </c>
      <c r="AF16" s="73">
        <v>0.8</v>
      </c>
    </row>
    <row r="17" s="1" customFormat="1" ht="15" spans="1:32">
      <c r="B17" s="32" t="s">
        <v>45</v>
      </c>
      <c r="C17" s="34">
        <f>12%+12%</f>
        <v>0.24</v>
      </c>
      <c r="D17" s="32" t="s">
        <v>46</v>
      </c>
      <c r="E17" s="34"/>
      <c r="F17" s="32" t="s">
        <v>47</v>
      </c>
      <c r="G17" s="35">
        <v>0.243</v>
      </c>
      <c r="H17" s="32" t="s">
        <v>47</v>
      </c>
      <c r="I17" s="35">
        <v>0</v>
      </c>
      <c r="J17" s="37" t="s">
        <v>48</v>
      </c>
      <c r="K17" s="34"/>
      <c r="L17" s="32" t="s">
        <v>111</v>
      </c>
      <c r="M17" s="35">
        <f>8.6%*2</f>
        <v>0.172</v>
      </c>
      <c r="O17" s="32">
        <v>1</v>
      </c>
      <c r="P17" s="66" t="s">
        <v>112</v>
      </c>
      <c r="Q17" s="74">
        <v>3.1814</v>
      </c>
      <c r="R17" s="47" t="s">
        <v>86</v>
      </c>
      <c r="S17" s="75">
        <f t="shared" si="9"/>
        <v>2718.444</v>
      </c>
      <c r="T17" s="74">
        <f t="shared" si="10"/>
        <v>1.82582536382536</v>
      </c>
      <c r="U17" s="74">
        <f t="shared" si="11"/>
        <v>1.38</v>
      </c>
      <c r="V17" s="76">
        <f t="shared" si="12"/>
        <v>2.85115</v>
      </c>
      <c r="W17" s="48">
        <f t="shared" si="13"/>
        <v>0.15</v>
      </c>
      <c r="X17" s="76">
        <f t="shared" si="14"/>
        <v>0.488431876606684</v>
      </c>
      <c r="Y17" s="47">
        <f t="shared" si="15"/>
        <v>0.8</v>
      </c>
      <c r="Z17" s="77">
        <v>0</v>
      </c>
      <c r="AA17" s="77">
        <v>0</v>
      </c>
      <c r="AB17" s="77">
        <v>0</v>
      </c>
      <c r="AC17" s="66">
        <f t="shared" si="6"/>
        <v>28070.6456957267</v>
      </c>
    </row>
    <row r="18" s="1" customFormat="1" ht="15" spans="1:32">
      <c r="B18" s="32" t="s">
        <v>51</v>
      </c>
      <c r="C18" s="34">
        <f>18%+18%+M16+(2-E13)*30%</f>
        <v>0.532</v>
      </c>
      <c r="D18" s="32" t="s">
        <v>52</v>
      </c>
      <c r="E18" s="34"/>
      <c r="F18" s="32" t="s">
        <v>53</v>
      </c>
      <c r="G18" s="35"/>
      <c r="H18" s="32" t="s">
        <v>53</v>
      </c>
      <c r="I18" s="35">
        <v>0</v>
      </c>
      <c r="J18" s="37"/>
      <c r="K18" s="35"/>
      <c r="L18" s="32" t="s">
        <v>33</v>
      </c>
      <c r="M18" s="35">
        <f>8.1*5%</f>
        <v>0.405</v>
      </c>
      <c r="O18" s="32">
        <v>1</v>
      </c>
      <c r="P18" s="66" t="s">
        <v>113</v>
      </c>
      <c r="Q18" s="74">
        <v>7.9524</v>
      </c>
      <c r="R18" s="47" t="s">
        <v>10</v>
      </c>
      <c r="S18" s="75">
        <f t="shared" si="9"/>
        <v>2718.444</v>
      </c>
      <c r="T18" s="74">
        <f t="shared" si="10"/>
        <v>1.82582536382536</v>
      </c>
      <c r="U18" s="74">
        <f t="shared" ref="U18:U22" si="16">IF(R18=$C$13,SUM($E$16:$E$21),SUM($E$16:$E$20))+E$22</f>
        <v>1.46</v>
      </c>
      <c r="V18" s="76">
        <f t="shared" si="12"/>
        <v>2.85115</v>
      </c>
      <c r="W18" s="48">
        <f t="shared" si="13"/>
        <v>0.15</v>
      </c>
      <c r="X18" s="76">
        <f t="shared" si="14"/>
        <v>0.488431876606684</v>
      </c>
      <c r="Y18" s="47">
        <f t="shared" si="15"/>
        <v>0.8</v>
      </c>
      <c r="Z18" s="77">
        <v>0</v>
      </c>
      <c r="AA18" s="77">
        <v>0</v>
      </c>
      <c r="AB18" s="77">
        <v>0</v>
      </c>
      <c r="AC18" s="66">
        <f t="shared" si="6"/>
        <v>72525.4600880637</v>
      </c>
      <c r="AE18" s="1" t="s">
        <v>87</v>
      </c>
      <c r="AF18" s="1">
        <v>0.8</v>
      </c>
    </row>
    <row r="19" s="1" customFormat="1" ht="15" spans="1:32">
      <c r="B19" s="32" t="s">
        <v>55</v>
      </c>
      <c r="C19" s="38">
        <v>0.1</v>
      </c>
      <c r="D19" s="32" t="s">
        <v>56</v>
      </c>
      <c r="E19" s="34">
        <v>0.18</v>
      </c>
      <c r="F19" s="32" t="s">
        <v>51</v>
      </c>
      <c r="G19" s="35">
        <f>M18</f>
        <v>0.405</v>
      </c>
      <c r="H19" s="32" t="s">
        <v>51</v>
      </c>
      <c r="I19" s="35">
        <f>M19+44%</f>
        <v>1.25</v>
      </c>
      <c r="J19" s="37"/>
      <c r="K19" s="35"/>
      <c r="L19" s="32" t="s">
        <v>57</v>
      </c>
      <c r="M19" s="34">
        <f>16.2%*5</f>
        <v>0.81</v>
      </c>
      <c r="O19" s="32">
        <v>1</v>
      </c>
      <c r="P19" s="66" t="s">
        <v>114</v>
      </c>
      <c r="Q19" s="74">
        <v>8.8457</v>
      </c>
      <c r="R19" s="47" t="s">
        <v>86</v>
      </c>
      <c r="S19" s="75">
        <f t="shared" si="9"/>
        <v>2718.444</v>
      </c>
      <c r="T19" s="74">
        <f t="shared" si="10"/>
        <v>1.82582536382536</v>
      </c>
      <c r="U19" s="74">
        <f t="shared" si="11"/>
        <v>1.38</v>
      </c>
      <c r="V19" s="76">
        <f t="shared" si="12"/>
        <v>2.85115</v>
      </c>
      <c r="W19" s="48">
        <f t="shared" si="13"/>
        <v>0.15</v>
      </c>
      <c r="X19" s="76">
        <f t="shared" si="14"/>
        <v>0.488431876606684</v>
      </c>
      <c r="Y19" s="47">
        <f t="shared" si="15"/>
        <v>0.8</v>
      </c>
      <c r="Z19" s="77">
        <v>0</v>
      </c>
      <c r="AA19" s="77">
        <v>0</v>
      </c>
      <c r="AB19" s="77">
        <v>0.5</v>
      </c>
      <c r="AC19" s="66">
        <f t="shared" si="6"/>
        <v>117073.227492939</v>
      </c>
    </row>
    <row r="20" s="1" customFormat="1" ht="15" spans="1:32">
      <c r="B20" s="32" t="s">
        <v>59</v>
      </c>
      <c r="C20" s="38">
        <f>39%+20%</f>
        <v>0.59</v>
      </c>
      <c r="D20" s="32"/>
      <c r="E20" s="165"/>
      <c r="F20" s="32" t="s">
        <v>61</v>
      </c>
      <c r="G20" s="35">
        <v>0</v>
      </c>
      <c r="H20" s="32" t="s">
        <v>61</v>
      </c>
      <c r="I20" s="35">
        <v>0</v>
      </c>
      <c r="J20" s="37"/>
      <c r="K20" s="35"/>
      <c r="L20" s="32"/>
      <c r="M20" s="33"/>
      <c r="O20" s="32">
        <v>1</v>
      </c>
      <c r="P20" s="66" t="s">
        <v>115</v>
      </c>
      <c r="Q20" s="74">
        <v>2.1552</v>
      </c>
      <c r="R20" s="47" t="s">
        <v>10</v>
      </c>
      <c r="S20" s="75">
        <f t="shared" si="9"/>
        <v>2718.444</v>
      </c>
      <c r="T20" s="74">
        <f t="shared" si="10"/>
        <v>1.82582536382536</v>
      </c>
      <c r="U20" s="74">
        <f t="shared" si="16"/>
        <v>1.46</v>
      </c>
      <c r="V20" s="76">
        <f t="shared" si="12"/>
        <v>2.85115</v>
      </c>
      <c r="W20" s="48">
        <f t="shared" si="13"/>
        <v>0.15</v>
      </c>
      <c r="X20" s="76">
        <f t="shared" si="14"/>
        <v>0.488431876606684</v>
      </c>
      <c r="Y20" s="47">
        <f t="shared" si="15"/>
        <v>0.8</v>
      </c>
      <c r="Z20" s="77">
        <v>0</v>
      </c>
      <c r="AA20" s="77">
        <v>0</v>
      </c>
      <c r="AB20" s="77">
        <v>0</v>
      </c>
      <c r="AC20" s="66">
        <f t="shared" si="6"/>
        <v>19655.3080305059</v>
      </c>
    </row>
    <row r="21" s="1" customFormat="1" ht="15" spans="1:32">
      <c r="B21" s="32" t="s">
        <v>63</v>
      </c>
      <c r="C21" s="33">
        <v>350</v>
      </c>
      <c r="D21" s="32" t="s">
        <v>116</v>
      </c>
      <c r="E21" s="34">
        <v>0.6</v>
      </c>
      <c r="F21" s="32" t="s">
        <v>65</v>
      </c>
      <c r="G21" s="35">
        <v>0.125</v>
      </c>
      <c r="H21" s="32" t="s">
        <v>65</v>
      </c>
      <c r="I21" s="35">
        <v>0.3</v>
      </c>
      <c r="J21" s="37"/>
      <c r="K21" s="35"/>
      <c r="L21" s="32"/>
      <c r="M21" s="33"/>
      <c r="O21" s="32">
        <v>1</v>
      </c>
      <c r="P21" s="66" t="s">
        <v>117</v>
      </c>
      <c r="Q21" s="74"/>
      <c r="R21" s="47"/>
      <c r="S21" s="75"/>
      <c r="T21" s="74"/>
      <c r="U21" s="74"/>
      <c r="V21" s="76"/>
      <c r="W21" s="48"/>
      <c r="X21" s="76"/>
      <c r="Y21" s="47"/>
      <c r="Z21" s="77"/>
      <c r="AA21" s="77"/>
      <c r="AB21" s="77"/>
      <c r="AC21" s="66">
        <v>1500</v>
      </c>
    </row>
    <row r="22" s="1" customFormat="1" ht="15" spans="1:32">
      <c r="B22" s="40" t="s">
        <v>67</v>
      </c>
      <c r="C22" s="41"/>
      <c r="D22" s="32" t="s">
        <v>118</v>
      </c>
      <c r="E22" s="165">
        <f>50%+18%</f>
        <v>0.68</v>
      </c>
      <c r="F22" s="43" t="s">
        <v>68</v>
      </c>
      <c r="G22" s="44">
        <f>MIN(100%,SUM(G16:G21))</f>
        <v>0.903</v>
      </c>
      <c r="H22" s="43" t="s">
        <v>69</v>
      </c>
      <c r="I22" s="44">
        <f>SUM(I16:I21)</f>
        <v>3.05</v>
      </c>
      <c r="J22" s="45"/>
      <c r="K22" s="46"/>
      <c r="L22" s="40"/>
      <c r="M22" s="41"/>
      <c r="O22" s="40">
        <v>1</v>
      </c>
      <c r="P22" s="66" t="s">
        <v>119</v>
      </c>
      <c r="Q22" s="78">
        <v>1</v>
      </c>
      <c r="R22" s="79" t="s">
        <v>10</v>
      </c>
      <c r="S22" s="82">
        <f>$C$16*(1+$C$17+$C$18+$C$19+$C$20)+($C$21+$C$22)</f>
        <v>2718.444</v>
      </c>
      <c r="T22" s="78">
        <f>($C$17+$C$18+$C$19+$C$20)+($C$21+$C$22)/$C$16</f>
        <v>1.82582536382536</v>
      </c>
      <c r="U22" s="74">
        <f t="shared" si="16"/>
        <v>1.46</v>
      </c>
      <c r="V22" s="80">
        <f>1+$G$22*($I$22-1)</f>
        <v>2.85115</v>
      </c>
      <c r="W22" s="166">
        <f>IF(R22=$C$1,$K$16+$K$17,$K$16)</f>
        <v>0.15</v>
      </c>
      <c r="X22" s="80">
        <f t="shared" ref="X22:X27" si="17">$AF$3</f>
        <v>0.488431876606684</v>
      </c>
      <c r="Y22" s="79">
        <f>$AF$12</f>
        <v>0.8</v>
      </c>
      <c r="Z22" s="81">
        <v>0</v>
      </c>
      <c r="AA22" s="81">
        <v>0</v>
      </c>
      <c r="AB22" s="81">
        <v>0</v>
      </c>
      <c r="AC22" s="66">
        <f>Q22*$C$4*(1+T22)*(1+U22)*V22*(1+W22)*X22*Y22*(1+Z22)*(1+AA22)*(1+AB22)*O22</f>
        <v>9119.94619084348</v>
      </c>
    </row>
    <row r="23" s="1" customFormat="1" spans="1:32">
      <c r="B23" s="47"/>
      <c r="C23" s="47"/>
      <c r="E23" s="51"/>
      <c r="F23" s="19" t="s">
        <v>72</v>
      </c>
      <c r="G23" s="49">
        <f>MAX(0,SUM(G16:G21)-1)</f>
        <v>0</v>
      </c>
      <c r="J23" s="2"/>
      <c r="K23" s="2"/>
    </row>
    <row r="24" s="1" customFormat="1" ht="15" spans="1:32">
      <c r="B24" s="47"/>
      <c r="C24" s="47"/>
      <c r="E24" s="51"/>
      <c r="J24" s="2"/>
      <c r="K24" s="2"/>
      <c r="O24" s="61">
        <f t="shared" ref="O24:O26" si="18">$O$27</f>
        <v>1</v>
      </c>
      <c r="P24" s="68" t="s">
        <v>89</v>
      </c>
      <c r="Q24" s="67">
        <v>18.8075</v>
      </c>
      <c r="R24" s="68" t="s">
        <v>90</v>
      </c>
      <c r="S24" s="68">
        <v>10027</v>
      </c>
      <c r="T24" s="67">
        <v>0</v>
      </c>
      <c r="U24" s="67">
        <v>0</v>
      </c>
      <c r="V24" s="70">
        <v>1</v>
      </c>
      <c r="W24" s="71">
        <v>0</v>
      </c>
      <c r="X24" s="70">
        <f t="shared" si="17"/>
        <v>0.488431876606684</v>
      </c>
      <c r="Y24" s="68">
        <f t="shared" ref="Y24:Y27" si="19">$AF$18</f>
        <v>0.8</v>
      </c>
      <c r="Z24" s="72">
        <v>0</v>
      </c>
      <c r="AA24" s="72">
        <v>0</v>
      </c>
      <c r="AB24" s="63">
        <v>0.5</v>
      </c>
      <c r="AC24" s="103">
        <f t="shared" ref="AC24:AC27" si="20">Q24*S24*(1+T24)*(1+U24)*V24*(1+W24)*X24*Y24*(1+Z24)*(1+AA24)*(1+AB24)*O24</f>
        <v>110531.822544987</v>
      </c>
    </row>
    <row r="25" s="1" customFormat="1" ht="15" spans="1:32">
      <c r="G25" s="2"/>
      <c r="O25" s="32">
        <f t="shared" si="18"/>
        <v>1</v>
      </c>
      <c r="P25" s="47" t="s">
        <v>91</v>
      </c>
      <c r="Q25" s="74">
        <v>2.9822</v>
      </c>
      <c r="R25" s="47" t="s">
        <v>90</v>
      </c>
      <c r="S25" s="47">
        <v>10027</v>
      </c>
      <c r="T25" s="74">
        <v>0</v>
      </c>
      <c r="U25" s="74">
        <v>0</v>
      </c>
      <c r="V25" s="76">
        <v>1</v>
      </c>
      <c r="W25" s="48">
        <v>0</v>
      </c>
      <c r="X25" s="76">
        <f t="shared" si="17"/>
        <v>0.488431876606684</v>
      </c>
      <c r="Y25" s="47">
        <f t="shared" si="19"/>
        <v>0.8</v>
      </c>
      <c r="Z25" s="77">
        <v>0</v>
      </c>
      <c r="AA25" s="77">
        <v>0</v>
      </c>
      <c r="AB25" s="34">
        <v>0.5</v>
      </c>
      <c r="AC25" s="103">
        <f t="shared" si="20"/>
        <v>17526.4123989717</v>
      </c>
    </row>
    <row r="26" s="1" customFormat="1" ht="15" spans="1:32">
      <c r="B26" s="104" t="s">
        <v>92</v>
      </c>
      <c r="C26" s="1"/>
      <c r="D26" s="104"/>
      <c r="E26" s="1"/>
      <c r="F26" s="1"/>
      <c r="G26" s="2"/>
      <c r="H26" s="1"/>
      <c r="I26" s="1"/>
      <c r="J26" s="1"/>
      <c r="K26" s="1"/>
      <c r="L26" s="1"/>
      <c r="M26" s="1"/>
      <c r="O26" s="32">
        <f t="shared" si="18"/>
        <v>1</v>
      </c>
      <c r="P26" s="47" t="s">
        <v>93</v>
      </c>
      <c r="Q26" s="74">
        <v>5.9643</v>
      </c>
      <c r="R26" s="47" t="s">
        <v>90</v>
      </c>
      <c r="S26" s="47">
        <v>10027</v>
      </c>
      <c r="T26" s="74">
        <v>0</v>
      </c>
      <c r="U26" s="74">
        <v>0</v>
      </c>
      <c r="V26" s="76">
        <v>1</v>
      </c>
      <c r="W26" s="48">
        <v>0</v>
      </c>
      <c r="X26" s="76">
        <f t="shared" si="17"/>
        <v>0.488431876606684</v>
      </c>
      <c r="Y26" s="47">
        <f t="shared" si="19"/>
        <v>0.8</v>
      </c>
      <c r="Z26" s="77">
        <v>0</v>
      </c>
      <c r="AA26" s="77">
        <v>0</v>
      </c>
      <c r="AB26" s="34">
        <v>0.5</v>
      </c>
      <c r="AC26" s="105">
        <f t="shared" si="20"/>
        <v>35052.2370971722</v>
      </c>
    </row>
    <row r="27" s="1" customFormat="1" ht="15" spans="1:32">
      <c r="B27" s="106"/>
      <c r="C27" s="107" t="s">
        <v>94</v>
      </c>
      <c r="D27" s="107" t="s">
        <v>95</v>
      </c>
      <c r="E27" s="107" t="s">
        <v>96</v>
      </c>
      <c r="F27" s="107" t="s">
        <v>97</v>
      </c>
      <c r="G27" s="2"/>
      <c r="H27" s="1"/>
      <c r="I27" s="1"/>
      <c r="J27" s="1"/>
      <c r="K27" s="1"/>
      <c r="L27" s="1"/>
      <c r="M27" s="1"/>
      <c r="O27" s="19">
        <v>1</v>
      </c>
      <c r="P27" s="108" t="s">
        <v>98</v>
      </c>
      <c r="Q27" s="109">
        <v>16</v>
      </c>
      <c r="R27" s="108" t="s">
        <v>99</v>
      </c>
      <c r="S27" s="108">
        <v>10027</v>
      </c>
      <c r="T27" s="109">
        <v>0</v>
      </c>
      <c r="U27" s="109">
        <v>0</v>
      </c>
      <c r="V27" s="110">
        <v>1</v>
      </c>
      <c r="W27" s="111">
        <v>0</v>
      </c>
      <c r="X27" s="110">
        <f t="shared" si="17"/>
        <v>0.488431876606684</v>
      </c>
      <c r="Y27" s="108">
        <f t="shared" si="19"/>
        <v>0.8</v>
      </c>
      <c r="Z27" s="112">
        <v>0</v>
      </c>
      <c r="AA27" s="112">
        <v>0</v>
      </c>
      <c r="AB27" s="113">
        <v>0</v>
      </c>
      <c r="AC27" s="114">
        <f t="shared" si="20"/>
        <v>62688.0822622108</v>
      </c>
    </row>
    <row r="28" s="1" customFormat="1" ht="15" spans="1:32">
      <c r="B28" s="4" t="s">
        <v>0</v>
      </c>
      <c r="C28" s="115">
        <f>SUM(AC3:AC15)</f>
        <v>6306140.53013873</v>
      </c>
      <c r="D28" s="115">
        <f t="shared" ref="D28:D31" si="21">C28/$E$28</f>
        <v>252245.621205549</v>
      </c>
      <c r="E28" s="116">
        <v>25</v>
      </c>
      <c r="F28" s="117">
        <f t="shared" ref="F28:F31" si="22">C28/$C$32</f>
        <v>0.942977745801575</v>
      </c>
      <c r="G28" s="2"/>
      <c r="H28" s="1"/>
      <c r="Q28" s="2"/>
      <c r="R28" s="1"/>
      <c r="S28" s="1"/>
      <c r="T28" s="1"/>
      <c r="U28" s="2"/>
      <c r="V28" s="3"/>
      <c r="W28" s="1"/>
      <c r="X28" s="1"/>
      <c r="Y28" s="1"/>
      <c r="Z28" s="1"/>
      <c r="AA28" s="1"/>
      <c r="AB28" s="4"/>
      <c r="AC28" s="4"/>
    </row>
    <row r="29" s="1" customFormat="1" ht="15" spans="1:32">
      <c r="A29" s="1" t="s">
        <v>120</v>
      </c>
      <c r="B29" s="4" t="s">
        <v>109</v>
      </c>
      <c r="C29" s="115">
        <f>SUM(AC16:AC22)</f>
        <v>268646.843107522</v>
      </c>
      <c r="D29" s="115">
        <f t="shared" si="21"/>
        <v>10745.8737243009</v>
      </c>
      <c r="E29" s="118"/>
      <c r="F29" s="117">
        <f t="shared" si="22"/>
        <v>0.0401716379962543</v>
      </c>
      <c r="G29" s="2"/>
      <c r="H29" s="1"/>
      <c r="I29" s="1"/>
      <c r="J29" s="1"/>
      <c r="K29" s="1"/>
      <c r="L29" s="1"/>
      <c r="M29" s="1"/>
      <c r="N29" s="83" t="s">
        <v>101</v>
      </c>
      <c r="O29" s="85" t="s">
        <v>12</v>
      </c>
      <c r="P29" s="85"/>
      <c r="Q29" s="87"/>
      <c r="R29" s="85"/>
      <c r="S29" s="85"/>
      <c r="T29" s="85"/>
      <c r="U29" s="87"/>
      <c r="V29" s="119"/>
      <c r="W29" s="85"/>
      <c r="X29" s="85"/>
      <c r="Y29" s="85"/>
      <c r="Z29" s="85"/>
      <c r="AA29" s="85"/>
      <c r="AB29" s="86"/>
      <c r="AC29" s="120"/>
    </row>
    <row r="30" s="1" customFormat="1" ht="15" spans="1:32">
      <c r="B30" s="4" t="s">
        <v>121</v>
      </c>
      <c r="C30" s="115">
        <v>50000</v>
      </c>
      <c r="D30" s="115">
        <f t="shared" si="21"/>
        <v>2000</v>
      </c>
      <c r="E30" s="121"/>
      <c r="F30" s="117">
        <f t="shared" si="22"/>
        <v>0.00747666295489953</v>
      </c>
      <c r="G30" s="2"/>
      <c r="H30" s="1"/>
      <c r="I30" s="1"/>
      <c r="J30" s="1"/>
      <c r="K30" s="1"/>
      <c r="L30" s="1"/>
      <c r="M30" s="1"/>
      <c r="N30" s="32"/>
      <c r="O30" s="47">
        <v>1</v>
      </c>
      <c r="P30" s="122" t="s">
        <v>102</v>
      </c>
      <c r="Q30" s="123">
        <f>IF(N30&gt;0,(MAX(45%,112.5%+112.5%*(N30-2))),(IF(N30&lt;=0,0)))</f>
        <v>0</v>
      </c>
      <c r="R30" s="122" t="s">
        <v>102</v>
      </c>
      <c r="S30" s="124">
        <v>3674.1</v>
      </c>
      <c r="T30" s="125">
        <v>0</v>
      </c>
      <c r="U30" s="125">
        <v>0</v>
      </c>
      <c r="V30" s="126">
        <v>1</v>
      </c>
      <c r="W30" s="127">
        <v>0</v>
      </c>
      <c r="X30" s="126">
        <f t="shared" ref="X30:X33" si="23">$AF$3</f>
        <v>0.488431876606684</v>
      </c>
      <c r="Y30" s="122">
        <f>$AF$13</f>
        <v>0.8</v>
      </c>
      <c r="Z30" s="128">
        <v>0</v>
      </c>
      <c r="AA30" s="128">
        <v>0</v>
      </c>
      <c r="AB30" s="128">
        <v>0</v>
      </c>
      <c r="AC30" s="129">
        <f t="shared" ref="AC30:AC33" si="24">Q30*S30*(1+T30)*(1+U30)*V30*(1+W30)*X30*Y30*(1+Z30)*(1+AA30)*(1+AB30)*O30</f>
        <v>0</v>
      </c>
    </row>
    <row r="31" s="1" customFormat="1" ht="15" spans="1:32">
      <c r="B31" s="4" t="s">
        <v>98</v>
      </c>
      <c r="C31" s="115">
        <f>AC27</f>
        <v>62688.0822622108</v>
      </c>
      <c r="D31" s="115">
        <f t="shared" si="21"/>
        <v>2507.52329048843</v>
      </c>
      <c r="E31" s="121"/>
      <c r="F31" s="117">
        <f t="shared" si="22"/>
        <v>0.00937395324727132</v>
      </c>
      <c r="G31" s="2"/>
      <c r="H31" s="1"/>
      <c r="I31" s="1"/>
      <c r="J31" s="1"/>
      <c r="K31" s="1"/>
      <c r="L31" s="1"/>
      <c r="M31" s="1"/>
      <c r="N31" s="32"/>
      <c r="O31" s="47"/>
      <c r="P31" s="130" t="s">
        <v>103</v>
      </c>
      <c r="Q31" s="131">
        <f>IF(N31=1,0.3,IF(AND(N31&gt;=2,N31&lt;=10),0.3+0.2439*(N31-1),IF(AND(N31&gt;=11),2.4951+0.8317*(N31-10),IF(AND(N31&lt;=0),0,""))))</f>
        <v>0</v>
      </c>
      <c r="R31" s="130" t="s">
        <v>103</v>
      </c>
      <c r="S31" s="132">
        <v>3674.1</v>
      </c>
      <c r="T31" s="133">
        <v>0</v>
      </c>
      <c r="U31" s="133">
        <v>0</v>
      </c>
      <c r="V31" s="134">
        <v>1</v>
      </c>
      <c r="W31" s="135">
        <v>0</v>
      </c>
      <c r="X31" s="134">
        <f t="shared" si="23"/>
        <v>0.488431876606684</v>
      </c>
      <c r="Y31" s="130">
        <f>$AF$11</f>
        <v>0.8</v>
      </c>
      <c r="Z31" s="136">
        <v>0</v>
      </c>
      <c r="AA31" s="136">
        <v>0</v>
      </c>
      <c r="AB31" s="136">
        <v>0</v>
      </c>
      <c r="AC31" s="137">
        <f t="shared" si="24"/>
        <v>0</v>
      </c>
    </row>
    <row r="32" s="1" customFormat="1" ht="15" spans="1:32">
      <c r="B32" s="4" t="s">
        <v>105</v>
      </c>
      <c r="C32" s="145">
        <f>SUM(C28:C31)</f>
        <v>6687475.45550846</v>
      </c>
      <c r="D32" s="145">
        <f>C32/E28</f>
        <v>267499.018220339</v>
      </c>
      <c r="E32" s="146"/>
      <c r="F32" s="147"/>
      <c r="G32" s="2"/>
      <c r="H32" s="1"/>
      <c r="I32" s="1"/>
      <c r="J32" s="1"/>
      <c r="K32" s="1"/>
      <c r="L32" s="1"/>
      <c r="M32" s="1"/>
      <c r="N32" s="32"/>
      <c r="O32" s="47">
        <v>1</v>
      </c>
      <c r="P32" s="59" t="s">
        <v>104</v>
      </c>
      <c r="Q32" s="138" t="str">
        <f>IF(N32=1,24.5%,IF(AND(10&gt;=N32,N32&gt;=2),24.5%+(N32-1)*19.9185%,IF(AND(13&gt;=N32,N32&gt;=11),203.77%+(N32-10)*(271.69%-203.77%),"")))</f>
        <v/>
      </c>
      <c r="R32" s="59" t="s">
        <v>104</v>
      </c>
      <c r="S32" s="139">
        <v>3674.1</v>
      </c>
      <c r="T32" s="140">
        <v>0</v>
      </c>
      <c r="U32" s="140">
        <v>0</v>
      </c>
      <c r="V32" s="141">
        <v>1</v>
      </c>
      <c r="W32" s="142">
        <v>0</v>
      </c>
      <c r="X32" s="141">
        <f t="shared" si="23"/>
        <v>0.488431876606684</v>
      </c>
      <c r="Y32" s="59">
        <f>$AF$15</f>
        <v>0.8</v>
      </c>
      <c r="Z32" s="143">
        <v>0</v>
      </c>
      <c r="AA32" s="143">
        <v>0</v>
      </c>
      <c r="AB32" s="143">
        <v>0</v>
      </c>
      <c r="AC32" s="144" t="e">
        <f t="shared" si="24"/>
        <v>#VALUE!</v>
      </c>
    </row>
    <row r="33" s="1" customFormat="1" ht="15" spans="2:29">
      <c r="B33" s="4"/>
      <c r="C33" s="4"/>
      <c r="D33" s="4"/>
      <c r="E33" s="1"/>
      <c r="F33" s="1"/>
      <c r="G33" s="167" t="s">
        <v>5</v>
      </c>
      <c r="H33" s="156" t="s">
        <v>6</v>
      </c>
      <c r="I33" s="156" t="s">
        <v>7</v>
      </c>
      <c r="J33" s="1"/>
      <c r="K33" s="1"/>
      <c r="L33" s="1"/>
      <c r="M33" s="1"/>
      <c r="N33" s="40"/>
      <c r="O33" s="79">
        <v>1</v>
      </c>
      <c r="P33" s="148" t="s">
        <v>106</v>
      </c>
      <c r="Q33" s="149" t="str">
        <f>IF(N33=1,0.84,IF(N33=2,1.5229,IF(N33=3,2.2058,IF(N33=4,2.8888,IF(N33=5,3.5717,IF(N33=6,4.2546,IF(N33=7,4.9375,IF(N33=8,5.6204,IF(N33=9,6.3034,IF(N33=10,6.9863,IF(N33=11,9.315,IF(N33=12,11.6438,IF(N33=13,13.9726,"")))))))))))))</f>
        <v/>
      </c>
      <c r="R33" s="148" t="s">
        <v>106</v>
      </c>
      <c r="S33" s="150">
        <v>3674.1</v>
      </c>
      <c r="T33" s="151">
        <v>0</v>
      </c>
      <c r="U33" s="151">
        <v>0</v>
      </c>
      <c r="V33" s="152">
        <v>1</v>
      </c>
      <c r="W33" s="153">
        <v>0</v>
      </c>
      <c r="X33" s="152">
        <f t="shared" si="23"/>
        <v>0.488431876606684</v>
      </c>
      <c r="Y33" s="148">
        <f>$AF$16</f>
        <v>0.8</v>
      </c>
      <c r="Z33" s="154">
        <v>0</v>
      </c>
      <c r="AA33" s="154">
        <v>0</v>
      </c>
      <c r="AB33" s="154">
        <v>0</v>
      </c>
      <c r="AC33" s="155" t="e">
        <f t="shared" si="24"/>
        <v>#VALUE!</v>
      </c>
    </row>
    <row r="34" s="1" customFormat="1" spans="2:29">
      <c r="B34" s="4"/>
      <c r="C34" s="4"/>
      <c r="D34" s="4"/>
      <c r="E34" s="1"/>
      <c r="F34" s="4"/>
      <c r="G34" s="171" t="s">
        <v>8</v>
      </c>
      <c r="H34" s="1">
        <v>90761</v>
      </c>
      <c r="I34" s="1"/>
      <c r="J34" s="1"/>
      <c r="K34" s="1"/>
      <c r="L34" s="1"/>
      <c r="M34" s="1"/>
      <c r="N34" s="1"/>
      <c r="Q34" s="2"/>
      <c r="U34" s="2"/>
      <c r="V34" s="3"/>
      <c r="AB34" s="4"/>
      <c r="AC34" s="4"/>
    </row>
    <row r="35" s="1" customFormat="1" spans="2:29">
      <c r="F35" s="4"/>
      <c r="G35" s="48">
        <v>11</v>
      </c>
      <c r="H35" s="1">
        <v>95736</v>
      </c>
      <c r="I35" s="2">
        <f>H35/H34-1</f>
        <v>0.054814292482454</v>
      </c>
      <c r="Q35" s="2"/>
      <c r="R35" s="1"/>
      <c r="S35" s="1"/>
      <c r="T35" s="1"/>
      <c r="U35" s="2"/>
      <c r="V35" s="3"/>
      <c r="W35" s="1"/>
      <c r="X35" s="1"/>
      <c r="Y35" s="1"/>
      <c r="Z35" s="1"/>
      <c r="AA35" s="1"/>
      <c r="AB35" s="4"/>
      <c r="AC35" s="4"/>
    </row>
    <row r="36" s="1" customFormat="1" spans="2:29">
      <c r="G36" s="48">
        <v>21</v>
      </c>
      <c r="H36" s="1">
        <v>118411</v>
      </c>
      <c r="I36" s="2">
        <f t="shared" ref="I36:I41" si="25">H36/H35-1</f>
        <v>0.236849252109969</v>
      </c>
      <c r="Q36" s="2"/>
      <c r="R36" s="1"/>
      <c r="S36" s="1"/>
      <c r="T36" s="1"/>
      <c r="U36" s="2"/>
      <c r="V36" s="3"/>
      <c r="W36" s="1"/>
      <c r="X36" s="1"/>
      <c r="Y36" s="1"/>
      <c r="Z36" s="1"/>
      <c r="AA36" s="1"/>
      <c r="AB36" s="4"/>
      <c r="AC36" s="4"/>
    </row>
    <row r="37" s="1" customFormat="1" spans="2:29">
      <c r="B37" s="4"/>
      <c r="C37" s="4"/>
      <c r="D37" s="4"/>
      <c r="F37" s="4"/>
      <c r="G37" s="48">
        <v>31</v>
      </c>
      <c r="H37" s="1">
        <v>134933</v>
      </c>
      <c r="I37" s="2">
        <f t="shared" si="25"/>
        <v>0.13953095573891</v>
      </c>
      <c r="Q37" s="2"/>
      <c r="R37" s="1"/>
      <c r="S37" s="1"/>
      <c r="T37" s="1"/>
      <c r="U37" s="2"/>
      <c r="V37" s="3"/>
      <c r="W37" s="1"/>
      <c r="X37" s="1"/>
      <c r="Y37" s="1"/>
      <c r="Z37" s="1"/>
      <c r="AA37" s="1"/>
      <c r="AB37" s="4"/>
      <c r="AC37" s="4"/>
    </row>
    <row r="38" s="1" customFormat="1" spans="2:29">
      <c r="B38" s="4"/>
      <c r="C38" s="4"/>
      <c r="D38" s="4"/>
      <c r="E38" s="1"/>
      <c r="F38" s="4"/>
      <c r="G38" s="48">
        <v>41</v>
      </c>
      <c r="H38" s="1">
        <v>143642</v>
      </c>
      <c r="I38" s="2">
        <f t="shared" si="25"/>
        <v>0.0645431436342481</v>
      </c>
      <c r="Q38" s="2"/>
      <c r="R38" s="1"/>
      <c r="S38" s="1"/>
      <c r="T38" s="1"/>
      <c r="U38" s="2"/>
      <c r="V38" s="3"/>
      <c r="W38" s="1"/>
      <c r="X38" s="1"/>
      <c r="Y38" s="1"/>
      <c r="Z38" s="1"/>
      <c r="AA38" s="1"/>
      <c r="AB38" s="4"/>
      <c r="AC38" s="4"/>
    </row>
    <row r="39" s="1" customFormat="1" spans="2:29">
      <c r="G39" s="48">
        <v>51</v>
      </c>
      <c r="H39" s="1">
        <v>147079</v>
      </c>
      <c r="I39" s="2">
        <f t="shared" si="25"/>
        <v>0.0239275420837917</v>
      </c>
      <c r="Q39" s="2"/>
      <c r="U39" s="2"/>
      <c r="V39" s="3"/>
      <c r="AB39" s="4"/>
      <c r="AC39" s="4"/>
    </row>
    <row r="40" s="1" customFormat="1" spans="2:29">
      <c r="B40" s="4"/>
      <c r="C40" s="4"/>
      <c r="D40" s="4"/>
      <c r="E40" s="1"/>
      <c r="F40" s="4"/>
      <c r="G40" s="48">
        <v>61</v>
      </c>
      <c r="H40" s="1">
        <v>224220</v>
      </c>
      <c r="I40" s="2">
        <f t="shared" si="25"/>
        <v>0.524486840405496</v>
      </c>
      <c r="Q40" s="2"/>
      <c r="R40" s="1"/>
      <c r="S40" s="1"/>
      <c r="T40" s="1"/>
      <c r="U40" s="2"/>
      <c r="V40" s="3"/>
      <c r="W40" s="1"/>
      <c r="X40" s="1"/>
      <c r="Y40" s="1"/>
      <c r="Z40" s="1"/>
      <c r="AA40" s="1"/>
      <c r="AB40" s="4"/>
      <c r="AC40" s="4"/>
    </row>
    <row r="41" s="1" customFormat="1" spans="2:29">
      <c r="B41" s="4"/>
      <c r="C41" s="4"/>
      <c r="D41" s="4"/>
      <c r="E41" s="1"/>
      <c r="F41" s="4"/>
      <c r="G41" s="48">
        <v>65</v>
      </c>
      <c r="H41" s="1">
        <v>267499</v>
      </c>
      <c r="I41" s="2">
        <f t="shared" si="25"/>
        <v>0.193020247970743</v>
      </c>
      <c r="Q41" s="2"/>
      <c r="R41" s="1"/>
      <c r="S41" s="1"/>
      <c r="T41" s="1"/>
      <c r="U41" s="2"/>
      <c r="V41" s="3"/>
      <c r="W41" s="1"/>
      <c r="X41" s="1"/>
      <c r="Y41" s="1"/>
      <c r="Z41" s="1"/>
      <c r="AA41" s="1"/>
      <c r="AB41" s="4"/>
      <c r="AC41" s="4"/>
    </row>
    <row r="42" s="1" customFormat="1" spans="2:29">
      <c r="G42" s="2"/>
      <c r="H42" s="1"/>
      <c r="I42" s="1"/>
      <c r="Q42" s="2"/>
      <c r="R42" s="1"/>
      <c r="S42" s="1"/>
      <c r="T42" s="1"/>
      <c r="U42" s="2"/>
      <c r="V42" s="3"/>
      <c r="W42" s="1"/>
      <c r="X42" s="1"/>
      <c r="Y42" s="1"/>
      <c r="Z42" s="1"/>
      <c r="AA42" s="1"/>
      <c r="AB42" s="4"/>
      <c r="AC42" s="4"/>
    </row>
    <row r="43" s="1" customFormat="1" spans="2:29">
      <c r="B43" s="4"/>
      <c r="C43" s="4"/>
      <c r="D43" s="4"/>
      <c r="E43" s="1"/>
      <c r="F43" s="4"/>
      <c r="G43" s="2"/>
      <c r="H43" s="1"/>
      <c r="I43" s="1"/>
      <c r="Q43" s="2"/>
      <c r="R43" s="1"/>
      <c r="S43" s="1"/>
      <c r="T43" s="1"/>
      <c r="U43" s="2"/>
      <c r="V43" s="3"/>
      <c r="W43" s="1"/>
      <c r="X43" s="1"/>
      <c r="Y43" s="1"/>
      <c r="Z43" s="1"/>
      <c r="AA43" s="1"/>
      <c r="AB43" s="4"/>
      <c r="AC43" s="4"/>
    </row>
    <row r="44" s="1" customFormat="1" spans="2:29">
      <c r="B44" s="4"/>
      <c r="C44" s="4"/>
      <c r="D44" s="4"/>
      <c r="E44" s="1"/>
      <c r="F44" s="1"/>
      <c r="G44" s="2"/>
      <c r="H44" s="1"/>
      <c r="I44" s="1"/>
      <c r="Q44" s="2"/>
      <c r="R44" s="1"/>
      <c r="S44" s="1"/>
      <c r="T44" s="1"/>
      <c r="U44" s="2"/>
      <c r="V44" s="3"/>
      <c r="W44" s="1"/>
      <c r="X44" s="1"/>
      <c r="Y44" s="1"/>
      <c r="Z44" s="1"/>
      <c r="AA44" s="1"/>
      <c r="AB44" s="4"/>
      <c r="AC44" s="4"/>
    </row>
    <row r="45" s="1" customFormat="1" spans="2:29">
      <c r="G45" s="2"/>
      <c r="H45" s="1"/>
      <c r="I45" s="1"/>
      <c r="Q45" s="2"/>
      <c r="U45" s="2"/>
      <c r="V45" s="3"/>
      <c r="AB45" s="4"/>
      <c r="AC45" s="4"/>
    </row>
    <row r="46" s="1" customFormat="1" spans="2:29">
      <c r="B46" s="4"/>
      <c r="C46" s="4"/>
      <c r="D46" s="4"/>
      <c r="G46" s="2"/>
      <c r="H46" s="1"/>
      <c r="I46" s="1"/>
      <c r="Q46" s="2"/>
      <c r="U46" s="2"/>
      <c r="V46" s="3"/>
      <c r="AB46" s="4"/>
      <c r="AC46" s="4"/>
    </row>
    <row r="47" s="1" customFormat="1" spans="2:29">
      <c r="G47" s="2"/>
      <c r="H47" s="1"/>
      <c r="I47" s="1"/>
      <c r="Q47" s="2"/>
      <c r="U47" s="2"/>
      <c r="V47" s="3"/>
      <c r="AB47" s="4"/>
      <c r="AC47" s="4"/>
    </row>
    <row r="48" s="1" customFormat="1" spans="2:29">
      <c r="G48" s="2"/>
      <c r="H48" s="1"/>
      <c r="I48" s="1"/>
      <c r="Q48" s="2"/>
      <c r="U48" s="2"/>
      <c r="V48" s="3"/>
      <c r="AB48" s="4"/>
      <c r="AC48" s="4"/>
    </row>
    <row r="49" s="1" customFormat="1" spans="7:29">
      <c r="G49" s="2"/>
      <c r="H49" s="1"/>
      <c r="I49" s="1"/>
      <c r="Q49" s="2"/>
      <c r="U49" s="2"/>
      <c r="V49" s="3"/>
      <c r="AB49" s="4"/>
      <c r="AC49" s="4"/>
    </row>
    <row r="50" s="1" customFormat="1" spans="7:29">
      <c r="G50" s="2"/>
      <c r="H50" s="1"/>
      <c r="I50" s="1"/>
      <c r="Q50" s="2"/>
      <c r="U50" s="2"/>
      <c r="V50" s="3"/>
      <c r="AB50" s="4"/>
      <c r="AC50" s="4"/>
    </row>
    <row r="51" s="1" customFormat="1" spans="7:29">
      <c r="G51" s="2"/>
      <c r="H51" s="1"/>
      <c r="I51" s="1"/>
      <c r="Q51" s="2"/>
      <c r="U51" s="2"/>
      <c r="V51" s="3"/>
      <c r="AB51" s="4"/>
      <c r="AC51" s="4"/>
    </row>
    <row r="52" s="1" customFormat="1" spans="7:29">
      <c r="G52" s="2"/>
      <c r="H52" s="1"/>
      <c r="I52" s="1"/>
      <c r="Q52" s="2"/>
      <c r="U52" s="2"/>
      <c r="V52" s="3"/>
      <c r="AB52" s="4"/>
      <c r="AC52" s="4"/>
    </row>
    <row r="53" s="1" customFormat="1" spans="7:29">
      <c r="G53" s="2"/>
      <c r="H53" s="1"/>
      <c r="I53" s="1"/>
      <c r="Q53" s="2"/>
      <c r="U53" s="2"/>
      <c r="V53" s="3"/>
      <c r="AB53" s="4"/>
      <c r="AC53" s="4"/>
    </row>
    <row r="54" s="1" customFormat="1" spans="7:29">
      <c r="G54" s="2"/>
      <c r="Q54" s="2"/>
      <c r="U54" s="2"/>
      <c r="V54" s="3"/>
      <c r="AB54" s="4"/>
      <c r="AC54" s="4"/>
    </row>
    <row r="55" s="1" customFormat="1" spans="7:29">
      <c r="G55" s="2"/>
      <c r="Q55" s="2"/>
      <c r="U55" s="2"/>
      <c r="V55" s="3"/>
      <c r="AB55" s="4"/>
      <c r="AC55" s="4"/>
    </row>
    <row r="56" s="1" customFormat="1" spans="7:29">
      <c r="G56" s="2"/>
      <c r="Q56" s="2"/>
      <c r="U56" s="2"/>
      <c r="V56" s="3"/>
      <c r="AB56" s="4"/>
      <c r="AC56" s="4"/>
    </row>
    <row r="57" s="1" customFormat="1" spans="7:29">
      <c r="G57" s="2"/>
      <c r="Q57" s="2"/>
      <c r="U57" s="2"/>
      <c r="V57" s="3"/>
      <c r="AB57" s="4"/>
      <c r="AC57" s="4"/>
    </row>
    <row r="58" s="1" customFormat="1" spans="7:29">
      <c r="G58" s="2"/>
      <c r="Q58" s="2"/>
      <c r="U58" s="2"/>
      <c r="V58" s="3"/>
      <c r="AB58" s="4"/>
      <c r="AC58" s="4"/>
    </row>
    <row r="59" s="1" customFormat="1" spans="7:29">
      <c r="G59" s="2"/>
      <c r="Q59" s="2"/>
      <c r="U59" s="2"/>
      <c r="V59" s="3"/>
      <c r="AB59" s="4"/>
      <c r="AC59" s="4"/>
    </row>
  </sheetData>
  <mergeCells count="14">
    <mergeCell ref="B2:M2"/>
    <mergeCell ref="B3:C3"/>
    <mergeCell ref="D3:E3"/>
    <mergeCell ref="F3:G3"/>
    <mergeCell ref="H3:I3"/>
    <mergeCell ref="J3:K3"/>
    <mergeCell ref="L3:M3"/>
    <mergeCell ref="B14:M14"/>
    <mergeCell ref="B15:C15"/>
    <mergeCell ref="D15:E15"/>
    <mergeCell ref="F15:G15"/>
    <mergeCell ref="H15:I15"/>
    <mergeCell ref="J15:K15"/>
    <mergeCell ref="L15:M15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G59"/>
  <sheetViews>
    <sheetView workbookViewId="0">
      <selection activeCell="I23" sqref="I23:I31"/>
    </sheetView>
  </sheetViews>
  <sheetFormatPr defaultColWidth="9.69090909090909" defaultRowHeight="14"/>
  <cols>
    <col min="1" max="1" width="9.69090909090909" style="1"/>
    <col min="2" max="2" width="15.4545454545455" style="1" customWidth="1"/>
    <col min="3" max="3" width="10" style="1" customWidth="1"/>
    <col min="4" max="4" width="11.8181818181818" style="1" customWidth="1"/>
    <col min="5" max="5" width="5.54545454545455" style="1" customWidth="1"/>
    <col min="6" max="6" width="11.8181818181818" style="1" customWidth="1"/>
    <col min="7" max="7" width="7.54545454545455" style="2" customWidth="1"/>
    <col min="8" max="8" width="14" style="1" customWidth="1"/>
    <col min="9" max="9" width="8.54545454545454" style="1" customWidth="1"/>
    <col min="10" max="10" width="11.8181818181818" style="1" customWidth="1"/>
    <col min="11" max="11" width="4.54545454545455" style="1" customWidth="1"/>
    <col min="12" max="12" width="9.54545454545454" style="1" customWidth="1"/>
    <col min="13" max="13" width="7.54545454545455" style="1" customWidth="1"/>
    <col min="14" max="14" width="5.54545454545455" style="1" customWidth="1"/>
    <col min="15" max="15" width="6.27272727272727" style="1" customWidth="1"/>
    <col min="16" max="16" width="21.2727272727273" style="1" customWidth="1"/>
    <col min="17" max="17" width="9.54545454545454" style="2" customWidth="1"/>
    <col min="18" max="18" width="6.27272727272727" style="1" customWidth="1"/>
    <col min="19" max="19" width="11" style="1" customWidth="1"/>
    <col min="20" max="20" width="8.54545454545454" style="1" customWidth="1"/>
    <col min="21" max="21" width="8.54545454545454" style="2" customWidth="1"/>
    <col min="22" max="22" width="8.54545454545454" style="3" customWidth="1"/>
    <col min="23" max="25" width="8.54545454545454" style="1" customWidth="1"/>
    <col min="26" max="26" width="11" style="1" customWidth="1"/>
    <col min="27" max="27" width="8.54545454545454" style="1" customWidth="1"/>
    <col min="28" max="28" width="11" style="4" customWidth="1"/>
    <col min="29" max="29" width="10" style="4" customWidth="1"/>
    <col min="30" max="30" width="9.54545454545454" style="1" customWidth="1"/>
    <col min="31" max="31" width="5.54545454545455" style="1" customWidth="1"/>
    <col min="32" max="32" width="8.54545454545454" style="1" customWidth="1"/>
    <col min="33" max="33" width="9.54545454545454" style="1" customWidth="1"/>
    <col min="34" max="16384" width="9.69090909090909" style="1"/>
  </cols>
  <sheetData>
    <row r="1" s="1" customFormat="1" ht="14.75" spans="2:33">
      <c r="B1" s="5" t="s">
        <v>9</v>
      </c>
      <c r="C1" s="5" t="s">
        <v>10</v>
      </c>
      <c r="D1" s="6" t="s">
        <v>11</v>
      </c>
      <c r="E1" s="6">
        <v>0</v>
      </c>
      <c r="Q1" s="2">
        <f>SUM(Q3:Q15)</f>
        <v>59.9057</v>
      </c>
      <c r="U1" s="2"/>
      <c r="V1" s="3"/>
      <c r="AB1" s="4"/>
      <c r="AC1" s="4"/>
    </row>
    <row r="2" s="1" customFormat="1" ht="15.75" spans="2:33">
      <c r="B2" s="7" t="s">
        <v>0</v>
      </c>
      <c r="C2" s="8"/>
      <c r="D2" s="8"/>
      <c r="E2" s="8"/>
      <c r="F2" s="8"/>
      <c r="G2" s="8"/>
      <c r="H2" s="8"/>
      <c r="I2" s="8"/>
      <c r="J2" s="8"/>
      <c r="K2" s="8"/>
      <c r="L2" s="8"/>
      <c r="M2" s="9"/>
      <c r="O2" s="10" t="s">
        <v>12</v>
      </c>
      <c r="P2" s="11" t="s">
        <v>13</v>
      </c>
      <c r="Q2" s="12" t="s">
        <v>14</v>
      </c>
      <c r="R2" s="11" t="s">
        <v>15</v>
      </c>
      <c r="S2" s="11" t="s">
        <v>16</v>
      </c>
      <c r="T2" s="11" t="s">
        <v>17</v>
      </c>
      <c r="U2" s="12" t="s">
        <v>18</v>
      </c>
      <c r="V2" s="13" t="s">
        <v>19</v>
      </c>
      <c r="W2" s="11" t="s">
        <v>20</v>
      </c>
      <c r="X2" s="11" t="s">
        <v>21</v>
      </c>
      <c r="Y2" s="11" t="s">
        <v>22</v>
      </c>
      <c r="Z2" s="11" t="s">
        <v>23</v>
      </c>
      <c r="AA2" s="11" t="s">
        <v>24</v>
      </c>
      <c r="AB2" s="14" t="s">
        <v>25</v>
      </c>
      <c r="AC2" s="15" t="s">
        <v>26</v>
      </c>
      <c r="AD2" s="17" t="s">
        <v>29</v>
      </c>
      <c r="AE2" s="17" t="s">
        <v>30</v>
      </c>
      <c r="AF2" s="18" t="s">
        <v>21</v>
      </c>
      <c r="AG2" s="18" t="s">
        <v>31</v>
      </c>
    </row>
    <row r="3" s="1" customFormat="1" ht="15" spans="2:33">
      <c r="B3" s="19" t="s">
        <v>32</v>
      </c>
      <c r="C3" s="20"/>
      <c r="D3" s="19" t="s">
        <v>18</v>
      </c>
      <c r="E3" s="20"/>
      <c r="F3" s="19" t="s">
        <v>33</v>
      </c>
      <c r="G3" s="20"/>
      <c r="H3" s="19" t="s">
        <v>34</v>
      </c>
      <c r="I3" s="20"/>
      <c r="J3" s="19" t="s">
        <v>20</v>
      </c>
      <c r="K3" s="20"/>
      <c r="L3" s="19" t="s">
        <v>35</v>
      </c>
      <c r="M3" s="20"/>
      <c r="O3" s="21">
        <v>1</v>
      </c>
      <c r="P3" s="22" t="s">
        <v>36</v>
      </c>
      <c r="Q3" s="23">
        <f>163.42%</f>
        <v>1.6342</v>
      </c>
      <c r="R3" s="24" t="s">
        <v>37</v>
      </c>
      <c r="S3" s="25">
        <f t="shared" ref="S3:S15" si="0">$C$4*(1+C$5+C$6+C$7+C$8)+C$9</f>
        <v>3209.008</v>
      </c>
      <c r="T3" s="23">
        <f t="shared" ref="T3:T15" si="1">($C$5+$C$6+$C$7+$C$8)+($C$9+$C$10)/$C$4</f>
        <v>2.133796875</v>
      </c>
      <c r="U3" s="23">
        <f t="shared" ref="U3:U15" si="2">IF(R3=$C$1,SUM($E$4:$E$9),SUM($E$4:$E$8))</f>
        <v>1.44</v>
      </c>
      <c r="V3" s="26">
        <f t="shared" ref="V3:V15" si="3">1+$G$10*($I$10-1)</f>
        <v>2.64346</v>
      </c>
      <c r="W3" s="27">
        <f t="shared" ref="W3:W6" si="4">IF(R3=$C$1,$K$4+$K$5,$K$4)</f>
        <v>0.4</v>
      </c>
      <c r="X3" s="26">
        <f>$AF$4</f>
        <v>0.514765646166351</v>
      </c>
      <c r="Y3" s="24">
        <f>$AF$13</f>
        <v>0.8</v>
      </c>
      <c r="Z3" s="28">
        <v>0</v>
      </c>
      <c r="AA3" s="28">
        <v>0.3</v>
      </c>
      <c r="AB3" s="28">
        <v>0</v>
      </c>
      <c r="AC3" s="29">
        <f t="shared" ref="AC3:AC15" si="5">Q3*$C$4*(1+T3)*(1+U3)*V3*(1+W3)*X3*Y3*(1+Z3)*(1+AA3)*(1+AB3)*O3</f>
        <v>25351.8412214649</v>
      </c>
      <c r="AD3" s="17">
        <v>0</v>
      </c>
      <c r="AE3" s="17">
        <v>0</v>
      </c>
      <c r="AF3" s="18">
        <f>1520/(1520+(792+8*AG3)*(1-AE3/100))</f>
        <v>0.488431876606684</v>
      </c>
      <c r="AG3" s="31">
        <v>100</v>
      </c>
    </row>
    <row r="4" s="1" customFormat="1" ht="15" spans="2:33">
      <c r="B4" s="32" t="s">
        <v>38</v>
      </c>
      <c r="C4" s="33">
        <f>437+587</f>
        <v>1024</v>
      </c>
      <c r="D4" s="32" t="s">
        <v>39</v>
      </c>
      <c r="E4" s="34">
        <f>E1*30%</f>
        <v>0</v>
      </c>
      <c r="F4" s="32" t="s">
        <v>40</v>
      </c>
      <c r="G4" s="35">
        <v>0.13</v>
      </c>
      <c r="H4" s="32" t="s">
        <v>40</v>
      </c>
      <c r="I4" s="35">
        <v>1.5</v>
      </c>
      <c r="J4" s="36" t="s">
        <v>41</v>
      </c>
      <c r="K4" s="34">
        <f>15%+25%</f>
        <v>0.4</v>
      </c>
      <c r="L4" s="32" t="s">
        <v>42</v>
      </c>
      <c r="M4" s="35">
        <f>8.6%*2</f>
        <v>0.172</v>
      </c>
      <c r="O4" s="21">
        <v>1</v>
      </c>
      <c r="P4" s="29" t="s">
        <v>43</v>
      </c>
      <c r="Q4" s="23">
        <f>50.34%*2+33.41%*3+51.7%*4</f>
        <v>4.0771</v>
      </c>
      <c r="R4" s="24" t="s">
        <v>44</v>
      </c>
      <c r="S4" s="25">
        <f t="shared" si="0"/>
        <v>3209.008</v>
      </c>
      <c r="T4" s="23">
        <f t="shared" si="1"/>
        <v>2.133796875</v>
      </c>
      <c r="U4" s="23">
        <f t="shared" si="2"/>
        <v>1.44</v>
      </c>
      <c r="V4" s="26">
        <f t="shared" si="3"/>
        <v>2.64346</v>
      </c>
      <c r="W4" s="27">
        <f t="shared" si="4"/>
        <v>0.4</v>
      </c>
      <c r="X4" s="26">
        <f t="shared" ref="X4:X15" si="6">$AF$4</f>
        <v>0.514765646166351</v>
      </c>
      <c r="Y4" s="24">
        <f t="shared" ref="Y4:Y15" si="7">$AF$13</f>
        <v>0.8</v>
      </c>
      <c r="Z4" s="28">
        <v>0</v>
      </c>
      <c r="AA4" s="28">
        <v>0.3</v>
      </c>
      <c r="AB4" s="28">
        <v>0</v>
      </c>
      <c r="AC4" s="29">
        <f t="shared" si="5"/>
        <v>63249.2913009636</v>
      </c>
      <c r="AD4" s="17">
        <v>10</v>
      </c>
      <c r="AE4" s="17"/>
      <c r="AF4" s="18">
        <f>1520/(1520+(792+8*AG4)*(1-AE4/100)*(1-AD4/100))</f>
        <v>0.514765646166351</v>
      </c>
      <c r="AG4" s="31">
        <v>100</v>
      </c>
    </row>
    <row r="5" s="1" customFormat="1" ht="15" spans="2:33">
      <c r="B5" s="32" t="s">
        <v>45</v>
      </c>
      <c r="C5" s="34">
        <f>12%+12%</f>
        <v>0.24</v>
      </c>
      <c r="D5" s="32" t="s">
        <v>46</v>
      </c>
      <c r="E5" s="34">
        <f>12%+25%</f>
        <v>0.37</v>
      </c>
      <c r="F5" s="32" t="s">
        <v>47</v>
      </c>
      <c r="G5" s="35"/>
      <c r="H5" s="32" t="s">
        <v>47</v>
      </c>
      <c r="I5" s="35">
        <v>0.486</v>
      </c>
      <c r="J5" s="37" t="s">
        <v>48</v>
      </c>
      <c r="K5" s="34">
        <v>0.32</v>
      </c>
      <c r="L5" s="32" t="s">
        <v>49</v>
      </c>
      <c r="M5" s="35">
        <f>9.2%*2+32%</f>
        <v>0.504</v>
      </c>
      <c r="O5" s="21">
        <v>1</v>
      </c>
      <c r="P5" s="29" t="s">
        <v>50</v>
      </c>
      <c r="Q5" s="23">
        <f>28.81%*4+172.85%</f>
        <v>2.8809</v>
      </c>
      <c r="R5" s="24" t="s">
        <v>10</v>
      </c>
      <c r="S5" s="25">
        <f t="shared" si="0"/>
        <v>3209.008</v>
      </c>
      <c r="T5" s="23">
        <f t="shared" si="1"/>
        <v>2.133796875</v>
      </c>
      <c r="U5" s="23">
        <f t="shared" si="2"/>
        <v>2.23</v>
      </c>
      <c r="V5" s="26">
        <f t="shared" si="3"/>
        <v>2.64346</v>
      </c>
      <c r="W5" s="27">
        <f t="shared" si="4"/>
        <v>0.72</v>
      </c>
      <c r="X5" s="26">
        <f t="shared" si="6"/>
        <v>0.514765646166351</v>
      </c>
      <c r="Y5" s="24">
        <f t="shared" si="7"/>
        <v>0.8</v>
      </c>
      <c r="Z5" s="28">
        <v>0.7</v>
      </c>
      <c r="AA5" s="28">
        <v>0.3</v>
      </c>
      <c r="AB5" s="28">
        <v>0</v>
      </c>
      <c r="AC5" s="29">
        <f t="shared" si="5"/>
        <v>123564.726497249</v>
      </c>
      <c r="AD5" s="17">
        <v>15</v>
      </c>
      <c r="AE5" s="17"/>
      <c r="AF5" s="18">
        <f>1520/(1520+(792+8*AG5)*(1-AE5/100)*(1-AD5/100))</f>
        <v>0.529026868996241</v>
      </c>
      <c r="AG5" s="31">
        <v>100</v>
      </c>
    </row>
    <row r="6" s="1" customFormat="1" ht="15" spans="2:33">
      <c r="B6" s="32" t="s">
        <v>51</v>
      </c>
      <c r="C6" s="34">
        <f>18%+18%+M4+(1-E1)*30%</f>
        <v>0.832</v>
      </c>
      <c r="D6" s="32" t="s">
        <v>52</v>
      </c>
      <c r="E6" s="34">
        <f>E11*3%</f>
        <v>0.09</v>
      </c>
      <c r="F6" s="32" t="s">
        <v>53</v>
      </c>
      <c r="G6" s="35">
        <v>0.2</v>
      </c>
      <c r="H6" s="32" t="s">
        <v>53</v>
      </c>
      <c r="I6" s="35">
        <v>0</v>
      </c>
      <c r="J6" s="37"/>
      <c r="K6" s="35"/>
      <c r="L6" s="32" t="s">
        <v>33</v>
      </c>
      <c r="M6" s="35">
        <f>8.1*5%</f>
        <v>0.405</v>
      </c>
      <c r="O6" s="21">
        <v>1</v>
      </c>
      <c r="P6" s="29" t="s">
        <v>54</v>
      </c>
      <c r="Q6" s="23">
        <f>132.51%</f>
        <v>1.3251</v>
      </c>
      <c r="R6" s="24" t="s">
        <v>10</v>
      </c>
      <c r="S6" s="25">
        <f t="shared" si="0"/>
        <v>3209.008</v>
      </c>
      <c r="T6" s="23">
        <f t="shared" si="1"/>
        <v>2.133796875</v>
      </c>
      <c r="U6" s="23">
        <f t="shared" si="2"/>
        <v>2.23</v>
      </c>
      <c r="V6" s="26">
        <f t="shared" si="3"/>
        <v>2.64346</v>
      </c>
      <c r="W6" s="27">
        <f>IF(R6=$C$1,$K$4+$K$5,$K$4)+0.45</f>
        <v>1.17</v>
      </c>
      <c r="X6" s="26">
        <f t="shared" ref="X6:X13" si="8">$AF$5</f>
        <v>0.529026868996241</v>
      </c>
      <c r="Y6" s="24">
        <f t="shared" si="7"/>
        <v>0.8</v>
      </c>
      <c r="Z6" s="28">
        <v>0</v>
      </c>
      <c r="AA6" s="28">
        <v>0.3</v>
      </c>
      <c r="AB6" s="28">
        <v>0</v>
      </c>
      <c r="AC6" s="29">
        <f t="shared" si="5"/>
        <v>43347.6464571067</v>
      </c>
      <c r="AD6" s="17">
        <v>20</v>
      </c>
      <c r="AE6" s="17"/>
      <c r="AF6" s="18">
        <f>1520/(1520+(792+8*AG6)*(1-AE6/100)*(1-AD6/100))</f>
        <v>0.544100801832761</v>
      </c>
      <c r="AG6" s="31">
        <v>100</v>
      </c>
    </row>
    <row r="7" s="1" customFormat="1" ht="15" spans="2:33">
      <c r="B7" s="32" t="s">
        <v>55</v>
      </c>
      <c r="C7" s="38">
        <v>0.2</v>
      </c>
      <c r="D7" s="32" t="s">
        <v>56</v>
      </c>
      <c r="E7" s="34">
        <f>58%+40%</f>
        <v>0.98</v>
      </c>
      <c r="F7" s="32" t="s">
        <v>51</v>
      </c>
      <c r="G7" s="35">
        <f>M6</f>
        <v>0.405</v>
      </c>
      <c r="H7" s="32" t="s">
        <v>51</v>
      </c>
      <c r="I7" s="35">
        <f>M7+44%</f>
        <v>1.25</v>
      </c>
      <c r="J7" s="37"/>
      <c r="K7" s="35"/>
      <c r="L7" s="32" t="s">
        <v>57</v>
      </c>
      <c r="M7" s="34">
        <f>16.2%*5</f>
        <v>0.81</v>
      </c>
      <c r="O7" s="21">
        <v>1</v>
      </c>
      <c r="P7" s="29" t="s">
        <v>58</v>
      </c>
      <c r="Q7" s="23">
        <f>39.76%+59.63%*4+119.26%</f>
        <v>3.9754</v>
      </c>
      <c r="R7" s="24" t="s">
        <v>10</v>
      </c>
      <c r="S7" s="25">
        <f t="shared" si="0"/>
        <v>3209.008</v>
      </c>
      <c r="T7" s="23">
        <f t="shared" si="1"/>
        <v>2.133796875</v>
      </c>
      <c r="U7" s="23">
        <f t="shared" si="2"/>
        <v>2.23</v>
      </c>
      <c r="V7" s="26">
        <f t="shared" si="3"/>
        <v>2.64346</v>
      </c>
      <c r="W7" s="27">
        <f t="shared" ref="W7:W13" si="9">IF(R7=$C$1,$K$4+$K$5,$K$4)+0.9</f>
        <v>1.62</v>
      </c>
      <c r="X7" s="26">
        <f t="shared" si="8"/>
        <v>0.529026868996241</v>
      </c>
      <c r="Y7" s="24">
        <f t="shared" si="7"/>
        <v>0.8</v>
      </c>
      <c r="Z7" s="28">
        <v>0.5</v>
      </c>
      <c r="AA7" s="28">
        <v>0.3</v>
      </c>
      <c r="AB7" s="28">
        <v>0</v>
      </c>
      <c r="AC7" s="29">
        <f t="shared" si="5"/>
        <v>235521.478264761</v>
      </c>
      <c r="AD7" s="17">
        <v>25</v>
      </c>
      <c r="AE7" s="17"/>
      <c r="AF7" s="18">
        <f>1520/(1520+(792+8*AG7)*(1-AE7/100)*(1-AD7/100))</f>
        <v>0.56005895357406</v>
      </c>
      <c r="AG7" s="31">
        <v>100</v>
      </c>
    </row>
    <row r="8" s="1" customFormat="1" ht="15" spans="2:33">
      <c r="B8" s="32" t="s">
        <v>59</v>
      </c>
      <c r="C8" s="38">
        <f>27%+25%</f>
        <v>0.52</v>
      </c>
      <c r="D8" s="32" t="s">
        <v>60</v>
      </c>
      <c r="E8" s="39"/>
      <c r="F8" s="32" t="s">
        <v>61</v>
      </c>
      <c r="G8" s="35">
        <v>0</v>
      </c>
      <c r="H8" s="32" t="s">
        <v>61</v>
      </c>
      <c r="I8" s="35">
        <v>0</v>
      </c>
      <c r="J8" s="37"/>
      <c r="K8" s="35"/>
      <c r="L8" s="32"/>
      <c r="M8" s="33"/>
      <c r="O8" s="21">
        <v>1</v>
      </c>
      <c r="P8" s="29" t="s">
        <v>62</v>
      </c>
      <c r="Q8" s="23">
        <v>8.6143</v>
      </c>
      <c r="R8" s="24" t="s">
        <v>10</v>
      </c>
      <c r="S8" s="25">
        <f t="shared" si="0"/>
        <v>3209.008</v>
      </c>
      <c r="T8" s="23">
        <f t="shared" si="1"/>
        <v>2.133796875</v>
      </c>
      <c r="U8" s="23">
        <f t="shared" si="2"/>
        <v>2.23</v>
      </c>
      <c r="V8" s="26">
        <f t="shared" si="3"/>
        <v>2.64346</v>
      </c>
      <c r="W8" s="27">
        <f t="shared" ref="W8:W10" si="10">IF(R8=$C$1,$K$4+$K$5,$K$4)</f>
        <v>0.72</v>
      </c>
      <c r="X8" s="26">
        <f t="shared" si="6"/>
        <v>0.514765646166351</v>
      </c>
      <c r="Y8" s="24">
        <f t="shared" si="7"/>
        <v>0.8</v>
      </c>
      <c r="Z8" s="28">
        <v>0.3</v>
      </c>
      <c r="AA8" s="28">
        <v>0.3</v>
      </c>
      <c r="AB8" s="28">
        <v>0</v>
      </c>
      <c r="AC8" s="29">
        <f t="shared" si="5"/>
        <v>282540.52767514</v>
      </c>
      <c r="AD8" s="17">
        <v>30</v>
      </c>
      <c r="AE8" s="17"/>
      <c r="AF8" s="18">
        <f>1520/(1520+(792+8*AG8)*(1-AE8/100)*(1-AD8/100))</f>
        <v>0.57698147585788</v>
      </c>
      <c r="AG8" s="31">
        <v>100</v>
      </c>
    </row>
    <row r="9" s="1" customFormat="1" ht="15" spans="2:33">
      <c r="B9" s="32" t="s">
        <v>63</v>
      </c>
      <c r="C9" s="33">
        <v>350</v>
      </c>
      <c r="D9" s="32" t="s">
        <v>64</v>
      </c>
      <c r="E9" s="34">
        <f>50%+20%+E11*3%</f>
        <v>0.79</v>
      </c>
      <c r="F9" s="32" t="s">
        <v>65</v>
      </c>
      <c r="G9" s="35"/>
      <c r="H9" s="32" t="s">
        <v>65</v>
      </c>
      <c r="I9" s="35"/>
      <c r="J9" s="37"/>
      <c r="K9" s="35"/>
      <c r="L9" s="32"/>
      <c r="M9" s="33"/>
      <c r="O9" s="21">
        <v>1</v>
      </c>
      <c r="P9" s="29" t="s">
        <v>66</v>
      </c>
      <c r="Q9" s="23">
        <f>52.97%+50.34%*2+33.41%*3+51.7%*4</f>
        <v>4.6068</v>
      </c>
      <c r="R9" s="24" t="s">
        <v>44</v>
      </c>
      <c r="S9" s="25">
        <f t="shared" si="0"/>
        <v>3209.008</v>
      </c>
      <c r="T9" s="23">
        <f t="shared" si="1"/>
        <v>2.133796875</v>
      </c>
      <c r="U9" s="23">
        <f t="shared" si="2"/>
        <v>1.44</v>
      </c>
      <c r="V9" s="26">
        <f t="shared" si="3"/>
        <v>2.64346</v>
      </c>
      <c r="W9" s="27">
        <f t="shared" si="10"/>
        <v>0.4</v>
      </c>
      <c r="X9" s="26">
        <f t="shared" si="6"/>
        <v>0.514765646166351</v>
      </c>
      <c r="Y9" s="24">
        <f t="shared" si="7"/>
        <v>0.8</v>
      </c>
      <c r="Z9" s="28">
        <v>0</v>
      </c>
      <c r="AA9" s="28">
        <v>0.3</v>
      </c>
      <c r="AB9" s="28">
        <v>0</v>
      </c>
      <c r="AC9" s="29">
        <f t="shared" si="5"/>
        <v>71466.6883729315</v>
      </c>
    </row>
    <row r="10" s="1" customFormat="1" ht="15" spans="2:33">
      <c r="B10" s="40" t="s">
        <v>67</v>
      </c>
      <c r="C10" s="41"/>
      <c r="D10" s="40"/>
      <c r="E10" s="42"/>
      <c r="F10" s="43" t="s">
        <v>68</v>
      </c>
      <c r="G10" s="44">
        <f>MIN(100%,SUM(G4:G9))</f>
        <v>0.735</v>
      </c>
      <c r="H10" s="43" t="s">
        <v>69</v>
      </c>
      <c r="I10" s="44">
        <f>SUM(I4:I9)</f>
        <v>3.236</v>
      </c>
      <c r="J10" s="45"/>
      <c r="K10" s="46"/>
      <c r="L10" s="40"/>
      <c r="M10" s="41"/>
      <c r="O10" s="21">
        <v>1</v>
      </c>
      <c r="P10" s="29" t="s">
        <v>70</v>
      </c>
      <c r="Q10" s="23">
        <f>27.83%*3+194.77%</f>
        <v>2.7826</v>
      </c>
      <c r="R10" s="24" t="s">
        <v>10</v>
      </c>
      <c r="S10" s="25">
        <f t="shared" si="0"/>
        <v>3209.008</v>
      </c>
      <c r="T10" s="23">
        <f t="shared" si="1"/>
        <v>2.133796875</v>
      </c>
      <c r="U10" s="23">
        <f t="shared" si="2"/>
        <v>2.23</v>
      </c>
      <c r="V10" s="26">
        <f t="shared" si="3"/>
        <v>2.64346</v>
      </c>
      <c r="W10" s="27">
        <f t="shared" si="10"/>
        <v>0.72</v>
      </c>
      <c r="X10" s="26">
        <f t="shared" si="6"/>
        <v>0.514765646166351</v>
      </c>
      <c r="Y10" s="24">
        <f t="shared" si="7"/>
        <v>0.8</v>
      </c>
      <c r="Z10" s="28">
        <v>0.7</v>
      </c>
      <c r="AA10" s="28">
        <v>0.3</v>
      </c>
      <c r="AB10" s="28">
        <v>0</v>
      </c>
      <c r="AC10" s="29">
        <f t="shared" si="5"/>
        <v>119348.539675534</v>
      </c>
    </row>
    <row r="11" s="1" customFormat="1" ht="15" spans="2:33">
      <c r="B11" s="47"/>
      <c r="C11" s="47"/>
      <c r="D11" s="1" t="s">
        <v>71</v>
      </c>
      <c r="E11" s="48">
        <v>3</v>
      </c>
      <c r="F11" s="19" t="s">
        <v>72</v>
      </c>
      <c r="G11" s="49">
        <f>MAX(0,SUM(G4:G9)-1)</f>
        <v>0</v>
      </c>
      <c r="J11" s="2"/>
      <c r="K11" s="2"/>
      <c r="O11" s="21">
        <v>1</v>
      </c>
      <c r="P11" s="29" t="s">
        <v>54</v>
      </c>
      <c r="Q11" s="23">
        <f>132.51%</f>
        <v>1.3251</v>
      </c>
      <c r="R11" s="24" t="s">
        <v>10</v>
      </c>
      <c r="S11" s="25">
        <f t="shared" si="0"/>
        <v>3209.008</v>
      </c>
      <c r="T11" s="23">
        <f t="shared" si="1"/>
        <v>2.133796875</v>
      </c>
      <c r="U11" s="23">
        <f t="shared" si="2"/>
        <v>2.23</v>
      </c>
      <c r="V11" s="26">
        <f t="shared" si="3"/>
        <v>2.64346</v>
      </c>
      <c r="W11" s="27">
        <f t="shared" si="9"/>
        <v>1.62</v>
      </c>
      <c r="X11" s="26">
        <f t="shared" si="8"/>
        <v>0.529026868996241</v>
      </c>
      <c r="Y11" s="24">
        <f t="shared" si="7"/>
        <v>0.8</v>
      </c>
      <c r="Z11" s="28">
        <v>0</v>
      </c>
      <c r="AA11" s="28">
        <v>0.3</v>
      </c>
      <c r="AB11" s="28">
        <v>0</v>
      </c>
      <c r="AC11" s="29">
        <f t="shared" si="5"/>
        <v>52336.7897316219</v>
      </c>
      <c r="AE11" s="50" t="s">
        <v>73</v>
      </c>
      <c r="AF11" s="50">
        <v>0.8</v>
      </c>
    </row>
    <row r="12" s="1" customFormat="1" ht="15" spans="2:33">
      <c r="B12" s="47"/>
      <c r="C12" s="47"/>
      <c r="E12" s="51"/>
      <c r="G12" s="52"/>
      <c r="J12" s="2"/>
      <c r="K12" s="2"/>
      <c r="O12" s="1">
        <v>1</v>
      </c>
      <c r="P12" s="29" t="s">
        <v>74</v>
      </c>
      <c r="Q12" s="23">
        <f>117.67%+205.92%+264.75%</f>
        <v>5.8834</v>
      </c>
      <c r="R12" s="24" t="s">
        <v>10</v>
      </c>
      <c r="S12" s="25">
        <f t="shared" si="0"/>
        <v>3209.008</v>
      </c>
      <c r="T12" s="23">
        <f t="shared" si="1"/>
        <v>2.133796875</v>
      </c>
      <c r="U12" s="23">
        <f t="shared" si="2"/>
        <v>2.23</v>
      </c>
      <c r="V12" s="26">
        <f t="shared" si="3"/>
        <v>2.64346</v>
      </c>
      <c r="W12" s="27">
        <f t="shared" si="9"/>
        <v>1.62</v>
      </c>
      <c r="X12" s="26">
        <f t="shared" si="8"/>
        <v>0.529026868996241</v>
      </c>
      <c r="Y12" s="24">
        <f t="shared" si="7"/>
        <v>0.8</v>
      </c>
      <c r="Z12" s="28">
        <v>0</v>
      </c>
      <c r="AA12" s="28">
        <v>0.3</v>
      </c>
      <c r="AB12" s="28">
        <v>0</v>
      </c>
      <c r="AC12" s="29">
        <f t="shared" si="5"/>
        <v>232373.608563145</v>
      </c>
      <c r="AE12" s="53" t="s">
        <v>75</v>
      </c>
      <c r="AF12" s="53">
        <v>0.8</v>
      </c>
    </row>
    <row r="13" s="1" customFormat="1" ht="15" spans="2:33">
      <c r="G13" s="2"/>
      <c r="O13" s="21">
        <v>1</v>
      </c>
      <c r="P13" s="29" t="s">
        <v>76</v>
      </c>
      <c r="Q13" s="23">
        <f>302.87%+908.61%</f>
        <v>12.1148</v>
      </c>
      <c r="R13" s="24" t="s">
        <v>10</v>
      </c>
      <c r="S13" s="25">
        <f t="shared" si="0"/>
        <v>3209.008</v>
      </c>
      <c r="T13" s="23">
        <f t="shared" si="1"/>
        <v>2.133796875</v>
      </c>
      <c r="U13" s="23">
        <f t="shared" si="2"/>
        <v>2.23</v>
      </c>
      <c r="V13" s="26">
        <f t="shared" si="3"/>
        <v>2.64346</v>
      </c>
      <c r="W13" s="27">
        <f t="shared" si="9"/>
        <v>1.62</v>
      </c>
      <c r="X13" s="26">
        <f t="shared" si="8"/>
        <v>0.529026868996241</v>
      </c>
      <c r="Y13" s="24">
        <f t="shared" si="7"/>
        <v>0.8</v>
      </c>
      <c r="Z13" s="28">
        <v>1.15</v>
      </c>
      <c r="AA13" s="28">
        <v>0.3</v>
      </c>
      <c r="AB13" s="28">
        <v>0</v>
      </c>
      <c r="AC13" s="29">
        <f t="shared" si="5"/>
        <v>1028757.78546329</v>
      </c>
      <c r="AE13" s="54" t="s">
        <v>77</v>
      </c>
      <c r="AF13" s="54">
        <v>0.8</v>
      </c>
    </row>
    <row r="14" s="1" customFormat="1" ht="15" spans="2:33">
      <c r="B14" s="104" t="s">
        <v>92</v>
      </c>
      <c r="D14" s="104"/>
      <c r="G14" s="2"/>
      <c r="O14" s="21">
        <v>1</v>
      </c>
      <c r="P14" s="29" t="s">
        <v>79</v>
      </c>
      <c r="Q14" s="23">
        <v>7.95</v>
      </c>
      <c r="R14" s="24" t="s">
        <v>80</v>
      </c>
      <c r="S14" s="25">
        <f t="shared" si="0"/>
        <v>3209.008</v>
      </c>
      <c r="T14" s="23">
        <f t="shared" si="1"/>
        <v>2.133796875</v>
      </c>
      <c r="U14" s="23">
        <f t="shared" si="2"/>
        <v>1.44</v>
      </c>
      <c r="V14" s="26">
        <f t="shared" si="3"/>
        <v>2.64346</v>
      </c>
      <c r="W14" s="27">
        <f>IF(R14=$C$1,$K$4+$K$5,$K$4)</f>
        <v>0.4</v>
      </c>
      <c r="X14" s="26">
        <f t="shared" si="6"/>
        <v>0.514765646166351</v>
      </c>
      <c r="Y14" s="24">
        <f t="shared" si="7"/>
        <v>0.8</v>
      </c>
      <c r="Z14" s="28">
        <v>0</v>
      </c>
      <c r="AA14" s="28">
        <v>0.3</v>
      </c>
      <c r="AB14" s="28">
        <v>0</v>
      </c>
      <c r="AC14" s="29">
        <f t="shared" si="5"/>
        <v>123330.765947036</v>
      </c>
      <c r="AE14" s="56" t="s">
        <v>81</v>
      </c>
      <c r="AF14" s="56">
        <v>0.8</v>
      </c>
    </row>
    <row r="15" s="1" customFormat="1" ht="12" customHeight="1" spans="2:33">
      <c r="B15" s="106"/>
      <c r="C15" s="107" t="s">
        <v>94</v>
      </c>
      <c r="D15" s="107" t="s">
        <v>95</v>
      </c>
      <c r="E15" s="107" t="s">
        <v>96</v>
      </c>
      <c r="F15" s="107" t="s">
        <v>97</v>
      </c>
      <c r="G15" s="2"/>
      <c r="O15" s="21">
        <v>1</v>
      </c>
      <c r="P15" s="58" t="s">
        <v>10</v>
      </c>
      <c r="Q15" s="23">
        <v>2.736</v>
      </c>
      <c r="R15" s="24" t="s">
        <v>10</v>
      </c>
      <c r="S15" s="25">
        <f t="shared" si="0"/>
        <v>3209.008</v>
      </c>
      <c r="T15" s="23">
        <f t="shared" si="1"/>
        <v>2.133796875</v>
      </c>
      <c r="U15" s="23">
        <f t="shared" si="2"/>
        <v>2.23</v>
      </c>
      <c r="V15" s="26">
        <f t="shared" si="3"/>
        <v>2.64346</v>
      </c>
      <c r="W15" s="27">
        <f>IF(R15=$C$1,$K$4+$K$5,$K$4)</f>
        <v>0.72</v>
      </c>
      <c r="X15" s="26">
        <f t="shared" si="6"/>
        <v>0.514765646166351</v>
      </c>
      <c r="Y15" s="24">
        <f t="shared" si="7"/>
        <v>0.8</v>
      </c>
      <c r="Z15" s="28">
        <v>0</v>
      </c>
      <c r="AA15" s="28">
        <v>0.3</v>
      </c>
      <c r="AB15" s="28">
        <v>0</v>
      </c>
      <c r="AC15" s="29">
        <f t="shared" si="5"/>
        <v>69029.3049142064</v>
      </c>
      <c r="AE15" s="59" t="s">
        <v>82</v>
      </c>
      <c r="AF15" s="60">
        <v>0.8</v>
      </c>
    </row>
    <row r="16" s="1" customFormat="1" ht="15" spans="2:33">
      <c r="B16" s="4" t="s">
        <v>0</v>
      </c>
      <c r="C16" s="115">
        <f>SUM(AC3:AC15)</f>
        <v>2470218.99408445</v>
      </c>
      <c r="D16" s="115">
        <f t="shared" ref="D16:D20" si="11">C16/$E$16</f>
        <v>98808.7597633779</v>
      </c>
      <c r="E16" s="116">
        <v>25</v>
      </c>
      <c r="F16" s="117">
        <f t="shared" ref="F16:F20" si="12">C16/$C$21</f>
        <v>0.796357011740204</v>
      </c>
      <c r="G16" s="2"/>
      <c r="AE16" s="73" t="s">
        <v>84</v>
      </c>
      <c r="AF16" s="73">
        <v>0.8</v>
      </c>
    </row>
    <row r="17" s="1" customFormat="1" ht="15" spans="2:32">
      <c r="B17" s="4" t="s">
        <v>122</v>
      </c>
      <c r="C17" s="115">
        <f>329957*1.05</f>
        <v>346454.85</v>
      </c>
      <c r="D17" s="115">
        <f t="shared" si="11"/>
        <v>13858.194</v>
      </c>
      <c r="E17" s="118"/>
      <c r="F17" s="117">
        <f t="shared" si="12"/>
        <v>0.111691210256911</v>
      </c>
      <c r="G17" s="2"/>
      <c r="O17" s="61">
        <f t="shared" ref="O17:O19" si="13">$O$20</f>
        <v>1</v>
      </c>
      <c r="P17" s="68" t="s">
        <v>89</v>
      </c>
      <c r="Q17" s="67">
        <v>18.8075</v>
      </c>
      <c r="R17" s="68" t="s">
        <v>90</v>
      </c>
      <c r="S17" s="68">
        <v>10027</v>
      </c>
      <c r="T17" s="67">
        <v>0</v>
      </c>
      <c r="U17" s="67">
        <v>0</v>
      </c>
      <c r="V17" s="70">
        <v>1</v>
      </c>
      <c r="W17" s="71">
        <v>0</v>
      </c>
      <c r="X17" s="70">
        <f t="shared" ref="X17:X20" si="14">$AF$3</f>
        <v>0.488431876606684</v>
      </c>
      <c r="Y17" s="68">
        <f t="shared" ref="Y17:Y20" si="15">$AF$18</f>
        <v>0.8</v>
      </c>
      <c r="Z17" s="72">
        <v>0</v>
      </c>
      <c r="AA17" s="72">
        <v>0</v>
      </c>
      <c r="AB17" s="63">
        <v>0.5</v>
      </c>
      <c r="AC17" s="103">
        <f t="shared" ref="AC17:AC20" si="16">Q17*S17*(1+T17)*(1+U17)*V17*(1+W17)*X17*Y17*(1+Z17)*(1+AA17)*(1+AB17)*O17</f>
        <v>110531.822544987</v>
      </c>
    </row>
    <row r="18" s="1" customFormat="1" ht="15" spans="2:32">
      <c r="B18" s="4" t="s">
        <v>123</v>
      </c>
      <c r="C18" s="115">
        <v>88210</v>
      </c>
      <c r="D18" s="115">
        <f t="shared" si="11"/>
        <v>3528.4</v>
      </c>
      <c r="E18" s="121"/>
      <c r="F18" s="117">
        <f t="shared" si="12"/>
        <v>0.0284374187769693</v>
      </c>
      <c r="G18" s="2"/>
      <c r="O18" s="32">
        <v>1</v>
      </c>
      <c r="P18" s="47" t="s">
        <v>91</v>
      </c>
      <c r="Q18" s="74">
        <v>2.9822</v>
      </c>
      <c r="R18" s="47" t="s">
        <v>90</v>
      </c>
      <c r="S18" s="47">
        <v>10027</v>
      </c>
      <c r="T18" s="74">
        <v>0</v>
      </c>
      <c r="U18" s="74">
        <v>0</v>
      </c>
      <c r="V18" s="76">
        <v>1</v>
      </c>
      <c r="W18" s="48">
        <v>0</v>
      </c>
      <c r="X18" s="76">
        <f t="shared" si="14"/>
        <v>0.488431876606684</v>
      </c>
      <c r="Y18" s="47">
        <f t="shared" si="15"/>
        <v>0.8</v>
      </c>
      <c r="Z18" s="77">
        <v>0</v>
      </c>
      <c r="AA18" s="77">
        <v>0</v>
      </c>
      <c r="AB18" s="34">
        <v>0.5</v>
      </c>
      <c r="AC18" s="103">
        <f t="shared" si="16"/>
        <v>17526.4123989717</v>
      </c>
      <c r="AE18" s="1" t="s">
        <v>87</v>
      </c>
      <c r="AF18" s="1">
        <v>0.8</v>
      </c>
    </row>
    <row r="19" s="1" customFormat="1" ht="15" spans="2:32">
      <c r="B19" s="4" t="s">
        <v>90</v>
      </c>
      <c r="C19" s="115">
        <f>SUM(AC17:AC19)</f>
        <v>128058.234943959</v>
      </c>
      <c r="D19" s="115">
        <f t="shared" si="11"/>
        <v>5122.32939775836</v>
      </c>
      <c r="E19" s="121"/>
      <c r="F19" s="117">
        <f t="shared" si="12"/>
        <v>0.0412838187840482</v>
      </c>
      <c r="G19" s="2"/>
      <c r="O19" s="32">
        <v>0</v>
      </c>
      <c r="P19" s="47" t="s">
        <v>93</v>
      </c>
      <c r="Q19" s="74">
        <v>5.9643</v>
      </c>
      <c r="R19" s="47" t="s">
        <v>90</v>
      </c>
      <c r="S19" s="47">
        <v>10027</v>
      </c>
      <c r="T19" s="74">
        <v>0</v>
      </c>
      <c r="U19" s="74">
        <v>0</v>
      </c>
      <c r="V19" s="76">
        <v>1</v>
      </c>
      <c r="W19" s="48">
        <v>0</v>
      </c>
      <c r="X19" s="76">
        <f t="shared" si="14"/>
        <v>0.488431876606684</v>
      </c>
      <c r="Y19" s="47">
        <f t="shared" si="15"/>
        <v>0.8</v>
      </c>
      <c r="Z19" s="77">
        <v>0</v>
      </c>
      <c r="AA19" s="77">
        <v>0</v>
      </c>
      <c r="AB19" s="34">
        <v>0.5</v>
      </c>
      <c r="AC19" s="105">
        <f t="shared" si="16"/>
        <v>0</v>
      </c>
    </row>
    <row r="20" s="1" customFormat="1" ht="15" spans="2:32">
      <c r="B20" s="4" t="s">
        <v>98</v>
      </c>
      <c r="C20" s="115">
        <f>AC20</f>
        <v>68956.8904884319</v>
      </c>
      <c r="D20" s="115">
        <f t="shared" si="11"/>
        <v>2758.27561953728</v>
      </c>
      <c r="E20" s="121"/>
      <c r="F20" s="117">
        <f t="shared" si="12"/>
        <v>0.0222305404418677</v>
      </c>
      <c r="G20" s="2"/>
      <c r="O20" s="19">
        <v>1</v>
      </c>
      <c r="P20" s="108" t="s">
        <v>98</v>
      </c>
      <c r="Q20" s="109">
        <v>16</v>
      </c>
      <c r="R20" s="108" t="s">
        <v>99</v>
      </c>
      <c r="S20" s="108">
        <v>10027</v>
      </c>
      <c r="T20" s="109">
        <v>0</v>
      </c>
      <c r="U20" s="109">
        <v>0</v>
      </c>
      <c r="V20" s="110">
        <v>1</v>
      </c>
      <c r="W20" s="111">
        <v>0</v>
      </c>
      <c r="X20" s="110">
        <f t="shared" si="14"/>
        <v>0.488431876606684</v>
      </c>
      <c r="Y20" s="108">
        <f t="shared" si="15"/>
        <v>0.8</v>
      </c>
      <c r="Z20" s="112">
        <v>0</v>
      </c>
      <c r="AA20" s="112">
        <v>0</v>
      </c>
      <c r="AB20" s="113">
        <v>0.1</v>
      </c>
      <c r="AC20" s="114">
        <f t="shared" si="16"/>
        <v>68956.8904884319</v>
      </c>
    </row>
    <row r="21" s="1" customFormat="1" ht="15" spans="2:32">
      <c r="B21" s="4" t="s">
        <v>105</v>
      </c>
      <c r="C21" s="145">
        <f>SUM(C16:C20)</f>
        <v>3101898.96951684</v>
      </c>
      <c r="D21" s="145">
        <f>C21/E16</f>
        <v>124075.958780674</v>
      </c>
      <c r="E21" s="146"/>
      <c r="F21" s="147"/>
      <c r="G21" s="2"/>
      <c r="Q21" s="2"/>
      <c r="U21" s="2"/>
      <c r="V21" s="3"/>
      <c r="AB21" s="4"/>
      <c r="AC21" s="4"/>
    </row>
    <row r="22" s="1" customFormat="1" spans="2:32">
      <c r="B22" s="4"/>
      <c r="C22" s="4"/>
      <c r="D22" s="4"/>
      <c r="G22" s="2"/>
      <c r="J22" s="164"/>
      <c r="N22" s="83" t="s">
        <v>101</v>
      </c>
      <c r="O22" s="85" t="s">
        <v>12</v>
      </c>
      <c r="P22" s="85"/>
      <c r="Q22" s="87"/>
      <c r="R22" s="85"/>
      <c r="S22" s="85"/>
      <c r="T22" s="85"/>
      <c r="U22" s="87"/>
      <c r="V22" s="119"/>
      <c r="W22" s="85"/>
      <c r="X22" s="85"/>
      <c r="Y22" s="85"/>
      <c r="Z22" s="85"/>
      <c r="AA22" s="85"/>
      <c r="AB22" s="86"/>
      <c r="AC22" s="120"/>
    </row>
    <row r="23" s="1" customFormat="1" ht="17.5" spans="2:32">
      <c r="B23" s="4"/>
      <c r="C23" s="4"/>
      <c r="D23" s="4"/>
      <c r="F23" s="4"/>
      <c r="G23" s="158" t="s">
        <v>5</v>
      </c>
      <c r="H23" s="158" t="s">
        <v>124</v>
      </c>
      <c r="I23" s="156" t="s">
        <v>6</v>
      </c>
      <c r="J23" s="159" t="s">
        <v>2</v>
      </c>
      <c r="N23" s="32"/>
      <c r="O23" s="47">
        <v>1</v>
      </c>
      <c r="P23" s="122" t="s">
        <v>102</v>
      </c>
      <c r="Q23" s="123">
        <f>IF(N23&gt;0,(MAX(45%,112.5%+112.5%*(N23-2))),(IF(N23&lt;=0,0)))</f>
        <v>0</v>
      </c>
      <c r="R23" s="122" t="s">
        <v>102</v>
      </c>
      <c r="S23" s="124">
        <v>3674.1</v>
      </c>
      <c r="T23" s="125">
        <v>0</v>
      </c>
      <c r="U23" s="125">
        <v>0</v>
      </c>
      <c r="V23" s="126">
        <v>1</v>
      </c>
      <c r="W23" s="127">
        <v>0</v>
      </c>
      <c r="X23" s="126">
        <f t="shared" ref="X23:X26" si="17">$AF$3</f>
        <v>0.488431876606684</v>
      </c>
      <c r="Y23" s="122">
        <f>$AF$13</f>
        <v>0.8</v>
      </c>
      <c r="Z23" s="128">
        <v>0</v>
      </c>
      <c r="AA23" s="128">
        <v>0</v>
      </c>
      <c r="AB23" s="128">
        <v>0</v>
      </c>
      <c r="AC23" s="129">
        <f t="shared" ref="AC23:AC26" si="18">Q23*S23*(1+T23)*(1+U23)*V23*(1+W23)*X23*Y23*(1+Z23)*(1+AA23)*(1+AB23)*O23</f>
        <v>0</v>
      </c>
    </row>
    <row r="24" s="1" customFormat="1" ht="15" spans="2:32">
      <c r="F24" s="4"/>
      <c r="G24" s="172" t="s">
        <v>8</v>
      </c>
      <c r="H24" s="121">
        <f>68341-800</f>
        <v>67541</v>
      </c>
      <c r="I24" s="1">
        <v>90761</v>
      </c>
      <c r="J24" s="160">
        <f>I24/H24-1</f>
        <v>0.343791178691462</v>
      </c>
      <c r="N24" s="32"/>
      <c r="O24" s="47"/>
      <c r="P24" s="130" t="s">
        <v>103</v>
      </c>
      <c r="Q24" s="131">
        <f>IF(N24=1,0.3,IF(AND(N24&gt;=2,N24&lt;=10),0.3+0.2439*(N24-1),IF(AND(N24&gt;=11),2.4951+0.8317*(N24-10),IF(AND(N24&lt;=0),0,""))))</f>
        <v>0</v>
      </c>
      <c r="R24" s="130" t="s">
        <v>103</v>
      </c>
      <c r="S24" s="132">
        <v>3674.1</v>
      </c>
      <c r="T24" s="133">
        <v>0</v>
      </c>
      <c r="U24" s="133">
        <v>0</v>
      </c>
      <c r="V24" s="134">
        <v>1</v>
      </c>
      <c r="W24" s="135">
        <v>0</v>
      </c>
      <c r="X24" s="134">
        <f t="shared" si="17"/>
        <v>0.488431876606684</v>
      </c>
      <c r="Y24" s="130">
        <f>$AF$11</f>
        <v>0.8</v>
      </c>
      <c r="Z24" s="136">
        <v>0</v>
      </c>
      <c r="AA24" s="136">
        <v>0</v>
      </c>
      <c r="AB24" s="136">
        <v>0</v>
      </c>
      <c r="AC24" s="137">
        <f t="shared" si="18"/>
        <v>0</v>
      </c>
    </row>
    <row r="25" s="1" customFormat="1" ht="15" spans="2:32">
      <c r="G25" s="121">
        <v>11</v>
      </c>
      <c r="H25" s="121">
        <f>71222-800</f>
        <v>70422</v>
      </c>
      <c r="I25" s="1">
        <v>95736</v>
      </c>
      <c r="J25" s="160">
        <f t="shared" ref="J25:J30" si="19">I25/H25-1</f>
        <v>0.359461531907642</v>
      </c>
      <c r="N25" s="32"/>
      <c r="O25" s="47">
        <v>1</v>
      </c>
      <c r="P25" s="59" t="s">
        <v>104</v>
      </c>
      <c r="Q25" s="138" t="str">
        <f>IF(N25=1,24.5%,IF(AND(10&gt;=N25,N25&gt;=2),24.5%+(N25-1)*19.9185%,IF(AND(13&gt;=N25,N25&gt;=11),203.77%+(N25-10)*(271.69%-203.77%),"")))</f>
        <v/>
      </c>
      <c r="R25" s="59" t="s">
        <v>104</v>
      </c>
      <c r="S25" s="139">
        <v>3674.1</v>
      </c>
      <c r="T25" s="140">
        <v>0</v>
      </c>
      <c r="U25" s="140">
        <v>0</v>
      </c>
      <c r="V25" s="141">
        <v>1</v>
      </c>
      <c r="W25" s="142">
        <v>0</v>
      </c>
      <c r="X25" s="141">
        <f t="shared" si="17"/>
        <v>0.488431876606684</v>
      </c>
      <c r="Y25" s="59">
        <f>$AF$15</f>
        <v>0.8</v>
      </c>
      <c r="Z25" s="143">
        <v>0</v>
      </c>
      <c r="AA25" s="143">
        <v>0</v>
      </c>
      <c r="AB25" s="143">
        <v>0</v>
      </c>
      <c r="AC25" s="144" t="e">
        <f t="shared" si="18"/>
        <v>#VALUE!</v>
      </c>
    </row>
    <row r="26" s="1" customFormat="1" ht="15" spans="2:32">
      <c r="B26" s="4"/>
      <c r="C26" s="4"/>
      <c r="D26" s="4"/>
      <c r="F26" s="4"/>
      <c r="G26" s="121">
        <v>21</v>
      </c>
      <c r="H26" s="121">
        <f>83114-800</f>
        <v>82314</v>
      </c>
      <c r="I26" s="1">
        <v>118411</v>
      </c>
      <c r="J26" s="163">
        <f t="shared" si="19"/>
        <v>0.438528075418519</v>
      </c>
      <c r="N26" s="40"/>
      <c r="O26" s="79">
        <v>1</v>
      </c>
      <c r="P26" s="148" t="s">
        <v>106</v>
      </c>
      <c r="Q26" s="149" t="str">
        <f>IF(N26=1,0.84,IF(N26=2,1.5229,IF(N26=3,2.2058,IF(N26=4,2.8888,IF(N26=5,3.5717,IF(N26=6,4.2546,IF(N26=7,4.9375,IF(N26=8,5.6204,IF(N26=9,6.3034,IF(N26=10,6.9863,IF(N26=11,9.315,IF(N26=12,11.6438,IF(N26=13,13.9726,"")))))))))))))</f>
        <v/>
      </c>
      <c r="R26" s="148" t="s">
        <v>106</v>
      </c>
      <c r="S26" s="150">
        <v>3674.1</v>
      </c>
      <c r="T26" s="151">
        <v>0</v>
      </c>
      <c r="U26" s="151">
        <v>0</v>
      </c>
      <c r="V26" s="152">
        <v>1</v>
      </c>
      <c r="W26" s="153">
        <v>0</v>
      </c>
      <c r="X26" s="152">
        <f t="shared" si="17"/>
        <v>0.488431876606684</v>
      </c>
      <c r="Y26" s="148">
        <f>$AF$16</f>
        <v>0.8</v>
      </c>
      <c r="Z26" s="154">
        <v>0</v>
      </c>
      <c r="AA26" s="154">
        <v>0</v>
      </c>
      <c r="AB26" s="154">
        <v>0</v>
      </c>
      <c r="AC26" s="155" t="e">
        <f t="shared" si="18"/>
        <v>#VALUE!</v>
      </c>
    </row>
    <row r="27" s="1" customFormat="1" ht="15" spans="2:32">
      <c r="B27" s="4"/>
      <c r="C27" s="4"/>
      <c r="D27" s="4"/>
      <c r="F27" s="4"/>
      <c r="G27" s="121">
        <v>31</v>
      </c>
      <c r="H27" s="121">
        <f>88085-800</f>
        <v>87285</v>
      </c>
      <c r="I27" s="1">
        <v>134933</v>
      </c>
      <c r="J27" s="163">
        <f t="shared" si="19"/>
        <v>0.545889900899353</v>
      </c>
      <c r="Q27" s="2"/>
      <c r="U27" s="2"/>
      <c r="V27" s="3"/>
      <c r="AB27" s="4"/>
      <c r="AC27" s="4"/>
    </row>
    <row r="28" s="1" customFormat="1" ht="15" spans="2:32">
      <c r="G28" s="121">
        <v>41</v>
      </c>
      <c r="H28" s="121">
        <v>92368</v>
      </c>
      <c r="I28" s="1">
        <v>143642</v>
      </c>
      <c r="J28" s="163">
        <f t="shared" si="19"/>
        <v>0.555105664299324</v>
      </c>
      <c r="Q28" s="2"/>
      <c r="U28" s="2"/>
      <c r="V28" s="3"/>
      <c r="AB28" s="4"/>
      <c r="AC28" s="4"/>
    </row>
    <row r="29" s="1" customFormat="1" ht="15" spans="2:32">
      <c r="B29" s="4"/>
      <c r="C29" s="4"/>
      <c r="D29" s="4"/>
      <c r="F29" s="4"/>
      <c r="G29" s="121">
        <v>51</v>
      </c>
      <c r="H29" s="121">
        <v>94374</v>
      </c>
      <c r="I29" s="1">
        <v>147079</v>
      </c>
      <c r="J29" s="163">
        <f t="shared" si="19"/>
        <v>0.55846949371649</v>
      </c>
      <c r="Q29" s="2"/>
      <c r="U29" s="2"/>
      <c r="V29" s="3"/>
      <c r="AB29" s="4"/>
      <c r="AC29" s="4"/>
    </row>
    <row r="30" s="1" customFormat="1" ht="15" spans="2:32">
      <c r="B30" s="4"/>
      <c r="C30" s="4"/>
      <c r="D30" s="4"/>
      <c r="F30" s="4"/>
      <c r="G30" s="121">
        <v>61</v>
      </c>
      <c r="H30" s="121">
        <v>124076</v>
      </c>
      <c r="I30" s="1">
        <v>224220</v>
      </c>
      <c r="J30" s="161">
        <f t="shared" si="19"/>
        <v>0.807118217866469</v>
      </c>
      <c r="Q30" s="2"/>
      <c r="U30" s="2"/>
      <c r="V30" s="3"/>
      <c r="AB30" s="4"/>
      <c r="AC30" s="4"/>
    </row>
    <row r="31" s="1" customFormat="1" ht="15" spans="2:32">
      <c r="G31" s="121">
        <v>65</v>
      </c>
      <c r="I31" s="1">
        <v>267499</v>
      </c>
      <c r="Q31" s="2"/>
      <c r="U31" s="2"/>
      <c r="V31" s="3"/>
      <c r="AB31" s="4"/>
      <c r="AC31" s="4"/>
    </row>
    <row r="32" s="1" customFormat="1" spans="2:32">
      <c r="B32" s="4"/>
      <c r="C32" s="4"/>
      <c r="D32" s="4"/>
      <c r="F32" s="4"/>
      <c r="G32" s="2"/>
      <c r="Q32" s="2"/>
      <c r="U32" s="2"/>
      <c r="V32" s="3"/>
      <c r="AB32" s="4"/>
      <c r="AC32" s="4"/>
    </row>
    <row r="33" s="1" customFormat="1" spans="2:29">
      <c r="B33" s="4"/>
      <c r="C33" s="4"/>
      <c r="D33" s="4"/>
      <c r="G33" s="2"/>
      <c r="Q33" s="2"/>
      <c r="U33" s="2"/>
      <c r="V33" s="3"/>
      <c r="AB33" s="4"/>
      <c r="AC33" s="4"/>
    </row>
    <row r="34" s="1" customFormat="1" spans="2:29">
      <c r="G34" s="2"/>
      <c r="Q34" s="2"/>
      <c r="U34" s="2"/>
      <c r="V34" s="3"/>
      <c r="AB34" s="4"/>
      <c r="AC34" s="4"/>
    </row>
    <row r="35" s="1" customFormat="1" spans="2:29">
      <c r="B35" s="4"/>
      <c r="C35" s="4"/>
      <c r="D35" s="4"/>
      <c r="G35" s="2"/>
      <c r="Q35" s="2"/>
      <c r="U35" s="2"/>
      <c r="V35" s="3"/>
      <c r="AB35" s="4"/>
      <c r="AC35" s="4"/>
    </row>
    <row r="36" s="1" customFormat="1" spans="2:29">
      <c r="G36" s="2"/>
      <c r="Q36" s="2"/>
      <c r="U36" s="2"/>
      <c r="V36" s="3"/>
      <c r="AB36" s="4"/>
      <c r="AC36" s="4"/>
    </row>
    <row r="37" s="1" customFormat="1" spans="2:29">
      <c r="G37" s="2"/>
      <c r="H37" s="1"/>
      <c r="I37" s="1"/>
      <c r="J37" s="1"/>
      <c r="K37" s="1"/>
      <c r="L37" s="1"/>
      <c r="M37" s="1"/>
      <c r="Q37" s="2"/>
      <c r="U37" s="2"/>
      <c r="V37" s="3"/>
      <c r="AB37" s="4"/>
      <c r="AC37" s="4"/>
    </row>
    <row r="38" s="1" customFormat="1" spans="2:29">
      <c r="G38" s="2"/>
      <c r="H38" s="1"/>
      <c r="I38" s="1"/>
      <c r="J38" s="1"/>
      <c r="K38" s="1"/>
      <c r="L38" s="1"/>
      <c r="M38" s="1"/>
      <c r="Q38" s="2"/>
      <c r="U38" s="2"/>
      <c r="V38" s="3"/>
      <c r="AB38" s="4"/>
      <c r="AC38" s="4"/>
    </row>
    <row r="39" s="1" customFormat="1" spans="2:29">
      <c r="G39" s="2"/>
      <c r="H39" s="1"/>
      <c r="I39" s="1"/>
      <c r="J39" s="1"/>
      <c r="K39" s="1"/>
      <c r="L39" s="1"/>
      <c r="M39" s="1"/>
      <c r="Q39" s="2"/>
      <c r="U39" s="2"/>
      <c r="V39" s="3"/>
      <c r="AB39" s="4"/>
      <c r="AC39" s="4"/>
    </row>
    <row r="40" s="1" customFormat="1" spans="2:29">
      <c r="G40" s="2"/>
      <c r="H40" s="1"/>
      <c r="I40" s="1"/>
      <c r="J40" s="1"/>
      <c r="K40" s="1"/>
      <c r="L40" s="1"/>
      <c r="M40" s="1"/>
      <c r="Q40" s="2"/>
      <c r="U40" s="2"/>
      <c r="V40" s="3"/>
      <c r="AB40" s="4"/>
      <c r="AC40" s="4"/>
    </row>
    <row r="41" s="1" customFormat="1" spans="2:29">
      <c r="G41" s="2"/>
      <c r="H41" s="1"/>
      <c r="I41" s="1"/>
      <c r="J41" s="1"/>
      <c r="K41" s="1"/>
      <c r="L41" s="1"/>
      <c r="M41" s="1"/>
      <c r="Q41" s="2"/>
      <c r="U41" s="2"/>
      <c r="V41" s="3"/>
      <c r="AB41" s="4"/>
      <c r="AC41" s="4"/>
    </row>
    <row r="42" s="1" customFormat="1" spans="2:29">
      <c r="G42" s="2"/>
      <c r="H42" s="1"/>
      <c r="I42" s="1"/>
      <c r="J42" s="1"/>
      <c r="K42" s="1"/>
      <c r="L42" s="1"/>
      <c r="M42" s="1"/>
      <c r="N42" s="1"/>
      <c r="O42" s="1"/>
      <c r="P42" s="1"/>
      <c r="Q42" s="2"/>
      <c r="R42" s="1"/>
      <c r="S42" s="1"/>
      <c r="T42" s="1"/>
      <c r="U42" s="2"/>
      <c r="V42" s="3"/>
      <c r="W42" s="1"/>
      <c r="X42" s="1"/>
      <c r="Y42" s="1"/>
      <c r="Z42" s="1"/>
      <c r="AA42" s="1"/>
      <c r="AB42" s="4"/>
      <c r="AC42" s="4"/>
    </row>
    <row r="43" s="1" customFormat="1" spans="2:29">
      <c r="G43" s="2"/>
      <c r="H43" s="1"/>
      <c r="I43" s="1"/>
      <c r="J43" s="1"/>
      <c r="K43" s="1"/>
      <c r="L43" s="1"/>
      <c r="M43" s="1"/>
      <c r="N43" s="1"/>
      <c r="O43" s="1"/>
      <c r="P43" s="1"/>
      <c r="Q43" s="2"/>
      <c r="R43" s="1"/>
      <c r="S43" s="1"/>
      <c r="T43" s="1"/>
      <c r="U43" s="2"/>
      <c r="V43" s="3"/>
      <c r="W43" s="1"/>
      <c r="X43" s="1"/>
      <c r="Y43" s="1"/>
      <c r="Z43" s="1"/>
      <c r="AA43" s="1"/>
      <c r="AB43" s="4"/>
      <c r="AC43" s="4"/>
    </row>
    <row r="44" s="1" customFormat="1" spans="2:29">
      <c r="G44" s="2"/>
      <c r="H44" s="1"/>
      <c r="I44" s="1"/>
      <c r="J44" s="1"/>
      <c r="K44" s="1"/>
      <c r="L44" s="1"/>
      <c r="M44" s="1"/>
      <c r="N44" s="1"/>
      <c r="O44" s="1"/>
      <c r="P44" s="1"/>
      <c r="Q44" s="2"/>
      <c r="R44" s="1"/>
      <c r="S44" s="1"/>
      <c r="T44" s="1"/>
      <c r="U44" s="2"/>
      <c r="V44" s="3"/>
      <c r="W44" s="1"/>
      <c r="X44" s="1"/>
      <c r="Y44" s="1"/>
      <c r="Z44" s="1"/>
      <c r="AA44" s="1"/>
      <c r="AB44" s="4"/>
      <c r="AC44" s="4"/>
    </row>
    <row r="45" s="1" customFormat="1" spans="2:29">
      <c r="G45" s="2"/>
      <c r="H45" s="1"/>
      <c r="I45" s="1"/>
      <c r="J45" s="1"/>
      <c r="K45" s="1"/>
      <c r="L45" s="1"/>
      <c r="M45" s="1"/>
      <c r="N45" s="1"/>
      <c r="O45" s="1"/>
      <c r="P45" s="1"/>
      <c r="Q45" s="2"/>
      <c r="R45" s="1"/>
      <c r="S45" s="1"/>
      <c r="T45" s="1"/>
      <c r="U45" s="2"/>
      <c r="V45" s="3"/>
      <c r="W45" s="1"/>
      <c r="X45" s="1"/>
      <c r="Y45" s="1"/>
      <c r="Z45" s="1"/>
      <c r="AA45" s="1"/>
      <c r="AB45" s="4"/>
      <c r="AC45" s="4"/>
    </row>
    <row r="46" s="1" customFormat="1" spans="2:29">
      <c r="G46" s="2"/>
      <c r="H46" s="1"/>
      <c r="I46" s="1"/>
      <c r="J46" s="1"/>
      <c r="K46" s="1"/>
      <c r="L46" s="1"/>
      <c r="M46" s="1"/>
      <c r="N46" s="1"/>
      <c r="O46" s="1"/>
      <c r="P46" s="1"/>
      <c r="Q46" s="2"/>
      <c r="R46" s="1"/>
      <c r="S46" s="1"/>
      <c r="T46" s="1"/>
      <c r="U46" s="2"/>
      <c r="V46" s="3"/>
      <c r="W46" s="1"/>
      <c r="X46" s="1"/>
      <c r="Y46" s="1"/>
      <c r="Z46" s="1"/>
      <c r="AA46" s="1"/>
      <c r="AB46" s="4"/>
      <c r="AC46" s="4"/>
    </row>
    <row r="47" s="1" customFormat="1" spans="2:29">
      <c r="G47" s="2"/>
      <c r="H47" s="1"/>
      <c r="I47" s="1"/>
      <c r="J47" s="1"/>
      <c r="K47" s="1"/>
      <c r="L47" s="1"/>
      <c r="M47" s="1"/>
      <c r="N47" s="1"/>
      <c r="O47" s="1"/>
      <c r="P47" s="1"/>
      <c r="Q47" s="2"/>
      <c r="R47" s="1"/>
      <c r="S47" s="1"/>
      <c r="T47" s="1"/>
      <c r="U47" s="2"/>
      <c r="V47" s="3"/>
      <c r="W47" s="1"/>
      <c r="X47" s="1"/>
      <c r="Y47" s="1"/>
      <c r="Z47" s="1"/>
      <c r="AA47" s="1"/>
      <c r="AB47" s="4"/>
      <c r="AC47" s="4"/>
    </row>
    <row r="48" s="1" customFormat="1" spans="2:29">
      <c r="G48" s="2"/>
      <c r="H48" s="1"/>
      <c r="I48" s="1"/>
      <c r="J48" s="1"/>
      <c r="K48" s="1"/>
      <c r="L48" s="1"/>
      <c r="M48" s="1"/>
      <c r="N48" s="1"/>
      <c r="O48" s="1"/>
      <c r="P48" s="1"/>
      <c r="Q48" s="2"/>
      <c r="R48" s="1"/>
      <c r="S48" s="1"/>
      <c r="T48" s="1"/>
      <c r="U48" s="2"/>
      <c r="V48" s="3"/>
      <c r="W48" s="1"/>
      <c r="X48" s="1"/>
      <c r="Y48" s="1"/>
      <c r="Z48" s="1"/>
      <c r="AA48" s="1"/>
      <c r="AB48" s="4"/>
      <c r="AC48" s="4"/>
    </row>
    <row r="49" s="1" customFormat="1" spans="7:29">
      <c r="G49" s="2"/>
      <c r="H49" s="1"/>
      <c r="I49" s="1"/>
      <c r="J49" s="1"/>
      <c r="K49" s="1"/>
      <c r="L49" s="1"/>
      <c r="M49" s="1"/>
      <c r="N49" s="1"/>
      <c r="O49" s="1"/>
      <c r="P49" s="1"/>
      <c r="Q49" s="2"/>
      <c r="R49" s="1"/>
      <c r="S49" s="1"/>
      <c r="T49" s="1"/>
      <c r="U49" s="2"/>
      <c r="V49" s="3"/>
      <c r="W49" s="1"/>
      <c r="X49" s="1"/>
      <c r="Y49" s="1"/>
      <c r="Z49" s="1"/>
      <c r="AA49" s="1"/>
      <c r="AB49" s="4"/>
      <c r="AC49" s="4"/>
    </row>
    <row r="50" s="1" customFormat="1" spans="7:29">
      <c r="G50" s="2"/>
      <c r="H50" s="1"/>
      <c r="I50" s="1"/>
      <c r="J50" s="1"/>
      <c r="K50" s="1"/>
      <c r="L50" s="1"/>
      <c r="M50" s="1"/>
      <c r="N50" s="1"/>
      <c r="O50" s="1"/>
      <c r="P50" s="1"/>
      <c r="Q50" s="2"/>
      <c r="R50" s="1"/>
      <c r="S50" s="1"/>
      <c r="T50" s="1"/>
      <c r="U50" s="2"/>
      <c r="V50" s="3"/>
      <c r="W50" s="1"/>
      <c r="X50" s="1"/>
      <c r="Y50" s="1"/>
      <c r="Z50" s="1"/>
      <c r="AA50" s="1"/>
      <c r="AB50" s="4"/>
      <c r="AC50" s="4"/>
    </row>
    <row r="51" s="1" customFormat="1" spans="7:29">
      <c r="G51" s="2"/>
      <c r="H51" s="1"/>
      <c r="I51" s="1"/>
      <c r="J51" s="1"/>
      <c r="K51" s="1"/>
      <c r="L51" s="1"/>
      <c r="M51" s="1"/>
      <c r="N51" s="1"/>
      <c r="O51" s="1"/>
      <c r="P51" s="1"/>
      <c r="Q51" s="2"/>
      <c r="R51" s="1"/>
      <c r="S51" s="1"/>
      <c r="T51" s="1"/>
      <c r="U51" s="2"/>
      <c r="V51" s="3"/>
      <c r="W51" s="1"/>
      <c r="X51" s="1"/>
      <c r="Y51" s="1"/>
      <c r="Z51" s="1"/>
      <c r="AA51" s="1"/>
      <c r="AB51" s="4"/>
      <c r="AC51" s="4"/>
    </row>
    <row r="52" s="1" customFormat="1" spans="7:29">
      <c r="G52" s="2"/>
      <c r="H52" s="1"/>
      <c r="I52" s="1"/>
      <c r="J52" s="1"/>
      <c r="K52" s="1"/>
      <c r="L52" s="1"/>
      <c r="M52" s="1"/>
      <c r="N52" s="1"/>
      <c r="O52" s="1"/>
      <c r="P52" s="1"/>
      <c r="Q52" s="2"/>
      <c r="R52" s="1"/>
      <c r="S52" s="1"/>
      <c r="T52" s="1"/>
      <c r="U52" s="2"/>
      <c r="V52" s="3"/>
      <c r="W52" s="1"/>
      <c r="X52" s="1"/>
      <c r="Y52" s="1"/>
      <c r="Z52" s="1"/>
      <c r="AA52" s="1"/>
      <c r="AB52" s="4"/>
      <c r="AC52" s="4"/>
    </row>
    <row r="53" s="1" customFormat="1" spans="7:29">
      <c r="G53" s="2"/>
      <c r="H53" s="1"/>
      <c r="I53" s="1"/>
      <c r="J53" s="1"/>
      <c r="K53" s="1"/>
      <c r="L53" s="1"/>
      <c r="M53" s="1"/>
      <c r="N53" s="1"/>
      <c r="O53" s="1"/>
      <c r="P53" s="1"/>
      <c r="Q53" s="2"/>
      <c r="R53" s="1"/>
      <c r="S53" s="1"/>
      <c r="T53" s="1"/>
      <c r="U53" s="2"/>
      <c r="V53" s="3"/>
      <c r="W53" s="1"/>
      <c r="X53" s="1"/>
      <c r="Y53" s="1"/>
      <c r="Z53" s="1"/>
      <c r="AA53" s="1"/>
      <c r="AB53" s="4"/>
      <c r="AC53" s="4"/>
    </row>
    <row r="54" s="1" customFormat="1" spans="7:29">
      <c r="G54" s="2"/>
      <c r="H54" s="1"/>
      <c r="I54" s="1"/>
      <c r="J54" s="1"/>
      <c r="K54" s="1"/>
      <c r="L54" s="1"/>
      <c r="M54" s="1"/>
      <c r="N54" s="1"/>
      <c r="O54" s="1"/>
      <c r="P54" s="1"/>
      <c r="Q54" s="2"/>
      <c r="R54" s="1"/>
      <c r="S54" s="1"/>
      <c r="T54" s="1"/>
      <c r="U54" s="2"/>
      <c r="V54" s="3"/>
      <c r="W54" s="1"/>
      <c r="X54" s="1"/>
      <c r="Y54" s="1"/>
      <c r="Z54" s="1"/>
      <c r="AA54" s="1"/>
      <c r="AB54" s="4"/>
      <c r="AC54" s="4"/>
    </row>
    <row r="55" s="1" customFormat="1" spans="7:29">
      <c r="G55" s="2"/>
      <c r="H55" s="1"/>
      <c r="I55" s="1"/>
      <c r="J55" s="1"/>
      <c r="K55" s="1"/>
      <c r="L55" s="1"/>
      <c r="M55" s="1"/>
      <c r="N55" s="1"/>
      <c r="O55" s="1"/>
      <c r="P55" s="1"/>
      <c r="Q55" s="2"/>
      <c r="R55" s="1"/>
      <c r="S55" s="1"/>
      <c r="T55" s="1"/>
      <c r="U55" s="2"/>
      <c r="V55" s="3"/>
      <c r="W55" s="1"/>
      <c r="X55" s="1"/>
      <c r="Y55" s="1"/>
      <c r="Z55" s="1"/>
      <c r="AA55" s="1"/>
      <c r="AB55" s="4"/>
      <c r="AC55" s="4"/>
    </row>
    <row r="56" s="1" customFormat="1" spans="7:29">
      <c r="G56" s="2"/>
      <c r="H56" s="1"/>
      <c r="I56" s="1"/>
      <c r="J56" s="1"/>
      <c r="K56" s="1"/>
      <c r="L56" s="1"/>
      <c r="M56" s="1"/>
      <c r="N56" s="1"/>
      <c r="O56" s="1"/>
      <c r="P56" s="1"/>
      <c r="Q56" s="2"/>
      <c r="R56" s="1"/>
      <c r="S56" s="1"/>
      <c r="T56" s="1"/>
      <c r="U56" s="2"/>
      <c r="V56" s="3"/>
      <c r="W56" s="1"/>
      <c r="X56" s="1"/>
      <c r="Y56" s="1"/>
      <c r="Z56" s="1"/>
      <c r="AA56" s="1"/>
      <c r="AB56" s="4"/>
      <c r="AC56" s="4"/>
    </row>
    <row r="57" s="1" customFormat="1" spans="7:29">
      <c r="G57" s="2"/>
      <c r="H57" s="1"/>
      <c r="I57" s="1"/>
      <c r="J57" s="1"/>
      <c r="K57" s="1"/>
      <c r="L57" s="1"/>
      <c r="M57" s="1"/>
      <c r="N57" s="1"/>
      <c r="O57" s="1"/>
      <c r="P57" s="1"/>
      <c r="Q57" s="2"/>
      <c r="R57" s="1"/>
      <c r="S57" s="1"/>
      <c r="T57" s="1"/>
      <c r="U57" s="2"/>
      <c r="V57" s="3"/>
      <c r="W57" s="1"/>
      <c r="X57" s="1"/>
      <c r="Y57" s="1"/>
      <c r="Z57" s="1"/>
      <c r="AA57" s="1"/>
      <c r="AB57" s="4"/>
      <c r="AC57" s="4"/>
    </row>
    <row r="58" s="1" customFormat="1" spans="7:29">
      <c r="G58" s="2"/>
      <c r="H58" s="1"/>
      <c r="I58" s="1"/>
      <c r="J58" s="1"/>
      <c r="K58" s="1"/>
      <c r="L58" s="1"/>
      <c r="M58" s="1"/>
      <c r="N58" s="1"/>
      <c r="O58" s="1"/>
      <c r="P58" s="1"/>
      <c r="Q58" s="2"/>
      <c r="R58" s="1"/>
      <c r="S58" s="1"/>
      <c r="T58" s="1"/>
      <c r="U58" s="2"/>
      <c r="V58" s="3"/>
      <c r="W58" s="1"/>
      <c r="X58" s="1"/>
      <c r="Y58" s="1"/>
      <c r="Z58" s="1"/>
      <c r="AA58" s="1"/>
      <c r="AB58" s="4"/>
      <c r="AC58" s="4"/>
    </row>
    <row r="59" s="1" customFormat="1" spans="7:29">
      <c r="G59" s="2"/>
      <c r="H59" s="1"/>
      <c r="I59" s="1"/>
      <c r="J59" s="1"/>
      <c r="K59" s="1"/>
      <c r="L59" s="1"/>
      <c r="M59" s="1"/>
      <c r="N59" s="1"/>
      <c r="O59" s="1"/>
      <c r="P59" s="1"/>
      <c r="Q59" s="2"/>
      <c r="R59" s="1"/>
      <c r="S59" s="1"/>
      <c r="T59" s="1"/>
      <c r="U59" s="2"/>
      <c r="V59" s="3"/>
      <c r="W59" s="1"/>
      <c r="X59" s="1"/>
      <c r="Y59" s="1"/>
      <c r="Z59" s="1"/>
      <c r="AA59" s="1"/>
      <c r="AB59" s="4"/>
      <c r="AC59" s="4"/>
    </row>
  </sheetData>
  <mergeCells count="7">
    <mergeCell ref="B2:M2"/>
    <mergeCell ref="B3:C3"/>
    <mergeCell ref="D3:E3"/>
    <mergeCell ref="F3:G3"/>
    <mergeCell ref="H3:I3"/>
    <mergeCell ref="J3:K3"/>
    <mergeCell ref="L3:M3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G60"/>
  <sheetViews>
    <sheetView topLeftCell="A31" workbookViewId="0">
      <selection activeCell="AF3" sqref="AF3"/>
    </sheetView>
  </sheetViews>
  <sheetFormatPr defaultColWidth="9.69090909090909" defaultRowHeight="14"/>
  <cols>
    <col min="1" max="1" width="9.69090909090909" style="1"/>
    <col min="2" max="2" width="15.4545454545455" style="1" customWidth="1"/>
    <col min="3" max="3" width="10" style="1" customWidth="1"/>
    <col min="4" max="4" width="11.8181818181818" style="1" customWidth="1"/>
    <col min="5" max="5" width="5.54545454545455" style="1" customWidth="1"/>
    <col min="6" max="6" width="11.8181818181818" style="1" customWidth="1"/>
    <col min="7" max="7" width="7.54545454545455" style="2" customWidth="1"/>
    <col min="8" max="8" width="14" style="1" customWidth="1"/>
    <col min="9" max="9" width="8.54545454545454" style="1" customWidth="1"/>
    <col min="10" max="10" width="11.8181818181818" style="1" customWidth="1"/>
    <col min="11" max="11" width="4.54545454545455" style="1" customWidth="1"/>
    <col min="12" max="12" width="9.54545454545454" style="1" customWidth="1"/>
    <col min="13" max="13" width="7.54545454545455" style="1" customWidth="1"/>
    <col min="14" max="14" width="5.54545454545455" style="1" customWidth="1"/>
    <col min="15" max="15" width="6.27272727272727" style="1" customWidth="1"/>
    <col min="16" max="16" width="21.2727272727273" style="1" customWidth="1"/>
    <col min="17" max="17" width="9.54545454545454" style="2" customWidth="1"/>
    <col min="18" max="18" width="6.27272727272727" style="1" customWidth="1"/>
    <col min="19" max="19" width="11" style="1" customWidth="1"/>
    <col min="20" max="20" width="8.54545454545454" style="1" customWidth="1"/>
    <col min="21" max="21" width="8.54545454545454" style="2" customWidth="1"/>
    <col min="22" max="22" width="8.54545454545454" style="3" customWidth="1"/>
    <col min="23" max="25" width="8.54545454545454" style="1" customWidth="1"/>
    <col min="26" max="26" width="11" style="1" customWidth="1"/>
    <col min="27" max="27" width="8.54545454545454" style="1" customWidth="1"/>
    <col min="28" max="28" width="11" style="4" customWidth="1"/>
    <col min="29" max="29" width="10" style="4" customWidth="1"/>
    <col min="30" max="30" width="9.54545454545454" style="1" customWidth="1"/>
    <col min="31" max="31" width="5.54545454545455" style="1" customWidth="1"/>
    <col min="32" max="32" width="8.54545454545454" style="1" customWidth="1"/>
    <col min="33" max="33" width="9.54545454545454" style="1" customWidth="1"/>
    <col min="34" max="16384" width="9.69090909090909" style="1"/>
  </cols>
  <sheetData>
    <row r="1" s="1" customFormat="1" ht="14.75" spans="2:33">
      <c r="B1" s="5" t="s">
        <v>9</v>
      </c>
      <c r="C1" s="5" t="s">
        <v>10</v>
      </c>
      <c r="D1" s="6" t="s">
        <v>11</v>
      </c>
      <c r="E1" s="6">
        <v>1</v>
      </c>
      <c r="Q1" s="2">
        <f>SUM(Q3:Q15)</f>
        <v>65.4332</v>
      </c>
      <c r="U1" s="2"/>
      <c r="V1" s="3"/>
      <c r="AB1" s="4"/>
      <c r="AC1" s="4"/>
    </row>
    <row r="2" s="1" customFormat="1" ht="15.75" spans="2:33">
      <c r="B2" s="7" t="s">
        <v>0</v>
      </c>
      <c r="C2" s="8"/>
      <c r="D2" s="8"/>
      <c r="E2" s="8"/>
      <c r="F2" s="8"/>
      <c r="G2" s="8"/>
      <c r="H2" s="8"/>
      <c r="I2" s="8"/>
      <c r="J2" s="8"/>
      <c r="K2" s="8"/>
      <c r="L2" s="8"/>
      <c r="M2" s="9"/>
      <c r="O2" s="10" t="s">
        <v>12</v>
      </c>
      <c r="P2" s="11" t="s">
        <v>13</v>
      </c>
      <c r="Q2" s="12" t="s">
        <v>14</v>
      </c>
      <c r="R2" s="11" t="s">
        <v>15</v>
      </c>
      <c r="S2" s="11" t="s">
        <v>16</v>
      </c>
      <c r="T2" s="11" t="s">
        <v>17</v>
      </c>
      <c r="U2" s="12" t="s">
        <v>18</v>
      </c>
      <c r="V2" s="13" t="s">
        <v>19</v>
      </c>
      <c r="W2" s="11" t="s">
        <v>20</v>
      </c>
      <c r="X2" s="11" t="s">
        <v>21</v>
      </c>
      <c r="Y2" s="11" t="s">
        <v>22</v>
      </c>
      <c r="Z2" s="11" t="s">
        <v>23</v>
      </c>
      <c r="AA2" s="11" t="s">
        <v>24</v>
      </c>
      <c r="AB2" s="14" t="s">
        <v>25</v>
      </c>
      <c r="AC2" s="15" t="s">
        <v>26</v>
      </c>
      <c r="AD2" s="17" t="s">
        <v>29</v>
      </c>
      <c r="AE2" s="17" t="s">
        <v>30</v>
      </c>
      <c r="AF2" s="18" t="s">
        <v>21</v>
      </c>
      <c r="AG2" s="18" t="s">
        <v>31</v>
      </c>
    </row>
    <row r="3" s="1" customFormat="1" ht="15" spans="2:33">
      <c r="B3" s="19" t="s">
        <v>32</v>
      </c>
      <c r="C3" s="20"/>
      <c r="D3" s="19" t="s">
        <v>18</v>
      </c>
      <c r="E3" s="20"/>
      <c r="F3" s="19" t="s">
        <v>33</v>
      </c>
      <c r="G3" s="20"/>
      <c r="H3" s="19" t="s">
        <v>34</v>
      </c>
      <c r="I3" s="20"/>
      <c r="J3" s="19" t="s">
        <v>20</v>
      </c>
      <c r="K3" s="20"/>
      <c r="L3" s="19" t="s">
        <v>35</v>
      </c>
      <c r="M3" s="20"/>
      <c r="O3" s="21">
        <v>1</v>
      </c>
      <c r="P3" s="22" t="s">
        <v>36</v>
      </c>
      <c r="Q3" s="23">
        <f>163.42%</f>
        <v>1.6342</v>
      </c>
      <c r="R3" s="24" t="s">
        <v>37</v>
      </c>
      <c r="S3" s="25">
        <f t="shared" ref="S3:S15" si="0">$C$4*(1+C$5+C$6+C$7+C$8)+C$9</f>
        <v>3280.688</v>
      </c>
      <c r="T3" s="23">
        <f t="shared" ref="T3:T15" si="1">($C$5+$C$6+$C$7+$C$8)+($C$9+$C$10)/$C$4</f>
        <v>2.203796875</v>
      </c>
      <c r="U3" s="23">
        <f t="shared" ref="U3:U15" si="2">IF(R3=$C$1,SUM($E$4:$E$9),SUM($E$4:$E$8))</f>
        <v>0.97</v>
      </c>
      <c r="V3" s="26">
        <f t="shared" ref="V3:V15" si="3">1+$G$10*($I$10-1)</f>
        <v>3.13796</v>
      </c>
      <c r="W3" s="27">
        <f t="shared" ref="W3:W6" si="4">IF(R3=$C$1,$K$4+$K$5,$K$4)</f>
        <v>0.15</v>
      </c>
      <c r="X3" s="26">
        <f t="shared" ref="X3:X15" si="5">$AF$4</f>
        <v>0.514765646166351</v>
      </c>
      <c r="Y3" s="24">
        <f t="shared" ref="Y3:Y15" si="6">$AF$11</f>
        <v>0.8</v>
      </c>
      <c r="Z3" s="28">
        <v>0</v>
      </c>
      <c r="AA3" s="28">
        <v>0</v>
      </c>
      <c r="AB3" s="28">
        <v>0.3</v>
      </c>
      <c r="AC3" s="29">
        <f t="shared" ref="AC3:AC15" si="7">Q3*$C$4*(1+T3)*(1+U3)*V3*(1+W3)*X3*Y3*(1+Z3)*(1+AA3)*(1+AB3)*O3</f>
        <v>20404.4315913098</v>
      </c>
      <c r="AD3" s="17">
        <v>0</v>
      </c>
      <c r="AE3" s="17">
        <v>0</v>
      </c>
      <c r="AF3" s="18">
        <f t="shared" ref="AF3:AF8" si="8">1520/(1520+(792+8*AG3)*(1-AE3/100))</f>
        <v>0.488431876606684</v>
      </c>
      <c r="AG3" s="31">
        <v>100</v>
      </c>
    </row>
    <row r="4" s="1" customFormat="1" ht="15" spans="2:33">
      <c r="B4" s="32" t="s">
        <v>38</v>
      </c>
      <c r="C4" s="33">
        <f>437+587</f>
        <v>1024</v>
      </c>
      <c r="D4" s="32" t="s">
        <v>39</v>
      </c>
      <c r="E4" s="34">
        <f>E1*30%</f>
        <v>0.3</v>
      </c>
      <c r="F4" s="32" t="s">
        <v>40</v>
      </c>
      <c r="G4" s="35">
        <v>0.13</v>
      </c>
      <c r="H4" s="32" t="s">
        <v>40</v>
      </c>
      <c r="I4" s="35">
        <v>1.5</v>
      </c>
      <c r="J4" s="36" t="s">
        <v>41</v>
      </c>
      <c r="K4" s="34">
        <v>0.15</v>
      </c>
      <c r="L4" s="32" t="s">
        <v>42</v>
      </c>
      <c r="M4" s="35">
        <f>8.6%*2</f>
        <v>0.172</v>
      </c>
      <c r="O4" s="21">
        <v>1</v>
      </c>
      <c r="P4" s="29" t="s">
        <v>43</v>
      </c>
      <c r="Q4" s="23">
        <f>50.34%*2+33.41%*3+51.7%*4</f>
        <v>4.0771</v>
      </c>
      <c r="R4" s="24" t="s">
        <v>44</v>
      </c>
      <c r="S4" s="25">
        <f t="shared" si="0"/>
        <v>3280.688</v>
      </c>
      <c r="T4" s="23">
        <f t="shared" si="1"/>
        <v>2.203796875</v>
      </c>
      <c r="U4" s="23">
        <f t="shared" si="2"/>
        <v>0.97</v>
      </c>
      <c r="V4" s="26">
        <f t="shared" si="3"/>
        <v>3.13796</v>
      </c>
      <c r="W4" s="27">
        <f t="shared" si="4"/>
        <v>0.15</v>
      </c>
      <c r="X4" s="26">
        <f t="shared" si="5"/>
        <v>0.514765646166351</v>
      </c>
      <c r="Y4" s="24">
        <f t="shared" si="6"/>
        <v>0.8</v>
      </c>
      <c r="Z4" s="28">
        <v>0</v>
      </c>
      <c r="AA4" s="28">
        <v>0</v>
      </c>
      <c r="AB4" s="28">
        <v>0.3</v>
      </c>
      <c r="AC4" s="29">
        <f t="shared" si="7"/>
        <v>50906.1975528879</v>
      </c>
      <c r="AD4" s="17">
        <v>10</v>
      </c>
      <c r="AE4" s="17"/>
      <c r="AF4" s="18">
        <f>1520/(1520+(792+8*AG4)*(1-AE4/100)*(1-AD4/100))</f>
        <v>0.514765646166351</v>
      </c>
      <c r="AG4" s="31">
        <v>100</v>
      </c>
    </row>
    <row r="5" s="1" customFormat="1" ht="15" spans="2:33">
      <c r="B5" s="32" t="s">
        <v>45</v>
      </c>
      <c r="C5" s="34">
        <f>12%+12%</f>
        <v>0.24</v>
      </c>
      <c r="D5" s="32" t="s">
        <v>46</v>
      </c>
      <c r="E5" s="34">
        <f>12%+25%</f>
        <v>0.37</v>
      </c>
      <c r="F5" s="32" t="s">
        <v>47</v>
      </c>
      <c r="G5" s="35"/>
      <c r="H5" s="32" t="s">
        <v>47</v>
      </c>
      <c r="I5" s="35">
        <v>0.486</v>
      </c>
      <c r="J5" s="37" t="s">
        <v>48</v>
      </c>
      <c r="K5" s="34">
        <v>0.32</v>
      </c>
      <c r="L5" s="32" t="s">
        <v>49</v>
      </c>
      <c r="M5" s="35">
        <f>9.2%*2</f>
        <v>0.184</v>
      </c>
      <c r="O5" s="21">
        <v>1</v>
      </c>
      <c r="P5" s="29" t="s">
        <v>50</v>
      </c>
      <c r="Q5" s="23">
        <f>28.81%*4+172.85%</f>
        <v>2.8809</v>
      </c>
      <c r="R5" s="24" t="s">
        <v>10</v>
      </c>
      <c r="S5" s="25">
        <f t="shared" si="0"/>
        <v>3280.688</v>
      </c>
      <c r="T5" s="23">
        <f t="shared" si="1"/>
        <v>2.203796875</v>
      </c>
      <c r="U5" s="23">
        <f t="shared" si="2"/>
        <v>1.626</v>
      </c>
      <c r="V5" s="26">
        <f t="shared" si="3"/>
        <v>3.13796</v>
      </c>
      <c r="W5" s="27">
        <f t="shared" si="4"/>
        <v>0.47</v>
      </c>
      <c r="X5" s="26">
        <f t="shared" si="5"/>
        <v>0.514765646166351</v>
      </c>
      <c r="Y5" s="24">
        <f t="shared" si="6"/>
        <v>0.8</v>
      </c>
      <c r="Z5" s="28">
        <v>0.7</v>
      </c>
      <c r="AA5" s="28">
        <v>0</v>
      </c>
      <c r="AB5" s="28">
        <v>0.3</v>
      </c>
      <c r="AC5" s="29">
        <f t="shared" si="7"/>
        <v>104194.402815671</v>
      </c>
      <c r="AD5" s="17">
        <v>15</v>
      </c>
      <c r="AE5" s="17"/>
      <c r="AF5" s="18">
        <f>1520/(1520+(792+8*AG5)*(1-AE5/100)*(1-AD5/100))</f>
        <v>0.529026868996241</v>
      </c>
      <c r="AG5" s="31">
        <v>100</v>
      </c>
    </row>
    <row r="6" s="1" customFormat="1" ht="15" spans="2:33">
      <c r="B6" s="32" t="s">
        <v>51</v>
      </c>
      <c r="C6" s="34">
        <f>18%+18%+M4+(2-E1)*30%</f>
        <v>0.832</v>
      </c>
      <c r="D6" s="32" t="s">
        <v>52</v>
      </c>
      <c r="E6" s="34">
        <f>E11*6%</f>
        <v>0.18</v>
      </c>
      <c r="F6" s="32" t="s">
        <v>53</v>
      </c>
      <c r="G6" s="35">
        <v>0.2</v>
      </c>
      <c r="H6" s="32" t="s">
        <v>53</v>
      </c>
      <c r="I6" s="35">
        <v>0</v>
      </c>
      <c r="J6" s="37"/>
      <c r="K6" s="35"/>
      <c r="L6" s="32" t="s">
        <v>33</v>
      </c>
      <c r="M6" s="35">
        <f>8.1*5%</f>
        <v>0.405</v>
      </c>
      <c r="O6" s="21">
        <v>1</v>
      </c>
      <c r="P6" s="29" t="s">
        <v>54</v>
      </c>
      <c r="Q6" s="23">
        <f>132.51%</f>
        <v>1.3251</v>
      </c>
      <c r="R6" s="24" t="s">
        <v>10</v>
      </c>
      <c r="S6" s="25">
        <f t="shared" si="0"/>
        <v>3280.688</v>
      </c>
      <c r="T6" s="23">
        <f t="shared" si="1"/>
        <v>2.203796875</v>
      </c>
      <c r="U6" s="23">
        <f t="shared" si="2"/>
        <v>1.626</v>
      </c>
      <c r="V6" s="26">
        <f t="shared" si="3"/>
        <v>3.13796</v>
      </c>
      <c r="W6" s="27">
        <f t="shared" si="4"/>
        <v>0.47</v>
      </c>
      <c r="X6" s="26">
        <f t="shared" si="5"/>
        <v>0.514765646166351</v>
      </c>
      <c r="Y6" s="24">
        <f t="shared" si="6"/>
        <v>0.8</v>
      </c>
      <c r="Z6" s="28">
        <v>0</v>
      </c>
      <c r="AA6" s="28">
        <v>0</v>
      </c>
      <c r="AB6" s="28">
        <v>0.3</v>
      </c>
      <c r="AC6" s="29">
        <f t="shared" si="7"/>
        <v>28191.3542481712</v>
      </c>
      <c r="AD6" s="17">
        <v>20</v>
      </c>
      <c r="AE6" s="17"/>
      <c r="AF6" s="18">
        <f t="shared" si="8"/>
        <v>0.488431876606684</v>
      </c>
      <c r="AG6" s="31">
        <v>100</v>
      </c>
    </row>
    <row r="7" s="1" customFormat="1" ht="15" spans="2:33">
      <c r="B7" s="32" t="s">
        <v>55</v>
      </c>
      <c r="C7" s="38">
        <v>0.2</v>
      </c>
      <c r="D7" s="32" t="s">
        <v>56</v>
      </c>
      <c r="E7" s="34">
        <v>0.12</v>
      </c>
      <c r="F7" s="32" t="s">
        <v>51</v>
      </c>
      <c r="G7" s="35">
        <f>M6</f>
        <v>0.405</v>
      </c>
      <c r="H7" s="32" t="s">
        <v>51</v>
      </c>
      <c r="I7" s="35">
        <f>M7+44%</f>
        <v>1.25</v>
      </c>
      <c r="J7" s="37"/>
      <c r="K7" s="35"/>
      <c r="L7" s="32" t="s">
        <v>57</v>
      </c>
      <c r="M7" s="34">
        <f>16.2%*5</f>
        <v>0.81</v>
      </c>
      <c r="O7" s="21">
        <v>1</v>
      </c>
      <c r="P7" s="29" t="s">
        <v>58</v>
      </c>
      <c r="Q7" s="23">
        <f>95.41%+166.96%+214.67%</f>
        <v>4.7704</v>
      </c>
      <c r="R7" s="24" t="s">
        <v>10</v>
      </c>
      <c r="S7" s="25">
        <f t="shared" si="0"/>
        <v>3280.688</v>
      </c>
      <c r="T7" s="23">
        <f t="shared" si="1"/>
        <v>2.203796875</v>
      </c>
      <c r="U7" s="23">
        <f t="shared" si="2"/>
        <v>1.626</v>
      </c>
      <c r="V7" s="26">
        <f t="shared" si="3"/>
        <v>3.13796</v>
      </c>
      <c r="W7" s="27">
        <f t="shared" ref="W7:W13" si="9">IF(R7=$C$1,$K$4+$K$5,$K$4)+90%</f>
        <v>1.37</v>
      </c>
      <c r="X7" s="26">
        <f t="shared" ref="X7:X13" si="10">$AF$6</f>
        <v>0.488431876606684</v>
      </c>
      <c r="Y7" s="24">
        <f t="shared" si="6"/>
        <v>0.8</v>
      </c>
      <c r="Z7" s="28">
        <v>0.25</v>
      </c>
      <c r="AA7" s="28">
        <v>0</v>
      </c>
      <c r="AB7" s="28">
        <v>0.3</v>
      </c>
      <c r="AC7" s="29">
        <f t="shared" si="7"/>
        <v>194069.617273924</v>
      </c>
      <c r="AD7" s="17">
        <v>0</v>
      </c>
      <c r="AE7" s="17"/>
      <c r="AF7" s="18">
        <f t="shared" si="8"/>
        <v>0.488431876606684</v>
      </c>
      <c r="AG7" s="31">
        <v>100</v>
      </c>
    </row>
    <row r="8" s="1" customFormat="1" ht="15" spans="2:33">
      <c r="B8" s="32" t="s">
        <v>59</v>
      </c>
      <c r="C8" s="38">
        <v>0.59</v>
      </c>
      <c r="D8" s="32" t="s">
        <v>60</v>
      </c>
      <c r="E8" s="39"/>
      <c r="F8" s="32" t="s">
        <v>61</v>
      </c>
      <c r="G8" s="35">
        <v>0</v>
      </c>
      <c r="H8" s="32" t="s">
        <v>61</v>
      </c>
      <c r="I8" s="35">
        <v>0</v>
      </c>
      <c r="J8" s="37"/>
      <c r="K8" s="35"/>
      <c r="L8" s="32"/>
      <c r="M8" s="33"/>
      <c r="O8" s="21">
        <v>1</v>
      </c>
      <c r="P8" s="29" t="s">
        <v>62</v>
      </c>
      <c r="Q8" s="23">
        <v>8.6143</v>
      </c>
      <c r="R8" s="24" t="s">
        <v>10</v>
      </c>
      <c r="S8" s="25">
        <f t="shared" si="0"/>
        <v>3280.688</v>
      </c>
      <c r="T8" s="23">
        <f t="shared" si="1"/>
        <v>2.203796875</v>
      </c>
      <c r="U8" s="23">
        <f t="shared" si="2"/>
        <v>1.626</v>
      </c>
      <c r="V8" s="26">
        <f t="shared" si="3"/>
        <v>3.13796</v>
      </c>
      <c r="W8" s="27">
        <f t="shared" ref="W8:W10" si="11">IF(R8=$C$1,$K$4+$K$5,$K$4)</f>
        <v>0.47</v>
      </c>
      <c r="X8" s="26">
        <f t="shared" si="5"/>
        <v>0.514765646166351</v>
      </c>
      <c r="Y8" s="24">
        <f t="shared" si="6"/>
        <v>0.8</v>
      </c>
      <c r="Z8" s="28">
        <v>0.3</v>
      </c>
      <c r="AA8" s="28">
        <v>0</v>
      </c>
      <c r="AB8" s="28">
        <v>0.3</v>
      </c>
      <c r="AC8" s="29">
        <f t="shared" si="7"/>
        <v>238248.749354787</v>
      </c>
      <c r="AD8" s="17">
        <v>0</v>
      </c>
      <c r="AE8" s="17"/>
      <c r="AF8" s="18">
        <f t="shared" si="8"/>
        <v>0.488431876606684</v>
      </c>
      <c r="AG8" s="31">
        <v>100</v>
      </c>
    </row>
    <row r="9" s="1" customFormat="1" ht="15" spans="2:33">
      <c r="B9" s="32" t="s">
        <v>63</v>
      </c>
      <c r="C9" s="33">
        <v>350</v>
      </c>
      <c r="D9" s="32" t="s">
        <v>64</v>
      </c>
      <c r="E9" s="34">
        <f>M5*1.5+20%+E11*6%</f>
        <v>0.656</v>
      </c>
      <c r="F9" s="32" t="s">
        <v>65</v>
      </c>
      <c r="G9" s="35">
        <v>0.125</v>
      </c>
      <c r="H9" s="32" t="s">
        <v>65</v>
      </c>
      <c r="I9" s="35">
        <v>0.25</v>
      </c>
      <c r="J9" s="37"/>
      <c r="K9" s="35"/>
      <c r="L9" s="32"/>
      <c r="M9" s="33"/>
      <c r="O9" s="21">
        <v>1</v>
      </c>
      <c r="P9" s="29" t="s">
        <v>66</v>
      </c>
      <c r="Q9" s="23">
        <f>52.97%+50.34%*2+33.41%*3+51.7%*4</f>
        <v>4.6068</v>
      </c>
      <c r="R9" s="24" t="s">
        <v>44</v>
      </c>
      <c r="S9" s="25">
        <f t="shared" si="0"/>
        <v>3280.688</v>
      </c>
      <c r="T9" s="23">
        <f t="shared" si="1"/>
        <v>2.203796875</v>
      </c>
      <c r="U9" s="23">
        <f t="shared" si="2"/>
        <v>0.97</v>
      </c>
      <c r="V9" s="26">
        <f t="shared" si="3"/>
        <v>3.13796</v>
      </c>
      <c r="W9" s="27">
        <f t="shared" si="11"/>
        <v>0.15</v>
      </c>
      <c r="X9" s="26">
        <f t="shared" si="5"/>
        <v>0.514765646166351</v>
      </c>
      <c r="Y9" s="24">
        <f t="shared" si="6"/>
        <v>0.8</v>
      </c>
      <c r="Z9" s="28">
        <v>0</v>
      </c>
      <c r="AA9" s="28">
        <v>0</v>
      </c>
      <c r="AB9" s="28">
        <v>0.3</v>
      </c>
      <c r="AC9" s="29">
        <f t="shared" si="7"/>
        <v>57519.9702942395</v>
      </c>
    </row>
    <row r="10" s="1" customFormat="1" ht="15" spans="2:33">
      <c r="B10" s="40" t="s">
        <v>67</v>
      </c>
      <c r="C10" s="41"/>
      <c r="D10" s="40"/>
      <c r="E10" s="42"/>
      <c r="F10" s="43" t="s">
        <v>68</v>
      </c>
      <c r="G10" s="44">
        <f>MIN(100%,SUM(G4:G9))</f>
        <v>0.86</v>
      </c>
      <c r="H10" s="43" t="s">
        <v>69</v>
      </c>
      <c r="I10" s="44">
        <f>SUM(I4:I9)</f>
        <v>3.486</v>
      </c>
      <c r="J10" s="45"/>
      <c r="K10" s="46"/>
      <c r="L10" s="40"/>
      <c r="M10" s="41"/>
      <c r="O10" s="21">
        <v>1</v>
      </c>
      <c r="P10" s="29" t="s">
        <v>70</v>
      </c>
      <c r="Q10" s="23">
        <f>69.53%*4</f>
        <v>2.7812</v>
      </c>
      <c r="R10" s="24" t="s">
        <v>10</v>
      </c>
      <c r="S10" s="25">
        <f t="shared" si="0"/>
        <v>3280.688</v>
      </c>
      <c r="T10" s="23">
        <f t="shared" si="1"/>
        <v>2.203796875</v>
      </c>
      <c r="U10" s="23">
        <f t="shared" si="2"/>
        <v>1.626</v>
      </c>
      <c r="V10" s="26">
        <f t="shared" si="3"/>
        <v>3.13796</v>
      </c>
      <c r="W10" s="27">
        <f t="shared" si="11"/>
        <v>0.47</v>
      </c>
      <c r="X10" s="26">
        <f t="shared" si="5"/>
        <v>0.514765646166351</v>
      </c>
      <c r="Y10" s="24">
        <f t="shared" si="6"/>
        <v>0.8</v>
      </c>
      <c r="Z10" s="28">
        <v>0.7</v>
      </c>
      <c r="AA10" s="28">
        <v>0</v>
      </c>
      <c r="AB10" s="28">
        <v>0.3</v>
      </c>
      <c r="AC10" s="29">
        <f t="shared" si="7"/>
        <v>100588.522028167</v>
      </c>
    </row>
    <row r="11" s="1" customFormat="1" ht="15" spans="2:33">
      <c r="B11" s="47"/>
      <c r="C11" s="47"/>
      <c r="D11" s="1" t="s">
        <v>71</v>
      </c>
      <c r="E11" s="48">
        <v>3</v>
      </c>
      <c r="F11" s="19" t="s">
        <v>72</v>
      </c>
      <c r="G11" s="49">
        <f>MAX(0,SUM(G4:G9)-1)</f>
        <v>0</v>
      </c>
      <c r="J11" s="2"/>
      <c r="K11" s="2"/>
      <c r="O11" s="21">
        <v>1</v>
      </c>
      <c r="P11" s="29" t="s">
        <v>54</v>
      </c>
      <c r="Q11" s="23">
        <f>132.51%</f>
        <v>1.3251</v>
      </c>
      <c r="R11" s="24" t="s">
        <v>10</v>
      </c>
      <c r="S11" s="25">
        <f t="shared" si="0"/>
        <v>3280.688</v>
      </c>
      <c r="T11" s="23">
        <f t="shared" si="1"/>
        <v>2.203796875</v>
      </c>
      <c r="U11" s="23">
        <f t="shared" si="2"/>
        <v>1.626</v>
      </c>
      <c r="V11" s="26">
        <f t="shared" si="3"/>
        <v>3.13796</v>
      </c>
      <c r="W11" s="27">
        <f t="shared" si="9"/>
        <v>1.37</v>
      </c>
      <c r="X11" s="26">
        <f t="shared" si="10"/>
        <v>0.488431876606684</v>
      </c>
      <c r="Y11" s="24">
        <f t="shared" si="6"/>
        <v>0.8</v>
      </c>
      <c r="Z11" s="28">
        <v>0</v>
      </c>
      <c r="AA11" s="28">
        <v>0</v>
      </c>
      <c r="AB11" s="28">
        <v>0.3</v>
      </c>
      <c r="AC11" s="29">
        <f t="shared" si="7"/>
        <v>43126.2199982687</v>
      </c>
      <c r="AE11" s="50" t="s">
        <v>73</v>
      </c>
      <c r="AF11" s="50">
        <v>0.8</v>
      </c>
    </row>
    <row r="12" s="1" customFormat="1" ht="15" spans="2:33">
      <c r="B12" s="47"/>
      <c r="C12" s="47"/>
      <c r="E12" s="51"/>
      <c r="G12" s="52"/>
      <c r="J12" s="2"/>
      <c r="K12" s="2"/>
      <c r="O12" s="1">
        <v>1</v>
      </c>
      <c r="P12" s="29" t="s">
        <v>74</v>
      </c>
      <c r="Q12" s="23">
        <f>79.51%*4+106.01%*3</f>
        <v>6.3607</v>
      </c>
      <c r="R12" s="24" t="s">
        <v>10</v>
      </c>
      <c r="S12" s="25">
        <f t="shared" si="0"/>
        <v>3280.688</v>
      </c>
      <c r="T12" s="23">
        <f t="shared" si="1"/>
        <v>2.203796875</v>
      </c>
      <c r="U12" s="23">
        <f t="shared" si="2"/>
        <v>1.626</v>
      </c>
      <c r="V12" s="26">
        <f t="shared" si="3"/>
        <v>3.13796</v>
      </c>
      <c r="W12" s="27">
        <f t="shared" si="9"/>
        <v>1.37</v>
      </c>
      <c r="X12" s="26">
        <f t="shared" si="10"/>
        <v>0.488431876606684</v>
      </c>
      <c r="Y12" s="24">
        <f t="shared" si="6"/>
        <v>0.8</v>
      </c>
      <c r="Z12" s="28">
        <v>0</v>
      </c>
      <c r="AA12" s="28">
        <v>0</v>
      </c>
      <c r="AB12" s="28">
        <v>0.3</v>
      </c>
      <c r="AC12" s="29">
        <f t="shared" si="7"/>
        <v>207013.016031234</v>
      </c>
      <c r="AE12" s="53" t="s">
        <v>75</v>
      </c>
      <c r="AF12" s="53">
        <v>0.8</v>
      </c>
    </row>
    <row r="13" s="1" customFormat="1" ht="15" spans="2:33">
      <c r="B13" s="5" t="s">
        <v>9</v>
      </c>
      <c r="C13" s="5" t="s">
        <v>44</v>
      </c>
      <c r="D13" s="6" t="s">
        <v>11</v>
      </c>
      <c r="E13" s="6">
        <v>2</v>
      </c>
      <c r="O13" s="21">
        <v>1</v>
      </c>
      <c r="P13" s="29" t="s">
        <v>76</v>
      </c>
      <c r="Q13" s="23">
        <f>409.29%+1227.85%</f>
        <v>16.3714</v>
      </c>
      <c r="R13" s="24" t="s">
        <v>10</v>
      </c>
      <c r="S13" s="25">
        <f t="shared" si="0"/>
        <v>3280.688</v>
      </c>
      <c r="T13" s="23">
        <f t="shared" si="1"/>
        <v>2.203796875</v>
      </c>
      <c r="U13" s="23">
        <f t="shared" si="2"/>
        <v>1.626</v>
      </c>
      <c r="V13" s="26">
        <f t="shared" si="3"/>
        <v>3.13796</v>
      </c>
      <c r="W13" s="27">
        <f t="shared" si="9"/>
        <v>1.37</v>
      </c>
      <c r="X13" s="26">
        <f t="shared" si="10"/>
        <v>0.488431876606684</v>
      </c>
      <c r="Y13" s="24">
        <f t="shared" si="6"/>
        <v>0.8</v>
      </c>
      <c r="Z13" s="28">
        <v>1.15</v>
      </c>
      <c r="AA13" s="28">
        <v>0</v>
      </c>
      <c r="AB13" s="28">
        <v>0.3</v>
      </c>
      <c r="AC13" s="29">
        <f t="shared" si="7"/>
        <v>1145557.83402857</v>
      </c>
      <c r="AE13" s="54" t="s">
        <v>77</v>
      </c>
      <c r="AF13" s="54">
        <v>0.8</v>
      </c>
    </row>
    <row r="14" s="1" customFormat="1" ht="15" spans="2:33">
      <c r="B14" s="55" t="s">
        <v>78</v>
      </c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O14" s="21">
        <v>1</v>
      </c>
      <c r="P14" s="29" t="s">
        <v>79</v>
      </c>
      <c r="Q14" s="23">
        <v>7.95</v>
      </c>
      <c r="R14" s="24" t="s">
        <v>80</v>
      </c>
      <c r="S14" s="25">
        <f t="shared" si="0"/>
        <v>3280.688</v>
      </c>
      <c r="T14" s="23">
        <f t="shared" si="1"/>
        <v>2.203796875</v>
      </c>
      <c r="U14" s="23">
        <f t="shared" si="2"/>
        <v>0.97</v>
      </c>
      <c r="V14" s="26">
        <f t="shared" si="3"/>
        <v>3.13796</v>
      </c>
      <c r="W14" s="27">
        <f>IF(R14=$C$1,$K$4+$K$5,$K$4)</f>
        <v>0.15</v>
      </c>
      <c r="X14" s="26">
        <f t="shared" si="5"/>
        <v>0.514765646166351</v>
      </c>
      <c r="Y14" s="24">
        <f t="shared" si="6"/>
        <v>0.8</v>
      </c>
      <c r="Z14" s="28">
        <v>0</v>
      </c>
      <c r="AA14" s="28">
        <v>0</v>
      </c>
      <c r="AB14" s="28">
        <v>0.3</v>
      </c>
      <c r="AC14" s="29">
        <f t="shared" si="7"/>
        <v>99262.7775981601</v>
      </c>
      <c r="AE14" s="56" t="s">
        <v>81</v>
      </c>
      <c r="AF14" s="56">
        <v>0.8</v>
      </c>
    </row>
    <row r="15" s="1" customFormat="1" ht="12" customHeight="1" spans="2:33">
      <c r="B15" s="57" t="s">
        <v>32</v>
      </c>
      <c r="C15" s="57"/>
      <c r="D15" s="57" t="s">
        <v>18</v>
      </c>
      <c r="E15" s="57"/>
      <c r="F15" s="57" t="s">
        <v>33</v>
      </c>
      <c r="G15" s="57"/>
      <c r="H15" s="57" t="s">
        <v>34</v>
      </c>
      <c r="I15" s="57"/>
      <c r="J15" s="57" t="s">
        <v>20</v>
      </c>
      <c r="K15" s="57"/>
      <c r="L15" s="57" t="s">
        <v>35</v>
      </c>
      <c r="M15" s="57"/>
      <c r="O15" s="21">
        <v>1</v>
      </c>
      <c r="P15" s="58" t="s">
        <v>10</v>
      </c>
      <c r="Q15" s="23">
        <v>2.736</v>
      </c>
      <c r="R15" s="24" t="s">
        <v>10</v>
      </c>
      <c r="S15" s="25">
        <f t="shared" si="0"/>
        <v>3280.688</v>
      </c>
      <c r="T15" s="23">
        <f t="shared" si="1"/>
        <v>2.203796875</v>
      </c>
      <c r="U15" s="23">
        <f t="shared" si="2"/>
        <v>1.626</v>
      </c>
      <c r="V15" s="26">
        <f t="shared" si="3"/>
        <v>3.13796</v>
      </c>
      <c r="W15" s="27">
        <f>IF(R15=$C$1,$K$4+$K$5,$K$4)</f>
        <v>0.47</v>
      </c>
      <c r="X15" s="26">
        <f t="shared" si="5"/>
        <v>0.514765646166351</v>
      </c>
      <c r="Y15" s="24">
        <f t="shared" si="6"/>
        <v>0.8</v>
      </c>
      <c r="Z15" s="28">
        <v>0</v>
      </c>
      <c r="AA15" s="28">
        <v>0</v>
      </c>
      <c r="AB15" s="28">
        <v>0.3</v>
      </c>
      <c r="AC15" s="29">
        <f t="shared" si="7"/>
        <v>58208.0938970617</v>
      </c>
      <c r="AE15" s="59" t="s">
        <v>82</v>
      </c>
      <c r="AF15" s="60">
        <v>0.8</v>
      </c>
    </row>
    <row r="16" s="1" customFormat="1" ht="15" spans="2:33">
      <c r="B16" s="61" t="s">
        <v>38</v>
      </c>
      <c r="C16" s="62">
        <f>437+587</f>
        <v>1024</v>
      </c>
      <c r="D16" s="61" t="s">
        <v>39</v>
      </c>
      <c r="E16" s="63">
        <f>E13*30%</f>
        <v>0.6</v>
      </c>
      <c r="F16" s="61" t="s">
        <v>40</v>
      </c>
      <c r="G16" s="64">
        <v>0.13</v>
      </c>
      <c r="H16" s="61" t="s">
        <v>40</v>
      </c>
      <c r="I16" s="64">
        <v>1.5</v>
      </c>
      <c r="J16" s="65" t="s">
        <v>41</v>
      </c>
      <c r="K16" s="63">
        <v>0.15</v>
      </c>
      <c r="L16" s="61" t="s">
        <v>42</v>
      </c>
      <c r="M16" s="64">
        <f>8.6%*2</f>
        <v>0.172</v>
      </c>
      <c r="O16" s="61"/>
      <c r="P16" s="66" t="s">
        <v>83</v>
      </c>
      <c r="Q16" s="67">
        <f>53.45%*2+95.43%+39.23%+26.15%*6</f>
        <v>3.9846</v>
      </c>
      <c r="R16" s="68" t="s">
        <v>44</v>
      </c>
      <c r="S16" s="69">
        <f>$C$16*(1+$C$17+$C$18+$C$19+$C$20)+($C$21+$C$22)</f>
        <v>2650.928</v>
      </c>
      <c r="T16" s="67">
        <f>($C$17+$C$18+$C$19+$C$20)+($C$21+$C$22)/$C$16</f>
        <v>1.588796875</v>
      </c>
      <c r="U16" s="67">
        <f>IF(R16=$C$13,SUM($E$16:$E$21),SUM($E$16:$E$20))</f>
        <v>0.9</v>
      </c>
      <c r="V16" s="70">
        <f>1+$G$22*($I$22-1)</f>
        <v>2.7115</v>
      </c>
      <c r="W16" s="71">
        <f>IF(R16=$C$1,$K$16+$K$17,$K$16)</f>
        <v>0.15</v>
      </c>
      <c r="X16" s="70">
        <f>$AF$3</f>
        <v>0.488431876606684</v>
      </c>
      <c r="Y16" s="68">
        <f>$AF$12</f>
        <v>0.8</v>
      </c>
      <c r="Z16" s="72">
        <v>0</v>
      </c>
      <c r="AA16" s="72">
        <v>0</v>
      </c>
      <c r="AB16" s="72">
        <v>0</v>
      </c>
      <c r="AC16" s="66"/>
      <c r="AE16" s="73" t="s">
        <v>84</v>
      </c>
      <c r="AF16" s="73">
        <v>0.8</v>
      </c>
    </row>
    <row r="17" s="1" customFormat="1" ht="15" spans="2:32">
      <c r="B17" s="32" t="s">
        <v>45</v>
      </c>
      <c r="C17" s="34">
        <f>12%+12%</f>
        <v>0.24</v>
      </c>
      <c r="D17" s="32" t="s">
        <v>46</v>
      </c>
      <c r="E17" s="34"/>
      <c r="F17" s="32" t="s">
        <v>47</v>
      </c>
      <c r="G17" s="35">
        <v>0.243</v>
      </c>
      <c r="H17" s="32" t="s">
        <v>47</v>
      </c>
      <c r="I17" s="35">
        <v>0</v>
      </c>
      <c r="J17" s="37" t="s">
        <v>48</v>
      </c>
      <c r="K17" s="34">
        <v>0.25</v>
      </c>
      <c r="L17" s="32" t="s">
        <v>85</v>
      </c>
      <c r="M17" s="35">
        <f>8.6%*2</f>
        <v>0.172</v>
      </c>
      <c r="O17" s="32"/>
      <c r="P17" s="66" t="s">
        <v>83</v>
      </c>
      <c r="Q17" s="74">
        <f>53.45%*2+95.43%+39.23%+26.15%*6</f>
        <v>3.9846</v>
      </c>
      <c r="R17" s="47" t="s">
        <v>86</v>
      </c>
      <c r="S17" s="75">
        <f>$C$16*(1+$C$17+$C$18+$C$19+$C$20)+($C$21+$C$22)</f>
        <v>2650.928</v>
      </c>
      <c r="T17" s="74">
        <f>($C$17+$C$18+$C$19+$C$20)+($C$21+$C$22)/$C$16</f>
        <v>1.588796875</v>
      </c>
      <c r="U17" s="74">
        <f>IF(R17=$C$13,SUM($E$16:$E$21),SUM($E$16:$E$20))</f>
        <v>0.6</v>
      </c>
      <c r="V17" s="76">
        <f>1+$G$22*($I$22-1)</f>
        <v>2.7115</v>
      </c>
      <c r="W17" s="71">
        <f>IF(R17=$C$1,$K$16+$K$17,$K$16)</f>
        <v>0.15</v>
      </c>
      <c r="X17" s="76">
        <f>$AF$3</f>
        <v>0.488431876606684</v>
      </c>
      <c r="Y17" s="47">
        <f>$AF$12</f>
        <v>0.8</v>
      </c>
      <c r="Z17" s="77">
        <v>0</v>
      </c>
      <c r="AA17" s="77">
        <v>0</v>
      </c>
      <c r="AB17" s="77">
        <v>0</v>
      </c>
      <c r="AC17" s="66"/>
    </row>
    <row r="18" s="1" customFormat="1" ht="15" spans="2:32">
      <c r="B18" s="32" t="s">
        <v>51</v>
      </c>
      <c r="C18" s="34">
        <f>18%+18%+M16+(2-E13)*30%</f>
        <v>0.532</v>
      </c>
      <c r="D18" s="32" t="s">
        <v>52</v>
      </c>
      <c r="E18" s="34"/>
      <c r="F18" s="32" t="s">
        <v>53</v>
      </c>
      <c r="G18" s="35">
        <v>0.2</v>
      </c>
      <c r="H18" s="32" t="s">
        <v>53</v>
      </c>
      <c r="I18" s="35">
        <v>0</v>
      </c>
      <c r="J18" s="37"/>
      <c r="K18" s="35"/>
      <c r="L18" s="32" t="s">
        <v>33</v>
      </c>
      <c r="M18" s="35">
        <f>8.1*5%</f>
        <v>0.405</v>
      </c>
      <c r="O18" s="32"/>
      <c r="P18" s="66"/>
      <c r="Q18" s="74"/>
      <c r="R18" s="47"/>
      <c r="S18" s="47"/>
      <c r="T18" s="47"/>
      <c r="U18" s="74"/>
      <c r="V18" s="76"/>
      <c r="W18" s="77"/>
      <c r="X18" s="47"/>
      <c r="Y18" s="47"/>
      <c r="Z18" s="77"/>
      <c r="AA18" s="77"/>
      <c r="AB18" s="75"/>
      <c r="AC18" s="66"/>
      <c r="AE18" s="1" t="s">
        <v>87</v>
      </c>
      <c r="AF18" s="1">
        <v>0.8</v>
      </c>
    </row>
    <row r="19" s="1" customFormat="1" ht="15" spans="2:32">
      <c r="B19" s="32" t="s">
        <v>55</v>
      </c>
      <c r="C19" s="38"/>
      <c r="D19" s="32" t="s">
        <v>56</v>
      </c>
      <c r="E19" s="34"/>
      <c r="F19" s="32" t="s">
        <v>51</v>
      </c>
      <c r="G19" s="35">
        <f>M18</f>
        <v>0.405</v>
      </c>
      <c r="H19" s="32" t="s">
        <v>51</v>
      </c>
      <c r="I19" s="35">
        <f>M19+44%</f>
        <v>1.25</v>
      </c>
      <c r="J19" s="37"/>
      <c r="K19" s="35"/>
      <c r="L19" s="32" t="s">
        <v>57</v>
      </c>
      <c r="M19" s="34">
        <f>16.2%*5</f>
        <v>0.81</v>
      </c>
      <c r="O19" s="32"/>
      <c r="P19" s="66"/>
      <c r="Q19" s="74"/>
      <c r="R19" s="47"/>
      <c r="S19" s="47"/>
      <c r="T19" s="47"/>
      <c r="U19" s="74"/>
      <c r="V19" s="76"/>
      <c r="W19" s="77"/>
      <c r="X19" s="47"/>
      <c r="Y19" s="47"/>
      <c r="Z19" s="77"/>
      <c r="AA19" s="77"/>
      <c r="AB19" s="75"/>
      <c r="AC19" s="66"/>
    </row>
    <row r="20" s="1" customFormat="1" ht="15" spans="2:32">
      <c r="B20" s="32" t="s">
        <v>59</v>
      </c>
      <c r="C20" s="38">
        <f>22.5%+25%</f>
        <v>0.475</v>
      </c>
      <c r="D20" s="32" t="s">
        <v>60</v>
      </c>
      <c r="E20" s="39"/>
      <c r="F20" s="32" t="s">
        <v>61</v>
      </c>
      <c r="G20" s="35">
        <v>0</v>
      </c>
      <c r="H20" s="32" t="s">
        <v>61</v>
      </c>
      <c r="I20" s="35">
        <v>0</v>
      </c>
      <c r="J20" s="37"/>
      <c r="K20" s="35"/>
      <c r="L20" s="32"/>
      <c r="M20" s="33"/>
      <c r="O20" s="32"/>
      <c r="P20" s="66"/>
      <c r="Q20" s="74"/>
      <c r="R20" s="47"/>
      <c r="S20" s="47"/>
      <c r="T20" s="47"/>
      <c r="U20" s="74"/>
      <c r="V20" s="76"/>
      <c r="W20" s="77"/>
      <c r="X20" s="47"/>
      <c r="Y20" s="47"/>
      <c r="Z20" s="77"/>
      <c r="AA20" s="77"/>
      <c r="AB20" s="75"/>
      <c r="AC20" s="66"/>
    </row>
    <row r="21" s="1" customFormat="1" ht="15" spans="2:32">
      <c r="B21" s="32" t="s">
        <v>63</v>
      </c>
      <c r="C21" s="33">
        <v>350</v>
      </c>
      <c r="D21" s="32" t="s">
        <v>64</v>
      </c>
      <c r="E21" s="34">
        <v>0.3</v>
      </c>
      <c r="F21" s="32" t="s">
        <v>65</v>
      </c>
      <c r="G21" s="35">
        <v>0</v>
      </c>
      <c r="H21" s="32" t="s">
        <v>65</v>
      </c>
      <c r="I21" s="35">
        <v>0</v>
      </c>
      <c r="J21" s="37"/>
      <c r="K21" s="35"/>
      <c r="L21" s="32"/>
      <c r="M21" s="33"/>
      <c r="O21" s="32"/>
      <c r="P21" s="66"/>
      <c r="Q21" s="74"/>
      <c r="R21" s="47"/>
      <c r="S21" s="47"/>
      <c r="T21" s="47"/>
      <c r="U21" s="74"/>
      <c r="V21" s="76"/>
      <c r="W21" s="77"/>
      <c r="X21" s="47"/>
      <c r="Y21" s="47"/>
      <c r="Z21" s="77"/>
      <c r="AA21" s="77"/>
      <c r="AB21" s="75"/>
      <c r="AC21" s="66"/>
    </row>
    <row r="22" s="1" customFormat="1" ht="15" spans="2:32">
      <c r="B22" s="40" t="s">
        <v>67</v>
      </c>
      <c r="C22" s="41"/>
      <c r="D22" s="40"/>
      <c r="E22" s="42"/>
      <c r="F22" s="43" t="s">
        <v>68</v>
      </c>
      <c r="G22" s="44">
        <f>MIN(100%,SUM(G16:G21))</f>
        <v>0.978</v>
      </c>
      <c r="H22" s="43" t="s">
        <v>69</v>
      </c>
      <c r="I22" s="44">
        <f>SUM(I16:I21)</f>
        <v>2.75</v>
      </c>
      <c r="J22" s="45"/>
      <c r="K22" s="46"/>
      <c r="L22" s="40"/>
      <c r="M22" s="41"/>
      <c r="O22" s="32"/>
      <c r="P22" s="66"/>
      <c r="Q22" s="74"/>
      <c r="R22" s="47"/>
      <c r="S22" s="47"/>
      <c r="T22" s="47"/>
      <c r="U22" s="74"/>
      <c r="V22" s="76"/>
      <c r="W22" s="77"/>
      <c r="X22" s="47"/>
      <c r="Y22" s="47"/>
      <c r="Z22" s="77"/>
      <c r="AA22" s="77"/>
      <c r="AB22" s="75"/>
      <c r="AC22" s="66"/>
    </row>
    <row r="23" s="1" customFormat="1" ht="15" spans="2:32">
      <c r="B23" s="47"/>
      <c r="C23" s="47"/>
      <c r="E23" s="51"/>
      <c r="F23" s="19" t="s">
        <v>72</v>
      </c>
      <c r="G23" s="49">
        <f>MAX(0,SUM(G16:G21)-1)</f>
        <v>0</v>
      </c>
      <c r="J23" s="2"/>
      <c r="K23" s="2"/>
      <c r="O23" s="40"/>
      <c r="P23" s="66"/>
      <c r="Q23" s="78"/>
      <c r="R23" s="79"/>
      <c r="S23" s="79"/>
      <c r="T23" s="79"/>
      <c r="U23" s="78"/>
      <c r="V23" s="80"/>
      <c r="W23" s="81"/>
      <c r="X23" s="79"/>
      <c r="Y23" s="79"/>
      <c r="Z23" s="81"/>
      <c r="AA23" s="81"/>
      <c r="AB23" s="82"/>
      <c r="AC23" s="66"/>
    </row>
    <row r="24" s="1" customFormat="1" ht="15" spans="2:32">
      <c r="B24" s="47"/>
      <c r="C24" s="47"/>
      <c r="E24" s="51"/>
      <c r="J24" s="2"/>
      <c r="K24" s="2"/>
      <c r="O24" s="83"/>
      <c r="P24" s="84" t="s">
        <v>83</v>
      </c>
      <c r="Q24" s="85">
        <f>53.45%*2+95.43%+39.23%+26.15%*6</f>
        <v>3.9846</v>
      </c>
      <c r="R24" s="85" t="s">
        <v>44</v>
      </c>
      <c r="S24" s="86">
        <f>$C$28*(1+$C$29+$C$30+$C$31+$C$32)+($C$33+$C$34)</f>
        <v>2650.928</v>
      </c>
      <c r="T24" s="87">
        <f>S24/$C$28-1</f>
        <v>1.588796875</v>
      </c>
      <c r="U24" s="87">
        <f>IF(R24=$C$25,SUM($E$28:$E$33),SUM($E$28:$E$32))</f>
        <v>0.9</v>
      </c>
      <c r="V24" s="88">
        <f>1+$G$34*($I$34-1)</f>
        <v>2.7115</v>
      </c>
      <c r="W24" s="85">
        <f>IF(R24=$C$1,$K$28+$K$29,$K$28)</f>
        <v>0.15</v>
      </c>
      <c r="X24" s="88">
        <f>$AF$3</f>
        <v>0.488431876606684</v>
      </c>
      <c r="Y24" s="85">
        <f>$AF$13</f>
        <v>0.8</v>
      </c>
      <c r="Z24" s="89">
        <v>0</v>
      </c>
      <c r="AA24" s="89">
        <v>0</v>
      </c>
      <c r="AB24" s="89">
        <v>0</v>
      </c>
      <c r="AC24" s="84"/>
    </row>
    <row r="25" s="1" customFormat="1" ht="15" spans="2:32">
      <c r="B25" s="5" t="s">
        <v>9</v>
      </c>
      <c r="C25" s="5" t="s">
        <v>44</v>
      </c>
      <c r="D25" s="6" t="s">
        <v>11</v>
      </c>
      <c r="E25" s="6">
        <v>2</v>
      </c>
      <c r="O25" s="90"/>
      <c r="P25" s="84" t="s">
        <v>83</v>
      </c>
      <c r="Q25" s="91">
        <f>53.45%*2+95.43%+39.23%+26.15%*6</f>
        <v>3.9846</v>
      </c>
      <c r="R25" s="91" t="s">
        <v>86</v>
      </c>
      <c r="S25" s="92">
        <f>$C$28*(1+$C$29+$C$30+$C$31+$C$32)+($C$33+$C$34)</f>
        <v>2650.928</v>
      </c>
      <c r="T25" s="93">
        <f>S25/$C$28-1</f>
        <v>1.588796875</v>
      </c>
      <c r="U25" s="93">
        <f>IF(R25=$C$25,SUM($E$28:$E$33),SUM($E$28:$E$32))</f>
        <v>0.6</v>
      </c>
      <c r="V25" s="94">
        <f>1+$G$34*($I$34-1)</f>
        <v>2.7115</v>
      </c>
      <c r="W25" s="85">
        <f>IF(R25=$C$1,$K$28+$K$29,$K$28)</f>
        <v>0.15</v>
      </c>
      <c r="X25" s="94">
        <f>$AF$3</f>
        <v>0.488431876606684</v>
      </c>
      <c r="Y25" s="91">
        <f>$AF$13</f>
        <v>0.8</v>
      </c>
      <c r="Z25" s="95">
        <v>0</v>
      </c>
      <c r="AA25" s="95">
        <v>0</v>
      </c>
      <c r="AB25" s="95">
        <v>0</v>
      </c>
      <c r="AC25" s="84"/>
    </row>
    <row r="26" s="1" customFormat="1" ht="15" spans="2:32">
      <c r="B26" s="96" t="s">
        <v>88</v>
      </c>
      <c r="C26" s="96"/>
      <c r="D26" s="96"/>
      <c r="E26" s="96"/>
      <c r="F26" s="96"/>
      <c r="G26" s="96"/>
      <c r="H26" s="96"/>
      <c r="I26" s="96"/>
      <c r="J26" s="96"/>
      <c r="K26" s="96"/>
      <c r="L26" s="96"/>
      <c r="M26" s="96"/>
      <c r="O26" s="90"/>
      <c r="P26" s="84"/>
      <c r="Q26" s="91"/>
      <c r="R26" s="91"/>
      <c r="S26" s="91"/>
      <c r="T26" s="91"/>
      <c r="U26" s="93"/>
      <c r="V26" s="97"/>
      <c r="W26" s="91"/>
      <c r="X26" s="91"/>
      <c r="Y26" s="91"/>
      <c r="Z26" s="91"/>
      <c r="AA26" s="91"/>
      <c r="AB26" s="92"/>
      <c r="AC26" s="84"/>
    </row>
    <row r="27" s="1" customFormat="1" ht="15" spans="2:32">
      <c r="B27" s="19" t="s">
        <v>32</v>
      </c>
      <c r="C27" s="20"/>
      <c r="D27" s="19" t="s">
        <v>18</v>
      </c>
      <c r="E27" s="20"/>
      <c r="F27" s="19" t="s">
        <v>33</v>
      </c>
      <c r="G27" s="20"/>
      <c r="H27" s="19" t="s">
        <v>34</v>
      </c>
      <c r="I27" s="20"/>
      <c r="J27" s="19" t="s">
        <v>20</v>
      </c>
      <c r="K27" s="20"/>
      <c r="L27" s="19" t="s">
        <v>35</v>
      </c>
      <c r="M27" s="20"/>
      <c r="O27" s="90"/>
      <c r="P27" s="84"/>
      <c r="Q27" s="93"/>
      <c r="R27" s="91"/>
      <c r="S27" s="91"/>
      <c r="T27" s="91"/>
      <c r="U27" s="93"/>
      <c r="V27" s="97"/>
      <c r="W27" s="91"/>
      <c r="X27" s="91"/>
      <c r="Y27" s="91"/>
      <c r="Z27" s="91"/>
      <c r="AA27" s="91"/>
      <c r="AB27" s="92"/>
      <c r="AC27" s="84"/>
    </row>
    <row r="28" s="1" customFormat="1" ht="15" spans="2:32">
      <c r="B28" s="32" t="s">
        <v>38</v>
      </c>
      <c r="C28" s="33">
        <f>437+587</f>
        <v>1024</v>
      </c>
      <c r="D28" s="32" t="s">
        <v>39</v>
      </c>
      <c r="E28" s="34">
        <f>E25*30%</f>
        <v>0.6</v>
      </c>
      <c r="F28" s="32" t="s">
        <v>40</v>
      </c>
      <c r="G28" s="35">
        <v>0.13</v>
      </c>
      <c r="H28" s="32" t="s">
        <v>40</v>
      </c>
      <c r="I28" s="35">
        <v>1.5</v>
      </c>
      <c r="J28" s="36" t="s">
        <v>41</v>
      </c>
      <c r="K28" s="34">
        <v>0.15</v>
      </c>
      <c r="L28" s="32" t="s">
        <v>42</v>
      </c>
      <c r="M28" s="35">
        <f>8.6%*2</f>
        <v>0.172</v>
      </c>
      <c r="O28" s="90"/>
      <c r="P28" s="84"/>
      <c r="Q28" s="93"/>
      <c r="R28" s="91"/>
      <c r="S28" s="91"/>
      <c r="T28" s="91"/>
      <c r="U28" s="93"/>
      <c r="V28" s="97"/>
      <c r="W28" s="91"/>
      <c r="X28" s="91"/>
      <c r="Y28" s="91"/>
      <c r="Z28" s="91"/>
      <c r="AA28" s="91"/>
      <c r="AB28" s="92"/>
      <c r="AC28" s="84"/>
    </row>
    <row r="29" s="1" customFormat="1" ht="15" spans="2:32">
      <c r="B29" s="32" t="s">
        <v>45</v>
      </c>
      <c r="C29" s="34">
        <f>12%+12%</f>
        <v>0.24</v>
      </c>
      <c r="D29" s="32" t="s">
        <v>46</v>
      </c>
      <c r="E29" s="34"/>
      <c r="F29" s="32" t="s">
        <v>47</v>
      </c>
      <c r="G29" s="35">
        <v>0.243</v>
      </c>
      <c r="H29" s="32" t="s">
        <v>47</v>
      </c>
      <c r="I29" s="35">
        <v>0</v>
      </c>
      <c r="J29" s="37" t="s">
        <v>48</v>
      </c>
      <c r="K29" s="34">
        <v>0.25</v>
      </c>
      <c r="L29" s="32" t="s">
        <v>85</v>
      </c>
      <c r="M29" s="35">
        <f>8.6%*2</f>
        <v>0.172</v>
      </c>
      <c r="O29" s="90"/>
      <c r="P29" s="84"/>
      <c r="Q29" s="92"/>
      <c r="R29" s="91"/>
      <c r="S29" s="91"/>
      <c r="T29" s="91"/>
      <c r="U29" s="93"/>
      <c r="V29" s="92"/>
      <c r="W29" s="91"/>
      <c r="X29" s="91"/>
      <c r="Y29" s="91"/>
      <c r="Z29" s="91"/>
      <c r="AA29" s="91"/>
      <c r="AB29" s="92"/>
      <c r="AC29" s="84"/>
    </row>
    <row r="30" s="1" customFormat="1" ht="15" spans="2:32">
      <c r="B30" s="32" t="s">
        <v>51</v>
      </c>
      <c r="C30" s="34">
        <f>18%+18%+M28+(2-E25)*30%</f>
        <v>0.532</v>
      </c>
      <c r="D30" s="32" t="s">
        <v>52</v>
      </c>
      <c r="E30" s="34"/>
      <c r="F30" s="32" t="s">
        <v>53</v>
      </c>
      <c r="G30" s="35">
        <v>0.2</v>
      </c>
      <c r="H30" s="32" t="s">
        <v>53</v>
      </c>
      <c r="I30" s="35">
        <v>0</v>
      </c>
      <c r="J30" s="37"/>
      <c r="K30" s="35"/>
      <c r="L30" s="32" t="s">
        <v>33</v>
      </c>
      <c r="M30" s="35">
        <f>8.1*5%</f>
        <v>0.405</v>
      </c>
      <c r="O30" s="90"/>
      <c r="P30" s="84"/>
      <c r="Q30" s="92"/>
      <c r="R30" s="91"/>
      <c r="S30" s="91"/>
      <c r="T30" s="91"/>
      <c r="U30" s="93"/>
      <c r="V30" s="92"/>
      <c r="W30" s="91"/>
      <c r="X30" s="91"/>
      <c r="Y30" s="91"/>
      <c r="Z30" s="91"/>
      <c r="AA30" s="91"/>
      <c r="AB30" s="92"/>
      <c r="AC30" s="84"/>
    </row>
    <row r="31" s="1" customFormat="1" ht="15" spans="2:32">
      <c r="B31" s="32" t="s">
        <v>55</v>
      </c>
      <c r="C31" s="38"/>
      <c r="D31" s="32" t="s">
        <v>56</v>
      </c>
      <c r="E31" s="34"/>
      <c r="F31" s="32" t="s">
        <v>51</v>
      </c>
      <c r="G31" s="35">
        <f>M30</f>
        <v>0.405</v>
      </c>
      <c r="H31" s="32" t="s">
        <v>51</v>
      </c>
      <c r="I31" s="35">
        <f>M31+44%</f>
        <v>1.25</v>
      </c>
      <c r="J31" s="37"/>
      <c r="K31" s="35"/>
      <c r="L31" s="32" t="s">
        <v>57</v>
      </c>
      <c r="M31" s="34">
        <f>16.2%*5</f>
        <v>0.81</v>
      </c>
      <c r="O31" s="90"/>
      <c r="P31" s="84"/>
      <c r="Q31" s="92"/>
      <c r="R31" s="91"/>
      <c r="S31" s="91"/>
      <c r="T31" s="91"/>
      <c r="U31" s="91"/>
      <c r="V31" s="92"/>
      <c r="W31" s="91"/>
      <c r="X31" s="91"/>
      <c r="Y31" s="91"/>
      <c r="Z31" s="91"/>
      <c r="AA31" s="91"/>
      <c r="AB31" s="92"/>
      <c r="AC31" s="84"/>
    </row>
    <row r="32" s="1" customFormat="1" ht="15" spans="2:32">
      <c r="B32" s="32" t="s">
        <v>59</v>
      </c>
      <c r="C32" s="38">
        <f>22.5%+25%</f>
        <v>0.475</v>
      </c>
      <c r="D32" s="32" t="s">
        <v>60</v>
      </c>
      <c r="E32" s="39"/>
      <c r="F32" s="32" t="s">
        <v>61</v>
      </c>
      <c r="G32" s="35">
        <v>0</v>
      </c>
      <c r="H32" s="32" t="s">
        <v>61</v>
      </c>
      <c r="I32" s="35">
        <v>0</v>
      </c>
      <c r="J32" s="37"/>
      <c r="K32" s="35"/>
      <c r="L32" s="32"/>
      <c r="M32" s="33"/>
      <c r="O32" s="90"/>
      <c r="P32" s="84"/>
      <c r="Q32" s="92"/>
      <c r="R32" s="91"/>
      <c r="S32" s="91"/>
      <c r="T32" s="91"/>
      <c r="U32" s="93"/>
      <c r="V32" s="93"/>
      <c r="W32" s="91"/>
      <c r="X32" s="91"/>
      <c r="Y32" s="91"/>
      <c r="Z32" s="91"/>
      <c r="AA32" s="91"/>
      <c r="AB32" s="92"/>
      <c r="AC32" s="84"/>
    </row>
    <row r="33" s="1" customFormat="1" ht="15" spans="2:29">
      <c r="B33" s="32" t="s">
        <v>63</v>
      </c>
      <c r="C33" s="33">
        <v>350</v>
      </c>
      <c r="D33" s="32" t="s">
        <v>64</v>
      </c>
      <c r="E33" s="34">
        <v>0.3</v>
      </c>
      <c r="F33" s="32" t="s">
        <v>65</v>
      </c>
      <c r="G33" s="35">
        <v>0</v>
      </c>
      <c r="H33" s="32" t="s">
        <v>65</v>
      </c>
      <c r="I33" s="35">
        <v>0</v>
      </c>
      <c r="J33" s="37"/>
      <c r="K33" s="35"/>
      <c r="L33" s="32"/>
      <c r="M33" s="33"/>
      <c r="O33" s="98"/>
      <c r="P33" s="84"/>
      <c r="Q33" s="99"/>
      <c r="R33" s="100"/>
      <c r="S33" s="100"/>
      <c r="T33" s="100"/>
      <c r="U33" s="99"/>
      <c r="V33" s="101"/>
      <c r="W33" s="100"/>
      <c r="X33" s="100"/>
      <c r="Y33" s="100"/>
      <c r="Z33" s="100"/>
      <c r="AA33" s="100"/>
      <c r="AB33" s="102"/>
      <c r="AC33" s="84"/>
    </row>
    <row r="34" s="1" customFormat="1" spans="2:29">
      <c r="B34" s="40" t="s">
        <v>67</v>
      </c>
      <c r="C34" s="41"/>
      <c r="D34" s="40"/>
      <c r="E34" s="42"/>
      <c r="F34" s="43" t="s">
        <v>68</v>
      </c>
      <c r="G34" s="44">
        <f>MIN(100%,SUM(G28:G33))</f>
        <v>0.978</v>
      </c>
      <c r="H34" s="43" t="s">
        <v>69</v>
      </c>
      <c r="I34" s="44">
        <f>SUM(I28:I33)</f>
        <v>2.75</v>
      </c>
      <c r="J34" s="45"/>
      <c r="K34" s="46"/>
      <c r="L34" s="40"/>
      <c r="M34" s="41"/>
    </row>
    <row r="35" s="1" customFormat="1" ht="15" spans="2:29">
      <c r="F35" s="19" t="s">
        <v>72</v>
      </c>
      <c r="G35" s="49">
        <f>MAX(0,SUM(G28:G33)-1)</f>
        <v>0</v>
      </c>
      <c r="O35" s="61"/>
      <c r="P35" s="68" t="s">
        <v>89</v>
      </c>
      <c r="Q35" s="67">
        <v>18.8075</v>
      </c>
      <c r="R35" s="68" t="s">
        <v>90</v>
      </c>
      <c r="S35" s="68">
        <v>10027</v>
      </c>
      <c r="T35" s="67">
        <v>0</v>
      </c>
      <c r="U35" s="67">
        <v>0</v>
      </c>
      <c r="V35" s="70">
        <v>1</v>
      </c>
      <c r="W35" s="71">
        <v>0</v>
      </c>
      <c r="X35" s="70">
        <f t="shared" ref="X35:X38" si="12">$AF$3</f>
        <v>0.488431876606684</v>
      </c>
      <c r="Y35" s="68">
        <f t="shared" ref="Y35:Y38" si="13">$AF$18</f>
        <v>0.8</v>
      </c>
      <c r="Z35" s="72">
        <v>0</v>
      </c>
      <c r="AA35" s="72">
        <v>0</v>
      </c>
      <c r="AB35" s="63">
        <v>0.5</v>
      </c>
      <c r="AC35" s="103">
        <f t="shared" ref="AC35:AC38" si="14">Q35*S35*(1+T35)*(1+U35)*V35*(1+W35)*X35*Y35*(1+Z35)*(1+AA35)*(1+AB35)*O35</f>
        <v>0</v>
      </c>
    </row>
    <row r="36" s="1" customFormat="1" ht="15" spans="2:29">
      <c r="G36" s="2"/>
      <c r="O36" s="32"/>
      <c r="P36" s="47" t="s">
        <v>91</v>
      </c>
      <c r="Q36" s="74">
        <v>2.9822</v>
      </c>
      <c r="R36" s="47" t="s">
        <v>90</v>
      </c>
      <c r="S36" s="47">
        <v>10027</v>
      </c>
      <c r="T36" s="74">
        <v>0</v>
      </c>
      <c r="U36" s="74">
        <v>0</v>
      </c>
      <c r="V36" s="76">
        <v>1</v>
      </c>
      <c r="W36" s="48">
        <v>0</v>
      </c>
      <c r="X36" s="76">
        <f t="shared" si="12"/>
        <v>0.488431876606684</v>
      </c>
      <c r="Y36" s="47">
        <f t="shared" si="13"/>
        <v>0.8</v>
      </c>
      <c r="Z36" s="77">
        <v>0</v>
      </c>
      <c r="AA36" s="77">
        <v>0</v>
      </c>
      <c r="AB36" s="34">
        <v>0.5</v>
      </c>
      <c r="AC36" s="103">
        <f t="shared" si="14"/>
        <v>0</v>
      </c>
    </row>
    <row r="37" s="1" customFormat="1" ht="15" spans="2:29">
      <c r="B37" s="104" t="s">
        <v>92</v>
      </c>
      <c r="D37" s="104"/>
      <c r="G37" s="2"/>
      <c r="O37" s="32"/>
      <c r="P37" s="47" t="s">
        <v>93</v>
      </c>
      <c r="Q37" s="74">
        <v>5.9643</v>
      </c>
      <c r="R37" s="47" t="s">
        <v>90</v>
      </c>
      <c r="S37" s="47">
        <v>10027</v>
      </c>
      <c r="T37" s="74">
        <v>0</v>
      </c>
      <c r="U37" s="74">
        <v>0</v>
      </c>
      <c r="V37" s="76">
        <v>1</v>
      </c>
      <c r="W37" s="48">
        <v>0</v>
      </c>
      <c r="X37" s="76">
        <f t="shared" si="12"/>
        <v>0.488431876606684</v>
      </c>
      <c r="Y37" s="47">
        <f t="shared" si="13"/>
        <v>0.8</v>
      </c>
      <c r="Z37" s="77">
        <v>0</v>
      </c>
      <c r="AA37" s="77">
        <v>0</v>
      </c>
      <c r="AB37" s="34">
        <v>0.5</v>
      </c>
      <c r="AC37" s="105">
        <f t="shared" si="14"/>
        <v>0</v>
      </c>
    </row>
    <row r="38" s="1" customFormat="1" ht="15" spans="2:29">
      <c r="B38" s="106"/>
      <c r="C38" s="107" t="s">
        <v>94</v>
      </c>
      <c r="D38" s="107" t="s">
        <v>95</v>
      </c>
      <c r="E38" s="107" t="s">
        <v>96</v>
      </c>
      <c r="F38" s="107" t="s">
        <v>97</v>
      </c>
      <c r="G38" s="2"/>
      <c r="O38" s="19">
        <v>1</v>
      </c>
      <c r="P38" s="108" t="s">
        <v>98</v>
      </c>
      <c r="Q38" s="109">
        <v>16</v>
      </c>
      <c r="R38" s="108" t="s">
        <v>99</v>
      </c>
      <c r="S38" s="108">
        <v>10027</v>
      </c>
      <c r="T38" s="109">
        <v>0</v>
      </c>
      <c r="U38" s="109">
        <v>0</v>
      </c>
      <c r="V38" s="110">
        <v>1</v>
      </c>
      <c r="W38" s="111">
        <v>0</v>
      </c>
      <c r="X38" s="110">
        <f t="shared" si="12"/>
        <v>0.488431876606684</v>
      </c>
      <c r="Y38" s="108">
        <f t="shared" si="13"/>
        <v>0.8</v>
      </c>
      <c r="Z38" s="112">
        <v>0</v>
      </c>
      <c r="AA38" s="112">
        <v>0</v>
      </c>
      <c r="AB38" s="113">
        <v>0.1</v>
      </c>
      <c r="AC38" s="114">
        <f t="shared" si="14"/>
        <v>68956.8904884319</v>
      </c>
    </row>
    <row r="39" s="1" customFormat="1" ht="15" spans="2:29">
      <c r="B39" s="4" t="s">
        <v>0</v>
      </c>
      <c r="C39" s="115">
        <f>SUM(AC3:AC15)</f>
        <v>2347291.18671245</v>
      </c>
      <c r="D39" s="115">
        <f>C39/$E$39</f>
        <v>93891.6474684982</v>
      </c>
      <c r="E39" s="116">
        <v>25</v>
      </c>
      <c r="F39" s="117">
        <f>C39/$C$43</f>
        <v>0.909490429449029</v>
      </c>
      <c r="G39" s="2"/>
      <c r="Q39" s="2"/>
      <c r="U39" s="2"/>
      <c r="V39" s="3"/>
      <c r="AB39" s="4"/>
      <c r="AC39" s="4"/>
    </row>
    <row r="40" s="1" customFormat="1" ht="15" spans="2:29">
      <c r="B40" s="4" t="s">
        <v>125</v>
      </c>
      <c r="C40" s="115">
        <v>114638</v>
      </c>
      <c r="D40" s="115">
        <f>C40/$E$39</f>
        <v>4585.52</v>
      </c>
      <c r="E40" s="118"/>
      <c r="F40" s="117">
        <f>C40/$C$43</f>
        <v>0.0444180783540556</v>
      </c>
      <c r="G40" s="2"/>
      <c r="N40" s="83" t="s">
        <v>101</v>
      </c>
      <c r="O40" s="85" t="s">
        <v>12</v>
      </c>
      <c r="P40" s="85"/>
      <c r="Q40" s="87"/>
      <c r="R40" s="85"/>
      <c r="S40" s="85"/>
      <c r="T40" s="85"/>
      <c r="U40" s="87"/>
      <c r="V40" s="119"/>
      <c r="W40" s="85"/>
      <c r="X40" s="85"/>
      <c r="Y40" s="85"/>
      <c r="Z40" s="85"/>
      <c r="AA40" s="85"/>
      <c r="AB40" s="86"/>
      <c r="AC40" s="120"/>
    </row>
    <row r="41" s="1" customFormat="1" ht="15" spans="2:29">
      <c r="B41" s="4" t="s">
        <v>121</v>
      </c>
      <c r="C41" s="115">
        <v>50000</v>
      </c>
      <c r="D41" s="115">
        <f>C41/$E$39</f>
        <v>2000</v>
      </c>
      <c r="E41" s="121"/>
      <c r="F41" s="117">
        <f>C41/$C$43</f>
        <v>0.0193731914173553</v>
      </c>
      <c r="G41" s="2"/>
      <c r="N41" s="32"/>
      <c r="O41" s="47">
        <v>1</v>
      </c>
      <c r="P41" s="122" t="s">
        <v>102</v>
      </c>
      <c r="Q41" s="123">
        <f>IF(N41&gt;0,(MAX(45%,112.5%+112.5%*(N41-2))),(IF(N41&lt;=0,0)))</f>
        <v>0</v>
      </c>
      <c r="R41" s="122" t="s">
        <v>102</v>
      </c>
      <c r="S41" s="124">
        <v>3674.1</v>
      </c>
      <c r="T41" s="125">
        <v>0</v>
      </c>
      <c r="U41" s="125">
        <v>0</v>
      </c>
      <c r="V41" s="126">
        <v>1</v>
      </c>
      <c r="W41" s="127">
        <v>0</v>
      </c>
      <c r="X41" s="126">
        <f t="shared" ref="X41:X44" si="15">$AF$3</f>
        <v>0.488431876606684</v>
      </c>
      <c r="Y41" s="122">
        <f>$AF$13</f>
        <v>0.8</v>
      </c>
      <c r="Z41" s="128">
        <v>0</v>
      </c>
      <c r="AA41" s="128">
        <v>0</v>
      </c>
      <c r="AB41" s="128">
        <v>0</v>
      </c>
      <c r="AC41" s="129">
        <f t="shared" ref="AC41:AC44" si="16">Q41*S41*(1+T41)*(1+U41)*V41*(1+W41)*X41*Y41*(1+Z41)*(1+AA41)*(1+AB41)*O41</f>
        <v>0</v>
      </c>
    </row>
    <row r="42" s="1" customFormat="1" ht="15" spans="2:29">
      <c r="B42" s="4" t="s">
        <v>98</v>
      </c>
      <c r="C42" s="115">
        <f>AC38</f>
        <v>68956.8904884319</v>
      </c>
      <c r="D42" s="115">
        <f>C42/$E$39</f>
        <v>2758.27561953727</v>
      </c>
      <c r="E42" s="121"/>
      <c r="F42" s="117">
        <f>C42/$C$43</f>
        <v>0.02671830077956</v>
      </c>
      <c r="G42" s="2"/>
      <c r="N42" s="32"/>
      <c r="O42" s="47"/>
      <c r="P42" s="130" t="s">
        <v>103</v>
      </c>
      <c r="Q42" s="131">
        <f>IF(N42=1,0.3,IF(AND(N42&gt;=2,N42&lt;=10),0.3+0.2439*(N42-1),IF(AND(N42&gt;=11),2.4951+0.8317*(N42-10),IF(AND(N42&lt;=0),0,""))))</f>
        <v>0</v>
      </c>
      <c r="R42" s="130" t="s">
        <v>103</v>
      </c>
      <c r="S42" s="132">
        <v>3674.1</v>
      </c>
      <c r="T42" s="133">
        <v>0</v>
      </c>
      <c r="U42" s="133">
        <v>0</v>
      </c>
      <c r="V42" s="134">
        <v>1</v>
      </c>
      <c r="W42" s="135">
        <v>0</v>
      </c>
      <c r="X42" s="134">
        <f t="shared" si="15"/>
        <v>0.488431876606684</v>
      </c>
      <c r="Y42" s="130">
        <f>$AF$11</f>
        <v>0.8</v>
      </c>
      <c r="Z42" s="136">
        <v>0</v>
      </c>
      <c r="AA42" s="136">
        <v>0</v>
      </c>
      <c r="AB42" s="136">
        <v>0</v>
      </c>
      <c r="AC42" s="137">
        <f t="shared" si="16"/>
        <v>0</v>
      </c>
    </row>
    <row r="43" s="1" customFormat="1" ht="15" spans="2:29">
      <c r="B43" s="4" t="s">
        <v>105</v>
      </c>
      <c r="C43" s="145">
        <f>SUM(C39:C42)</f>
        <v>2580886.07720089</v>
      </c>
      <c r="D43" s="145">
        <f>C43/E39</f>
        <v>103235.443088035</v>
      </c>
      <c r="E43" s="146"/>
      <c r="F43" s="147"/>
      <c r="G43" s="2"/>
      <c r="N43" s="32"/>
      <c r="O43" s="47">
        <v>1</v>
      </c>
      <c r="P43" s="59" t="s">
        <v>104</v>
      </c>
      <c r="Q43" s="138" t="str">
        <f>IF(N43=1,24.5%,IF(AND(10&gt;=N43,N43&gt;=2),24.5%+(N43-1)*19.9185%,IF(AND(13&gt;=N43,N43&gt;=11),203.77%+(N43-10)*(271.69%-203.77%),"")))</f>
        <v/>
      </c>
      <c r="R43" s="59" t="s">
        <v>104</v>
      </c>
      <c r="S43" s="139">
        <v>3674.1</v>
      </c>
      <c r="T43" s="140">
        <v>0</v>
      </c>
      <c r="U43" s="140">
        <v>0</v>
      </c>
      <c r="V43" s="141">
        <v>1</v>
      </c>
      <c r="W43" s="142">
        <v>0</v>
      </c>
      <c r="X43" s="141">
        <f t="shared" si="15"/>
        <v>0.488431876606684</v>
      </c>
      <c r="Y43" s="59">
        <f>$AF$15</f>
        <v>0.8</v>
      </c>
      <c r="Z43" s="143">
        <v>0</v>
      </c>
      <c r="AA43" s="143">
        <v>0</v>
      </c>
      <c r="AB43" s="143">
        <v>0</v>
      </c>
      <c r="AC43" s="144" t="e">
        <f t="shared" si="16"/>
        <v>#VALUE!</v>
      </c>
    </row>
    <row r="44" s="1" customFormat="1" ht="15" spans="2:29">
      <c r="B44" s="4"/>
      <c r="C44" s="4"/>
      <c r="D44" s="4"/>
      <c r="G44" s="2"/>
      <c r="N44" s="40"/>
      <c r="O44" s="79">
        <v>1</v>
      </c>
      <c r="P44" s="148" t="s">
        <v>106</v>
      </c>
      <c r="Q44" s="149" t="str">
        <f>IF(N44=1,0.84,IF(N44=2,1.5229,IF(N44=3,2.2058,IF(N44=4,2.8888,IF(N44=5,3.5717,IF(N44=6,4.2546,IF(N44=7,4.9375,IF(N44=8,5.6204,IF(N44=9,6.3034,IF(N44=10,6.9863,IF(N44=11,9.315,IF(N44=12,11.6438,IF(N44=13,13.9726,"")))))))))))))</f>
        <v/>
      </c>
      <c r="R44" s="148" t="s">
        <v>106</v>
      </c>
      <c r="S44" s="150">
        <v>3674.1</v>
      </c>
      <c r="T44" s="151">
        <v>0</v>
      </c>
      <c r="U44" s="151">
        <v>0</v>
      </c>
      <c r="V44" s="152">
        <v>1</v>
      </c>
      <c r="W44" s="153">
        <v>0</v>
      </c>
      <c r="X44" s="152">
        <f t="shared" si="15"/>
        <v>0.488431876606684</v>
      </c>
      <c r="Y44" s="148">
        <f>$AF$16</f>
        <v>0.8</v>
      </c>
      <c r="Z44" s="154">
        <v>0</v>
      </c>
      <c r="AA44" s="154">
        <v>0</v>
      </c>
      <c r="AB44" s="154">
        <v>0</v>
      </c>
      <c r="AC44" s="155" t="e">
        <f t="shared" si="16"/>
        <v>#VALUE!</v>
      </c>
    </row>
    <row r="45" s="1" customFormat="1" ht="17.5" spans="2:29">
      <c r="B45" s="4"/>
      <c r="C45" s="4"/>
      <c r="D45" s="4"/>
      <c r="F45" s="4"/>
      <c r="G45" s="158" t="s">
        <v>126</v>
      </c>
      <c r="H45" s="158" t="s">
        <v>127</v>
      </c>
      <c r="I45" s="158" t="s">
        <v>128</v>
      </c>
      <c r="J45" s="159" t="s">
        <v>2</v>
      </c>
      <c r="Q45" s="2"/>
      <c r="U45" s="2"/>
      <c r="V45" s="3"/>
      <c r="AB45" s="4"/>
      <c r="AC45" s="4"/>
    </row>
    <row r="46" s="1" customFormat="1" ht="15" spans="2:29">
      <c r="F46" s="4"/>
      <c r="G46" s="172" t="s">
        <v>8</v>
      </c>
      <c r="H46" s="121">
        <v>46513</v>
      </c>
      <c r="I46" s="121">
        <v>63971</v>
      </c>
      <c r="J46" s="160">
        <f>I46/H46-1</f>
        <v>0.375335927590136</v>
      </c>
      <c r="Q46" s="2"/>
      <c r="U46" s="2"/>
      <c r="V46" s="3"/>
      <c r="AB46" s="4"/>
      <c r="AC46" s="4"/>
    </row>
    <row r="47" s="1" customFormat="1" ht="15" spans="2:29">
      <c r="G47" s="121">
        <v>11</v>
      </c>
      <c r="H47" s="121">
        <v>48786</v>
      </c>
      <c r="I47" s="121">
        <v>67432</v>
      </c>
      <c r="J47" s="160">
        <f>I47/H47-1</f>
        <v>0.382199811421309</v>
      </c>
      <c r="Q47" s="2"/>
      <c r="U47" s="2"/>
      <c r="V47" s="3"/>
      <c r="AB47" s="4"/>
      <c r="AC47" s="4"/>
    </row>
    <row r="48" s="1" customFormat="1" ht="15" spans="2:29">
      <c r="B48" s="4"/>
      <c r="C48" s="4"/>
      <c r="D48" s="4"/>
      <c r="F48" s="4"/>
      <c r="G48" s="121">
        <v>21</v>
      </c>
      <c r="H48" s="121">
        <v>65709</v>
      </c>
      <c r="I48" s="121">
        <v>76874</v>
      </c>
      <c r="J48" s="160">
        <f>I48/H48-1</f>
        <v>0.169915841056781</v>
      </c>
      <c r="Q48" s="2"/>
      <c r="U48" s="2"/>
      <c r="V48" s="3"/>
      <c r="AB48" s="4"/>
      <c r="AC48" s="4"/>
    </row>
    <row r="49" s="1" customFormat="1" ht="15" spans="2:29">
      <c r="B49" s="4"/>
      <c r="C49" s="4"/>
      <c r="D49" s="4"/>
      <c r="F49" s="4"/>
      <c r="G49" s="121">
        <v>31</v>
      </c>
      <c r="H49" s="121">
        <v>69853</v>
      </c>
      <c r="I49" s="121">
        <v>92779</v>
      </c>
      <c r="J49" s="160">
        <f t="shared" ref="J49:J60" si="17">I49/H49-1</f>
        <v>0.328203513091778</v>
      </c>
      <c r="Q49" s="2"/>
      <c r="U49" s="2"/>
      <c r="V49" s="3"/>
      <c r="AB49" s="4"/>
      <c r="AC49" s="4"/>
    </row>
    <row r="50" s="1" customFormat="1" ht="15" spans="2:29">
      <c r="G50" s="121">
        <v>61</v>
      </c>
      <c r="H50" s="121">
        <v>103235</v>
      </c>
      <c r="I50" s="121">
        <v>133756</v>
      </c>
      <c r="J50" s="160">
        <f t="shared" si="17"/>
        <v>0.295645856540902</v>
      </c>
      <c r="Q50" s="2"/>
      <c r="U50" s="2"/>
      <c r="V50" s="3"/>
      <c r="AB50" s="4"/>
      <c r="AC50" s="4"/>
    </row>
    <row r="51" s="1" customFormat="1" ht="15" spans="2:29">
      <c r="B51" s="4"/>
      <c r="C51" s="4"/>
      <c r="D51" s="4"/>
      <c r="F51" s="4"/>
      <c r="G51" s="121"/>
      <c r="H51" s="121"/>
      <c r="I51" s="121"/>
      <c r="J51" s="161"/>
      <c r="Q51" s="2"/>
      <c r="U51" s="2"/>
      <c r="V51" s="3"/>
      <c r="AB51" s="4"/>
      <c r="AC51" s="4"/>
    </row>
    <row r="52" s="1" customFormat="1" spans="2:29">
      <c r="B52" s="4"/>
      <c r="C52" s="4"/>
      <c r="D52" s="4"/>
      <c r="F52" s="4"/>
      <c r="G52" s="2"/>
      <c r="Q52" s="2"/>
      <c r="U52" s="2"/>
      <c r="V52" s="3"/>
      <c r="AB52" s="4"/>
      <c r="AC52" s="4"/>
    </row>
    <row r="53" s="1" customFormat="1" ht="17.5" spans="2:29">
      <c r="G53" s="158" t="s">
        <v>126</v>
      </c>
      <c r="H53" s="158" t="s">
        <v>127</v>
      </c>
      <c r="I53" s="158" t="s">
        <v>6</v>
      </c>
      <c r="J53" s="159" t="s">
        <v>2</v>
      </c>
      <c r="Q53" s="2"/>
      <c r="U53" s="2"/>
      <c r="V53" s="3"/>
      <c r="AB53" s="4"/>
      <c r="AC53" s="4"/>
    </row>
    <row r="54" s="1" customFormat="1" ht="15" spans="2:29">
      <c r="B54" s="4"/>
      <c r="C54" s="4"/>
      <c r="D54" s="4"/>
      <c r="F54" s="4"/>
      <c r="G54" s="172" t="s">
        <v>8</v>
      </c>
      <c r="H54" s="121">
        <v>46513</v>
      </c>
      <c r="I54" s="121">
        <v>87273</v>
      </c>
      <c r="J54" s="162">
        <f t="shared" si="17"/>
        <v>0.876314148732612</v>
      </c>
      <c r="Q54" s="2"/>
      <c r="U54" s="2"/>
      <c r="V54" s="3"/>
      <c r="AB54" s="4"/>
      <c r="AC54" s="4"/>
    </row>
    <row r="55" s="1" customFormat="1" ht="15" spans="2:29">
      <c r="B55" s="4"/>
      <c r="C55" s="4"/>
      <c r="D55" s="4"/>
      <c r="G55" s="121">
        <v>11</v>
      </c>
      <c r="H55" s="121">
        <v>48786</v>
      </c>
      <c r="I55" s="121">
        <v>91651</v>
      </c>
      <c r="J55" s="162">
        <f t="shared" si="17"/>
        <v>0.878633214446767</v>
      </c>
      <c r="Q55" s="2"/>
      <c r="U55" s="2"/>
      <c r="V55" s="3"/>
      <c r="AB55" s="4"/>
      <c r="AC55" s="4"/>
    </row>
    <row r="56" s="1" customFormat="1" ht="15" spans="2:29">
      <c r="G56" s="121">
        <v>21</v>
      </c>
      <c r="H56" s="121">
        <v>65709</v>
      </c>
      <c r="I56" s="121">
        <v>127124</v>
      </c>
      <c r="J56" s="162">
        <f t="shared" si="17"/>
        <v>0.934651265427871</v>
      </c>
      <c r="Q56" s="2"/>
      <c r="U56" s="2"/>
      <c r="V56" s="3"/>
      <c r="AB56" s="4"/>
      <c r="AC56" s="4"/>
    </row>
    <row r="57" s="1" customFormat="1" ht="15" spans="2:29">
      <c r="B57" s="4"/>
      <c r="C57" s="4"/>
      <c r="D57" s="4"/>
      <c r="G57" s="121">
        <v>31</v>
      </c>
      <c r="H57" s="121">
        <v>69853</v>
      </c>
      <c r="I57" s="121">
        <v>140178</v>
      </c>
      <c r="J57" s="162">
        <f t="shared" si="17"/>
        <v>1.00675704694143</v>
      </c>
      <c r="Q57" s="2"/>
      <c r="U57" s="2"/>
      <c r="V57" s="3"/>
      <c r="AB57" s="4"/>
      <c r="AC57" s="4"/>
    </row>
    <row r="58" s="1" customFormat="1" ht="15" spans="2:29">
      <c r="G58" s="121">
        <v>61</v>
      </c>
      <c r="H58" s="121">
        <v>103235</v>
      </c>
      <c r="I58" s="121">
        <v>244457</v>
      </c>
      <c r="J58" s="162">
        <f t="shared" si="17"/>
        <v>1.36796629050225</v>
      </c>
      <c r="Q58" s="2"/>
      <c r="U58" s="2"/>
      <c r="V58" s="3"/>
      <c r="AB58" s="4"/>
      <c r="AC58" s="4"/>
    </row>
    <row r="59" s="1" customFormat="1" ht="15" spans="2:29">
      <c r="G59" s="2"/>
      <c r="H59" s="1"/>
      <c r="I59" s="1"/>
      <c r="J59" s="163"/>
      <c r="Q59" s="2"/>
      <c r="U59" s="2"/>
      <c r="V59" s="3"/>
      <c r="AB59" s="4"/>
      <c r="AC59" s="4"/>
    </row>
    <row r="60" ht="15" spans="2:29">
      <c r="J60" s="161"/>
    </row>
  </sheetData>
  <mergeCells count="21">
    <mergeCell ref="B2:M2"/>
    <mergeCell ref="B3:C3"/>
    <mergeCell ref="D3:E3"/>
    <mergeCell ref="F3:G3"/>
    <mergeCell ref="H3:I3"/>
    <mergeCell ref="J3:K3"/>
    <mergeCell ref="L3:M3"/>
    <mergeCell ref="B14:M14"/>
    <mergeCell ref="B15:C15"/>
    <mergeCell ref="D15:E15"/>
    <mergeCell ref="F15:G15"/>
    <mergeCell ref="H15:I15"/>
    <mergeCell ref="J15:K15"/>
    <mergeCell ref="L15:M15"/>
    <mergeCell ref="B26:M26"/>
    <mergeCell ref="B27:C27"/>
    <mergeCell ref="D27:E27"/>
    <mergeCell ref="F27:G27"/>
    <mergeCell ref="H27:I27"/>
    <mergeCell ref="J27:K27"/>
    <mergeCell ref="L27:M27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59"/>
  <sheetViews>
    <sheetView zoomScale="110" zoomScaleNormal="110" workbookViewId="0">
      <selection activeCell="M40" sqref="M40"/>
    </sheetView>
  </sheetViews>
  <sheetFormatPr defaultColWidth="9.69090909090909" defaultRowHeight="14"/>
  <cols>
    <col min="1" max="1" width="9.69090909090909" style="1"/>
    <col min="2" max="2" width="15.4545454545455" style="1" customWidth="1"/>
    <col min="3" max="3" width="10" style="1" customWidth="1"/>
    <col min="4" max="4" width="11.8181818181818" style="1" customWidth="1"/>
    <col min="5" max="5" width="5.54545454545455" style="1" customWidth="1"/>
    <col min="6" max="6" width="11.8181818181818" style="1" customWidth="1"/>
    <col min="7" max="7" width="7.54545454545455" style="2" customWidth="1"/>
    <col min="8" max="8" width="14" style="1" customWidth="1"/>
    <col min="9" max="9" width="8.54545454545454" style="1" customWidth="1"/>
    <col min="10" max="10" width="11.8181818181818" style="1" customWidth="1"/>
    <col min="11" max="11" width="4.54545454545455" style="1" customWidth="1"/>
    <col min="12" max="12" width="9.54545454545454" style="1" customWidth="1"/>
    <col min="13" max="13" width="7.54545454545455" style="1" customWidth="1"/>
    <col min="14" max="14" width="5.54545454545455" style="1" customWidth="1"/>
    <col min="15" max="15" width="6.27272727272727" style="1" customWidth="1"/>
    <col min="16" max="16" width="21.2727272727273" style="1" customWidth="1"/>
    <col min="17" max="17" width="9.54545454545454" style="2" customWidth="1"/>
    <col min="18" max="18" width="6.27272727272727" style="1" customWidth="1"/>
    <col min="19" max="19" width="11" style="1" customWidth="1"/>
    <col min="20" max="20" width="8.54545454545454" style="1" customWidth="1"/>
    <col min="21" max="21" width="8.54545454545454" style="2" customWidth="1"/>
    <col min="22" max="22" width="8.54545454545454" style="3" customWidth="1"/>
    <col min="23" max="25" width="8.54545454545454" style="1" customWidth="1"/>
    <col min="26" max="26" width="11" style="1" customWidth="1"/>
    <col min="27" max="27" width="8.54545454545454" style="1" customWidth="1"/>
    <col min="28" max="28" width="11" style="4" customWidth="1"/>
    <col min="29" max="29" width="10" style="4" customWidth="1"/>
    <col min="30" max="31" width="7.18181818181818" style="1" customWidth="1"/>
    <col min="32" max="32" width="9.54545454545454" style="1" customWidth="1"/>
    <col min="33" max="33" width="5.54545454545455" style="1" customWidth="1"/>
    <col min="34" max="34" width="8.54545454545454" style="1" customWidth="1"/>
    <col min="35" max="35" width="9.54545454545454" style="1" customWidth="1"/>
    <col min="36" max="16384" width="9.69090909090909" style="1"/>
  </cols>
  <sheetData>
    <row r="1" s="1" customFormat="1" ht="14.75" spans="2:35">
      <c r="B1" s="5" t="s">
        <v>9</v>
      </c>
      <c r="C1" s="5" t="s">
        <v>10</v>
      </c>
      <c r="D1" s="6" t="s">
        <v>11</v>
      </c>
      <c r="E1" s="6">
        <v>0</v>
      </c>
      <c r="Q1" s="2">
        <f>SUM(Q3:Q15)</f>
        <v>59.9057</v>
      </c>
      <c r="U1" s="2"/>
      <c r="V1" s="3"/>
      <c r="AB1" s="4"/>
      <c r="AC1" s="4"/>
    </row>
    <row r="2" s="1" customFormat="1" ht="15.75" spans="2:35">
      <c r="B2" s="7" t="s">
        <v>0</v>
      </c>
      <c r="C2" s="8"/>
      <c r="D2" s="8"/>
      <c r="E2" s="8"/>
      <c r="F2" s="8"/>
      <c r="G2" s="8"/>
      <c r="H2" s="8"/>
      <c r="I2" s="8"/>
      <c r="J2" s="8"/>
      <c r="K2" s="8"/>
      <c r="L2" s="8"/>
      <c r="M2" s="9"/>
      <c r="O2" s="10" t="s">
        <v>12</v>
      </c>
      <c r="P2" s="11" t="s">
        <v>13</v>
      </c>
      <c r="Q2" s="12" t="s">
        <v>14</v>
      </c>
      <c r="R2" s="11" t="s">
        <v>15</v>
      </c>
      <c r="S2" s="11" t="s">
        <v>16</v>
      </c>
      <c r="T2" s="11" t="s">
        <v>17</v>
      </c>
      <c r="U2" s="12" t="s">
        <v>18</v>
      </c>
      <c r="V2" s="13" t="s">
        <v>19</v>
      </c>
      <c r="W2" s="11" t="s">
        <v>20</v>
      </c>
      <c r="X2" s="11" t="s">
        <v>21</v>
      </c>
      <c r="Y2" s="11" t="s">
        <v>22</v>
      </c>
      <c r="Z2" s="11" t="s">
        <v>23</v>
      </c>
      <c r="AA2" s="11" t="s">
        <v>24</v>
      </c>
      <c r="AB2" s="14" t="s">
        <v>25</v>
      </c>
      <c r="AC2" s="15" t="s">
        <v>26</v>
      </c>
      <c r="AD2" s="16" t="s">
        <v>27</v>
      </c>
      <c r="AE2" s="16" t="s">
        <v>28</v>
      </c>
      <c r="AF2" s="17" t="s">
        <v>29</v>
      </c>
      <c r="AG2" s="17" t="s">
        <v>30</v>
      </c>
      <c r="AH2" s="18" t="s">
        <v>21</v>
      </c>
      <c r="AI2" s="18" t="s">
        <v>31</v>
      </c>
    </row>
    <row r="3" s="1" customFormat="1" ht="15" spans="2:35">
      <c r="B3" s="19" t="s">
        <v>32</v>
      </c>
      <c r="C3" s="20"/>
      <c r="D3" s="19" t="s">
        <v>18</v>
      </c>
      <c r="E3" s="20"/>
      <c r="F3" s="19" t="s">
        <v>33</v>
      </c>
      <c r="G3" s="20"/>
      <c r="H3" s="19" t="s">
        <v>34</v>
      </c>
      <c r="I3" s="20"/>
      <c r="J3" s="19" t="s">
        <v>20</v>
      </c>
      <c r="K3" s="20"/>
      <c r="L3" s="19" t="s">
        <v>35</v>
      </c>
      <c r="M3" s="20"/>
      <c r="O3" s="21">
        <v>1</v>
      </c>
      <c r="P3" s="22" t="s">
        <v>36</v>
      </c>
      <c r="Q3" s="23">
        <f>163.42%</f>
        <v>1.6342</v>
      </c>
      <c r="R3" s="24" t="s">
        <v>37</v>
      </c>
      <c r="S3" s="25">
        <f t="shared" ref="S3:S15" si="0">$C$4*(1+C$5+C$6+C$7+C$8)+C$9</f>
        <v>3429.168</v>
      </c>
      <c r="T3" s="23">
        <f t="shared" ref="T3:T15" si="1">($C$5+$C$6+$C$7+$C$8)+($C$9+$C$10)/$C$4</f>
        <v>2.348796875</v>
      </c>
      <c r="U3" s="23">
        <f t="shared" ref="U3:U15" si="2">IF(R3=$C$1,SUM($E$4:$E$9),SUM($E$4:$E$8))</f>
        <v>0.97</v>
      </c>
      <c r="V3" s="26">
        <f t="shared" ref="V3:V15" si="3">1+$G$10*($I$10-1)</f>
        <v>3.13796</v>
      </c>
      <c r="W3" s="27">
        <f t="shared" ref="W3:W6" si="4">IF(R3=$C$1,$K$4+$K$5,$K$4)</f>
        <v>0.15</v>
      </c>
      <c r="X3" s="26">
        <f t="shared" ref="X3:X15" si="5">$AH$4</f>
        <v>0.544100801832761</v>
      </c>
      <c r="Y3" s="24">
        <f t="shared" ref="Y3:Y15" si="6">$AH$11</f>
        <v>0.8</v>
      </c>
      <c r="Z3" s="28">
        <v>0</v>
      </c>
      <c r="AA3" s="28">
        <v>0.3</v>
      </c>
      <c r="AB3" s="28">
        <v>0</v>
      </c>
      <c r="AC3" s="29">
        <f t="shared" ref="AC3:AC15" si="7">Q3*$C$4*(1+T3)*(1+U3)*V3*(1+W3)*X3*Y3*(1+Z3)*(1+AA3)*(1+AB3)*O3</f>
        <v>22543.3338954852</v>
      </c>
      <c r="AD3" s="30">
        <v>10</v>
      </c>
      <c r="AE3" s="30"/>
      <c r="AF3" s="17">
        <v>0</v>
      </c>
      <c r="AG3" s="17">
        <v>0</v>
      </c>
      <c r="AH3" s="18">
        <f>1520/(1520+(792+8*AI3)*(1-AG3/100))</f>
        <v>0.488431876606684</v>
      </c>
      <c r="AI3" s="31">
        <v>100</v>
      </c>
    </row>
    <row r="4" s="1" customFormat="1" ht="15" spans="2:35">
      <c r="B4" s="32" t="s">
        <v>38</v>
      </c>
      <c r="C4" s="33">
        <f>437+587</f>
        <v>1024</v>
      </c>
      <c r="D4" s="32" t="s">
        <v>39</v>
      </c>
      <c r="E4" s="34">
        <f>E1*30%</f>
        <v>0</v>
      </c>
      <c r="F4" s="32" t="s">
        <v>40</v>
      </c>
      <c r="G4" s="35">
        <v>0.13</v>
      </c>
      <c r="H4" s="32" t="s">
        <v>40</v>
      </c>
      <c r="I4" s="35">
        <v>1.5</v>
      </c>
      <c r="J4" s="36" t="s">
        <v>41</v>
      </c>
      <c r="K4" s="34">
        <v>0.15</v>
      </c>
      <c r="L4" s="32" t="s">
        <v>42</v>
      </c>
      <c r="M4" s="35">
        <f>8.6%*2</f>
        <v>0.172</v>
      </c>
      <c r="O4" s="21">
        <v>1</v>
      </c>
      <c r="P4" s="29" t="s">
        <v>43</v>
      </c>
      <c r="Q4" s="23">
        <f>50.34%*2+33.41%*3+51.7%*4</f>
        <v>4.0771</v>
      </c>
      <c r="R4" s="24" t="s">
        <v>44</v>
      </c>
      <c r="S4" s="25">
        <f t="shared" si="0"/>
        <v>3429.168</v>
      </c>
      <c r="T4" s="23">
        <f t="shared" si="1"/>
        <v>2.348796875</v>
      </c>
      <c r="U4" s="23">
        <f t="shared" si="2"/>
        <v>0.97</v>
      </c>
      <c r="V4" s="26">
        <f t="shared" si="3"/>
        <v>3.13796</v>
      </c>
      <c r="W4" s="27">
        <f t="shared" si="4"/>
        <v>0.15</v>
      </c>
      <c r="X4" s="26">
        <f t="shared" si="5"/>
        <v>0.544100801832761</v>
      </c>
      <c r="Y4" s="24">
        <f t="shared" si="6"/>
        <v>0.8</v>
      </c>
      <c r="Z4" s="28">
        <v>0</v>
      </c>
      <c r="AA4" s="28">
        <v>0.3</v>
      </c>
      <c r="AB4" s="28">
        <v>0</v>
      </c>
      <c r="AC4" s="29">
        <f t="shared" si="7"/>
        <v>56242.4590780092</v>
      </c>
      <c r="AD4" s="30">
        <v>10</v>
      </c>
      <c r="AE4" s="30"/>
      <c r="AF4" s="17">
        <v>20</v>
      </c>
      <c r="AG4" s="17"/>
      <c r="AH4" s="18">
        <f>1520/(1520+(792+8*AI4)*(1-AG4/100)*(1-AF4/100))</f>
        <v>0.544100801832761</v>
      </c>
      <c r="AI4" s="31">
        <v>100</v>
      </c>
    </row>
    <row r="5" s="1" customFormat="1" ht="15" spans="2:35">
      <c r="B5" s="32" t="s">
        <v>45</v>
      </c>
      <c r="C5" s="34">
        <f>12%+12%*2</f>
        <v>0.36</v>
      </c>
      <c r="D5" s="32" t="s">
        <v>46</v>
      </c>
      <c r="E5" s="34">
        <f>12%+25%</f>
        <v>0.37</v>
      </c>
      <c r="F5" s="32" t="s">
        <v>47</v>
      </c>
      <c r="G5" s="35"/>
      <c r="H5" s="32" t="s">
        <v>47</v>
      </c>
      <c r="I5" s="35">
        <v>0.486</v>
      </c>
      <c r="J5" s="37" t="s">
        <v>48</v>
      </c>
      <c r="K5" s="34">
        <f>32%*2</f>
        <v>0.64</v>
      </c>
      <c r="L5" s="32" t="s">
        <v>49</v>
      </c>
      <c r="M5" s="35">
        <f>9.2%*2+32%</f>
        <v>0.504</v>
      </c>
      <c r="O5" s="21">
        <v>1</v>
      </c>
      <c r="P5" s="29" t="s">
        <v>50</v>
      </c>
      <c r="Q5" s="23">
        <f>28.81%*4+172.85%</f>
        <v>2.8809</v>
      </c>
      <c r="R5" s="24" t="s">
        <v>10</v>
      </c>
      <c r="S5" s="25">
        <f t="shared" si="0"/>
        <v>3429.168</v>
      </c>
      <c r="T5" s="23">
        <f t="shared" si="1"/>
        <v>2.348796875</v>
      </c>
      <c r="U5" s="23">
        <f t="shared" si="2"/>
        <v>2.15</v>
      </c>
      <c r="V5" s="26">
        <f t="shared" si="3"/>
        <v>3.13796</v>
      </c>
      <c r="W5" s="27">
        <f t="shared" si="4"/>
        <v>0.79</v>
      </c>
      <c r="X5" s="26">
        <f t="shared" si="5"/>
        <v>0.544100801832761</v>
      </c>
      <c r="Y5" s="24">
        <f t="shared" si="6"/>
        <v>0.8</v>
      </c>
      <c r="Z5" s="28">
        <v>0.7</v>
      </c>
      <c r="AA5" s="28">
        <v>0.3</v>
      </c>
      <c r="AB5" s="28">
        <v>0</v>
      </c>
      <c r="AC5" s="29">
        <f t="shared" si="7"/>
        <v>168147.16932917</v>
      </c>
      <c r="AD5" s="30">
        <v>10</v>
      </c>
      <c r="AE5" s="30"/>
      <c r="AF5" s="17">
        <f t="shared" ref="AF5:AF8" si="8">AF4+5</f>
        <v>25</v>
      </c>
      <c r="AG5" s="17"/>
      <c r="AH5" s="18">
        <f>1520/(1520+(792+8*AI5)*(1-AG5/100)*(1-AF5/100))</f>
        <v>0.56005895357406</v>
      </c>
      <c r="AI5" s="31">
        <v>100</v>
      </c>
    </row>
    <row r="6" s="1" customFormat="1" ht="15" spans="2:35">
      <c r="B6" s="32" t="s">
        <v>51</v>
      </c>
      <c r="C6" s="34">
        <f>18%+18%+M4+(1-E1)*30%</f>
        <v>0.832</v>
      </c>
      <c r="D6" s="32" t="s">
        <v>52</v>
      </c>
      <c r="E6" s="34">
        <f>E11*3%+30%</f>
        <v>0.48</v>
      </c>
      <c r="F6" s="32" t="s">
        <v>53</v>
      </c>
      <c r="G6" s="35">
        <v>0.2</v>
      </c>
      <c r="H6" s="32" t="s">
        <v>53</v>
      </c>
      <c r="I6" s="35">
        <v>0</v>
      </c>
      <c r="J6" s="37"/>
      <c r="K6" s="35"/>
      <c r="L6" s="32" t="s">
        <v>33</v>
      </c>
      <c r="M6" s="35">
        <f>8.1*5%</f>
        <v>0.405</v>
      </c>
      <c r="O6" s="21">
        <v>1</v>
      </c>
      <c r="P6" s="29" t="s">
        <v>54</v>
      </c>
      <c r="Q6" s="23">
        <f>132.51%</f>
        <v>1.3251</v>
      </c>
      <c r="R6" s="24" t="s">
        <v>10</v>
      </c>
      <c r="S6" s="25">
        <f t="shared" si="0"/>
        <v>3429.168</v>
      </c>
      <c r="T6" s="23">
        <f t="shared" si="1"/>
        <v>2.348796875</v>
      </c>
      <c r="U6" s="23">
        <f t="shared" si="2"/>
        <v>2.15</v>
      </c>
      <c r="V6" s="26">
        <f t="shared" si="3"/>
        <v>3.13796</v>
      </c>
      <c r="W6" s="27">
        <f>IF(R6=$C$1,$K$4+$K$5,$K$4)+0.9</f>
        <v>1.69</v>
      </c>
      <c r="X6" s="26">
        <f>$AH$6</f>
        <v>0.57698147585788</v>
      </c>
      <c r="Y6" s="24">
        <f t="shared" si="6"/>
        <v>0.8</v>
      </c>
      <c r="Z6" s="28">
        <v>0</v>
      </c>
      <c r="AA6" s="28">
        <v>0.3</v>
      </c>
      <c r="AB6" s="28">
        <v>0</v>
      </c>
      <c r="AC6" s="29">
        <f t="shared" si="7"/>
        <v>72500.8107157694</v>
      </c>
      <c r="AD6" s="30">
        <v>10</v>
      </c>
      <c r="AE6" s="30"/>
      <c r="AF6" s="17">
        <f t="shared" si="8"/>
        <v>30</v>
      </c>
      <c r="AG6" s="17"/>
      <c r="AH6" s="18">
        <f>1520/(1520+(792+8*AI6)*(1-AG6/100)*(1-AF6/100))</f>
        <v>0.57698147585788</v>
      </c>
      <c r="AI6" s="31">
        <v>100</v>
      </c>
    </row>
    <row r="7" s="1" customFormat="1" ht="15" spans="2:35">
      <c r="B7" s="32" t="s">
        <v>55</v>
      </c>
      <c r="C7" s="38">
        <v>0.2</v>
      </c>
      <c r="D7" s="32" t="s">
        <v>56</v>
      </c>
      <c r="E7" s="34">
        <v>0.12</v>
      </c>
      <c r="F7" s="32" t="s">
        <v>51</v>
      </c>
      <c r="G7" s="35">
        <f>M6</f>
        <v>0.405</v>
      </c>
      <c r="H7" s="32" t="s">
        <v>51</v>
      </c>
      <c r="I7" s="35">
        <f>M7+44%</f>
        <v>1.25</v>
      </c>
      <c r="J7" s="37"/>
      <c r="K7" s="35"/>
      <c r="L7" s="32" t="s">
        <v>57</v>
      </c>
      <c r="M7" s="34">
        <f>16.2%*5</f>
        <v>0.81</v>
      </c>
      <c r="O7" s="21">
        <v>1</v>
      </c>
      <c r="P7" s="29" t="s">
        <v>58</v>
      </c>
      <c r="Q7" s="23">
        <f>39.76%+59.63%*4+119.26%</f>
        <v>3.9754</v>
      </c>
      <c r="R7" s="24" t="s">
        <v>10</v>
      </c>
      <c r="S7" s="25">
        <f t="shared" si="0"/>
        <v>3429.168</v>
      </c>
      <c r="T7" s="23">
        <f t="shared" si="1"/>
        <v>2.348796875</v>
      </c>
      <c r="U7" s="23">
        <f t="shared" si="2"/>
        <v>2.15</v>
      </c>
      <c r="V7" s="26">
        <f t="shared" si="3"/>
        <v>3.13796</v>
      </c>
      <c r="W7" s="27">
        <f>IF(R7=$C$1,$K$4+$K$5,$K$4)+1.35</f>
        <v>2.14</v>
      </c>
      <c r="X7" s="26">
        <f>$AH$7</f>
        <v>0.594958509472366</v>
      </c>
      <c r="Y7" s="24">
        <f t="shared" si="6"/>
        <v>0.8</v>
      </c>
      <c r="Z7" s="28">
        <v>0.5</v>
      </c>
      <c r="AA7" s="28">
        <v>0.3</v>
      </c>
      <c r="AB7" s="28">
        <v>0</v>
      </c>
      <c r="AC7" s="29">
        <f t="shared" si="7"/>
        <v>392706.852665297</v>
      </c>
      <c r="AD7" s="30">
        <v>10</v>
      </c>
      <c r="AE7" s="30"/>
      <c r="AF7" s="17">
        <f t="shared" si="8"/>
        <v>35</v>
      </c>
      <c r="AG7" s="17"/>
      <c r="AH7" s="18">
        <f>1520/(1520+(792+8*AI7)*(1-AG7/100)*(1-AF7/100))</f>
        <v>0.594958509472366</v>
      </c>
      <c r="AI7" s="31">
        <v>100</v>
      </c>
    </row>
    <row r="8" s="1" customFormat="1" ht="15" spans="2:35">
      <c r="B8" s="32" t="s">
        <v>59</v>
      </c>
      <c r="C8" s="38">
        <f>39%+22.5%</f>
        <v>0.615</v>
      </c>
      <c r="D8" s="32" t="s">
        <v>60</v>
      </c>
      <c r="E8" s="39"/>
      <c r="F8" s="32" t="s">
        <v>61</v>
      </c>
      <c r="G8" s="35">
        <v>0</v>
      </c>
      <c r="H8" s="32" t="s">
        <v>61</v>
      </c>
      <c r="I8" s="35">
        <v>0</v>
      </c>
      <c r="J8" s="37"/>
      <c r="K8" s="35"/>
      <c r="L8" s="32"/>
      <c r="M8" s="33"/>
      <c r="O8" s="21">
        <v>1</v>
      </c>
      <c r="P8" s="29" t="s">
        <v>62</v>
      </c>
      <c r="Q8" s="23">
        <v>8.6143</v>
      </c>
      <c r="R8" s="24" t="s">
        <v>10</v>
      </c>
      <c r="S8" s="25">
        <f t="shared" si="0"/>
        <v>3429.168</v>
      </c>
      <c r="T8" s="23">
        <f t="shared" si="1"/>
        <v>2.348796875</v>
      </c>
      <c r="U8" s="23">
        <f t="shared" si="2"/>
        <v>2.15</v>
      </c>
      <c r="V8" s="26">
        <f t="shared" si="3"/>
        <v>3.13796</v>
      </c>
      <c r="W8" s="27">
        <f t="shared" ref="W8:W10" si="9">IF(R8=$C$1,$K$4+$K$5,$K$4)</f>
        <v>0.79</v>
      </c>
      <c r="X8" s="26">
        <f t="shared" si="5"/>
        <v>0.544100801832761</v>
      </c>
      <c r="Y8" s="24">
        <f t="shared" si="6"/>
        <v>0.8</v>
      </c>
      <c r="Z8" s="28">
        <v>0.3</v>
      </c>
      <c r="AA8" s="28">
        <v>0.3</v>
      </c>
      <c r="AB8" s="28">
        <v>0</v>
      </c>
      <c r="AC8" s="29">
        <f t="shared" si="7"/>
        <v>384481.81205178</v>
      </c>
      <c r="AD8" s="30">
        <v>10</v>
      </c>
      <c r="AE8" s="30"/>
      <c r="AF8" s="17">
        <f t="shared" si="8"/>
        <v>40</v>
      </c>
      <c r="AG8" s="17"/>
      <c r="AH8" s="18">
        <f>1520/(1520+(792+8*AI8)*(1-AG8/100)*(1-AF8/100))</f>
        <v>0.614091790562379</v>
      </c>
      <c r="AI8" s="31">
        <v>100</v>
      </c>
    </row>
    <row r="9" s="1" customFormat="1" ht="15" spans="2:35">
      <c r="B9" s="32" t="s">
        <v>63</v>
      </c>
      <c r="C9" s="33">
        <v>350</v>
      </c>
      <c r="D9" s="32" t="s">
        <v>64</v>
      </c>
      <c r="E9" s="34">
        <f>50%+20%+E11*3%+30%</f>
        <v>1.18</v>
      </c>
      <c r="F9" s="32" t="s">
        <v>65</v>
      </c>
      <c r="G9" s="35">
        <v>0.125</v>
      </c>
      <c r="H9" s="32" t="s">
        <v>65</v>
      </c>
      <c r="I9" s="35">
        <v>0.25</v>
      </c>
      <c r="J9" s="37"/>
      <c r="K9" s="35"/>
      <c r="L9" s="32"/>
      <c r="M9" s="33"/>
      <c r="O9" s="21">
        <v>1</v>
      </c>
      <c r="P9" s="29" t="s">
        <v>66</v>
      </c>
      <c r="Q9" s="23">
        <f>52.97%+50.34%*2+33.41%*3+51.7%*4</f>
        <v>4.6068</v>
      </c>
      <c r="R9" s="24" t="s">
        <v>44</v>
      </c>
      <c r="S9" s="25">
        <f t="shared" si="0"/>
        <v>3429.168</v>
      </c>
      <c r="T9" s="23">
        <f t="shared" si="1"/>
        <v>2.348796875</v>
      </c>
      <c r="U9" s="23">
        <f t="shared" si="2"/>
        <v>0.97</v>
      </c>
      <c r="V9" s="26">
        <f t="shared" si="3"/>
        <v>3.13796</v>
      </c>
      <c r="W9" s="27">
        <f t="shared" si="9"/>
        <v>0.15</v>
      </c>
      <c r="X9" s="26">
        <f t="shared" si="5"/>
        <v>0.544100801832761</v>
      </c>
      <c r="Y9" s="24">
        <f t="shared" si="6"/>
        <v>0.8</v>
      </c>
      <c r="Z9" s="28">
        <v>0</v>
      </c>
      <c r="AA9" s="28">
        <v>0.3</v>
      </c>
      <c r="AB9" s="28">
        <v>0</v>
      </c>
      <c r="AC9" s="29">
        <f t="shared" si="7"/>
        <v>63549.5230631019</v>
      </c>
      <c r="AD9" s="30">
        <v>10</v>
      </c>
      <c r="AE9" s="30"/>
    </row>
    <row r="10" s="1" customFormat="1" ht="15" spans="2:35">
      <c r="B10" s="40" t="s">
        <v>67</v>
      </c>
      <c r="C10" s="41"/>
      <c r="D10" s="40"/>
      <c r="E10" s="42"/>
      <c r="F10" s="43" t="s">
        <v>68</v>
      </c>
      <c r="G10" s="44">
        <f>MIN(100%,SUM(G4:G9))</f>
        <v>0.86</v>
      </c>
      <c r="H10" s="43" t="s">
        <v>69</v>
      </c>
      <c r="I10" s="44">
        <f>SUM(I4:I9)</f>
        <v>3.486</v>
      </c>
      <c r="J10" s="45"/>
      <c r="K10" s="46"/>
      <c r="L10" s="40"/>
      <c r="M10" s="41"/>
      <c r="O10" s="21">
        <v>1</v>
      </c>
      <c r="P10" s="29" t="s">
        <v>70</v>
      </c>
      <c r="Q10" s="23">
        <f>27.83%*3+194.77%</f>
        <v>2.7826</v>
      </c>
      <c r="R10" s="24" t="s">
        <v>10</v>
      </c>
      <c r="S10" s="25">
        <f t="shared" si="0"/>
        <v>3429.168</v>
      </c>
      <c r="T10" s="23">
        <f t="shared" si="1"/>
        <v>2.348796875</v>
      </c>
      <c r="U10" s="23">
        <f t="shared" si="2"/>
        <v>2.15</v>
      </c>
      <c r="V10" s="26">
        <f t="shared" si="3"/>
        <v>3.13796</v>
      </c>
      <c r="W10" s="27">
        <f t="shared" si="9"/>
        <v>0.79</v>
      </c>
      <c r="X10" s="26">
        <f t="shared" si="5"/>
        <v>0.544100801832761</v>
      </c>
      <c r="Y10" s="24">
        <f t="shared" si="6"/>
        <v>0.8</v>
      </c>
      <c r="Z10" s="28">
        <v>0.7</v>
      </c>
      <c r="AA10" s="28">
        <v>0.3</v>
      </c>
      <c r="AB10" s="28">
        <v>0</v>
      </c>
      <c r="AC10" s="29">
        <f t="shared" si="7"/>
        <v>162409.772423669</v>
      </c>
      <c r="AD10" s="30">
        <v>10</v>
      </c>
      <c r="AE10" s="30"/>
    </row>
    <row r="11" s="1" customFormat="1" ht="15" spans="2:35">
      <c r="B11" s="47"/>
      <c r="C11" s="47"/>
      <c r="D11" s="1" t="s">
        <v>71</v>
      </c>
      <c r="E11" s="48">
        <v>6</v>
      </c>
      <c r="F11" s="19" t="s">
        <v>72</v>
      </c>
      <c r="G11" s="49">
        <f>MAX(0,SUM(G4:G9)-1)</f>
        <v>0</v>
      </c>
      <c r="J11" s="2"/>
      <c r="K11" s="2"/>
      <c r="O11" s="21">
        <v>1</v>
      </c>
      <c r="P11" s="29" t="s">
        <v>54</v>
      </c>
      <c r="Q11" s="23">
        <f>132.51%</f>
        <v>1.3251</v>
      </c>
      <c r="R11" s="24" t="s">
        <v>10</v>
      </c>
      <c r="S11" s="25">
        <f t="shared" si="0"/>
        <v>3429.168</v>
      </c>
      <c r="T11" s="23">
        <f t="shared" si="1"/>
        <v>2.348796875</v>
      </c>
      <c r="U11" s="23">
        <f t="shared" si="2"/>
        <v>2.15</v>
      </c>
      <c r="V11" s="26">
        <f t="shared" si="3"/>
        <v>3.13796</v>
      </c>
      <c r="W11" s="27">
        <f>IF(R11=$C$1,$K$4+$K$5,$K$4)+1.35</f>
        <v>2.14</v>
      </c>
      <c r="X11" s="26">
        <f>$AH$7</f>
        <v>0.594958509472366</v>
      </c>
      <c r="Y11" s="24">
        <f t="shared" si="6"/>
        <v>0.8</v>
      </c>
      <c r="Z11" s="28">
        <v>0</v>
      </c>
      <c r="AA11" s="28">
        <v>0.3</v>
      </c>
      <c r="AB11" s="28">
        <v>0</v>
      </c>
      <c r="AC11" s="29">
        <f t="shared" si="7"/>
        <v>87265.9942759277</v>
      </c>
      <c r="AD11" s="30">
        <v>10</v>
      </c>
      <c r="AE11" s="30"/>
      <c r="AG11" s="50" t="s">
        <v>73</v>
      </c>
      <c r="AH11" s="50">
        <v>0.8</v>
      </c>
    </row>
    <row r="12" s="1" customFormat="1" ht="15" spans="2:35">
      <c r="B12" s="47"/>
      <c r="C12" s="47"/>
      <c r="E12" s="51"/>
      <c r="G12" s="52"/>
      <c r="J12" s="2"/>
      <c r="K12" s="2"/>
      <c r="O12" s="1">
        <v>1</v>
      </c>
      <c r="P12" s="29" t="s">
        <v>74</v>
      </c>
      <c r="Q12" s="23">
        <f>117.67%+205.92%+264.75%</f>
        <v>5.8834</v>
      </c>
      <c r="R12" s="24" t="s">
        <v>10</v>
      </c>
      <c r="S12" s="25">
        <f t="shared" si="0"/>
        <v>3429.168</v>
      </c>
      <c r="T12" s="23">
        <f t="shared" si="1"/>
        <v>2.348796875</v>
      </c>
      <c r="U12" s="23">
        <f t="shared" si="2"/>
        <v>2.15</v>
      </c>
      <c r="V12" s="26">
        <f t="shared" si="3"/>
        <v>3.13796</v>
      </c>
      <c r="W12" s="27">
        <f>IF(R12=$C$1,$K$4+$K$5,$K$4)+1.8</f>
        <v>2.59</v>
      </c>
      <c r="X12" s="26">
        <f>$AH$8</f>
        <v>0.614091790562379</v>
      </c>
      <c r="Y12" s="24">
        <f t="shared" si="6"/>
        <v>0.8</v>
      </c>
      <c r="Z12" s="28">
        <v>0.5</v>
      </c>
      <c r="AA12" s="28">
        <v>0.3</v>
      </c>
      <c r="AB12" s="28">
        <v>0</v>
      </c>
      <c r="AC12" s="29">
        <f t="shared" si="7"/>
        <v>685847.301323707</v>
      </c>
      <c r="AD12" s="30">
        <v>10</v>
      </c>
      <c r="AE12" s="30"/>
      <c r="AG12" s="53" t="s">
        <v>75</v>
      </c>
      <c r="AH12" s="53">
        <v>0.8</v>
      </c>
    </row>
    <row r="13" s="1" customFormat="1" ht="15" spans="2:35">
      <c r="B13" s="5" t="s">
        <v>9</v>
      </c>
      <c r="C13" s="5" t="s">
        <v>44</v>
      </c>
      <c r="D13" s="6" t="s">
        <v>11</v>
      </c>
      <c r="E13" s="6">
        <v>2</v>
      </c>
      <c r="O13" s="21">
        <v>1</v>
      </c>
      <c r="P13" s="29" t="s">
        <v>76</v>
      </c>
      <c r="Q13" s="23">
        <f>302.87%+908.61%</f>
        <v>12.1148</v>
      </c>
      <c r="R13" s="24" t="s">
        <v>10</v>
      </c>
      <c r="S13" s="25">
        <f t="shared" si="0"/>
        <v>3429.168</v>
      </c>
      <c r="T13" s="23">
        <f t="shared" si="1"/>
        <v>2.348796875</v>
      </c>
      <c r="U13" s="23">
        <f t="shared" si="2"/>
        <v>2.15</v>
      </c>
      <c r="V13" s="26">
        <f t="shared" si="3"/>
        <v>3.13796</v>
      </c>
      <c r="W13" s="27">
        <f>IF(R13=$C$1,$K$4+$K$5,$K$4)+1.8</f>
        <v>2.59</v>
      </c>
      <c r="X13" s="26">
        <f>$AH$8</f>
        <v>0.614091790562379</v>
      </c>
      <c r="Y13" s="24">
        <f t="shared" si="6"/>
        <v>0.8</v>
      </c>
      <c r="Z13" s="28">
        <v>1.15</v>
      </c>
      <c r="AA13" s="28">
        <v>0.3</v>
      </c>
      <c r="AB13" s="28">
        <v>0</v>
      </c>
      <c r="AC13" s="29">
        <f t="shared" si="7"/>
        <v>2024242.35476815</v>
      </c>
      <c r="AD13" s="30">
        <v>10</v>
      </c>
      <c r="AE13" s="30"/>
      <c r="AG13" s="54" t="s">
        <v>77</v>
      </c>
      <c r="AH13" s="54">
        <v>0.8</v>
      </c>
    </row>
    <row r="14" s="1" customFormat="1" ht="15" spans="2:35">
      <c r="B14" s="55" t="s">
        <v>78</v>
      </c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O14" s="21">
        <v>1</v>
      </c>
      <c r="P14" s="29" t="s">
        <v>79</v>
      </c>
      <c r="Q14" s="23">
        <v>7.95</v>
      </c>
      <c r="R14" s="24" t="s">
        <v>80</v>
      </c>
      <c r="S14" s="25">
        <f t="shared" si="0"/>
        <v>3429.168</v>
      </c>
      <c r="T14" s="23">
        <f t="shared" si="1"/>
        <v>2.348796875</v>
      </c>
      <c r="U14" s="23">
        <f t="shared" si="2"/>
        <v>0.97</v>
      </c>
      <c r="V14" s="26">
        <f t="shared" si="3"/>
        <v>3.13796</v>
      </c>
      <c r="W14" s="27">
        <f>IF(R14=$C$1,$K$4+$K$5,$K$4)</f>
        <v>0.15</v>
      </c>
      <c r="X14" s="26">
        <f t="shared" si="5"/>
        <v>0.544100801832761</v>
      </c>
      <c r="Y14" s="24">
        <f t="shared" si="6"/>
        <v>0.8</v>
      </c>
      <c r="Z14" s="28">
        <v>0</v>
      </c>
      <c r="AA14" s="28">
        <v>0.3</v>
      </c>
      <c r="AB14" s="28">
        <v>0</v>
      </c>
      <c r="AC14" s="29">
        <f t="shared" si="7"/>
        <v>109668.036023196</v>
      </c>
      <c r="AD14" s="30">
        <v>10</v>
      </c>
      <c r="AE14" s="30"/>
      <c r="AG14" s="56" t="s">
        <v>81</v>
      </c>
      <c r="AH14" s="56">
        <v>0.8</v>
      </c>
    </row>
    <row r="15" s="1" customFormat="1" ht="12" customHeight="1" spans="2:35">
      <c r="B15" s="57" t="s">
        <v>32</v>
      </c>
      <c r="C15" s="57"/>
      <c r="D15" s="57" t="s">
        <v>18</v>
      </c>
      <c r="E15" s="57"/>
      <c r="F15" s="57" t="s">
        <v>33</v>
      </c>
      <c r="G15" s="57"/>
      <c r="H15" s="57" t="s">
        <v>34</v>
      </c>
      <c r="I15" s="57"/>
      <c r="J15" s="57" t="s">
        <v>20</v>
      </c>
      <c r="K15" s="57"/>
      <c r="L15" s="57" t="s">
        <v>35</v>
      </c>
      <c r="M15" s="57"/>
      <c r="O15" s="21">
        <v>1</v>
      </c>
      <c r="P15" s="58" t="s">
        <v>10</v>
      </c>
      <c r="Q15" s="23">
        <v>2.736</v>
      </c>
      <c r="R15" s="24" t="s">
        <v>10</v>
      </c>
      <c r="S15" s="25">
        <f t="shared" si="0"/>
        <v>3429.168</v>
      </c>
      <c r="T15" s="23">
        <f t="shared" si="1"/>
        <v>2.348796875</v>
      </c>
      <c r="U15" s="23">
        <f t="shared" si="2"/>
        <v>2.15</v>
      </c>
      <c r="V15" s="26">
        <f t="shared" si="3"/>
        <v>3.13796</v>
      </c>
      <c r="W15" s="27">
        <f>IF(R15=$C$1,$K$4+$K$5,$K$4)</f>
        <v>0.79</v>
      </c>
      <c r="X15" s="26">
        <f t="shared" si="5"/>
        <v>0.544100801832761</v>
      </c>
      <c r="Y15" s="24">
        <f t="shared" si="6"/>
        <v>0.8</v>
      </c>
      <c r="Z15" s="28">
        <v>0</v>
      </c>
      <c r="AA15" s="28">
        <v>0.3</v>
      </c>
      <c r="AB15" s="28">
        <v>0</v>
      </c>
      <c r="AC15" s="29">
        <f t="shared" si="7"/>
        <v>93935.2398626674</v>
      </c>
      <c r="AD15" s="30">
        <v>10</v>
      </c>
      <c r="AE15" s="30"/>
      <c r="AG15" s="59" t="s">
        <v>82</v>
      </c>
      <c r="AH15" s="60">
        <v>0.8</v>
      </c>
    </row>
    <row r="16" s="1" customFormat="1" ht="15" spans="2:35">
      <c r="B16" s="61" t="s">
        <v>38</v>
      </c>
      <c r="C16" s="62">
        <f>437+587</f>
        <v>1024</v>
      </c>
      <c r="D16" s="61" t="s">
        <v>39</v>
      </c>
      <c r="E16" s="63">
        <f>E13*30%</f>
        <v>0.6</v>
      </c>
      <c r="F16" s="61" t="s">
        <v>40</v>
      </c>
      <c r="G16" s="64">
        <v>0.13</v>
      </c>
      <c r="H16" s="61" t="s">
        <v>40</v>
      </c>
      <c r="I16" s="64">
        <v>1.5</v>
      </c>
      <c r="J16" s="65" t="s">
        <v>41</v>
      </c>
      <c r="K16" s="63">
        <v>0.15</v>
      </c>
      <c r="L16" s="61" t="s">
        <v>42</v>
      </c>
      <c r="M16" s="64">
        <f>8.6%*2</f>
        <v>0.172</v>
      </c>
      <c r="O16" s="61"/>
      <c r="P16" s="66" t="s">
        <v>83</v>
      </c>
      <c r="Q16" s="67">
        <f>53.45%*2+95.43%+39.23%+26.15%*6</f>
        <v>3.9846</v>
      </c>
      <c r="R16" s="68" t="s">
        <v>44</v>
      </c>
      <c r="S16" s="69">
        <f>$C$16*(1+$C$17+$C$18+$C$19+$C$20)+($C$21+$C$22)</f>
        <v>2650.928</v>
      </c>
      <c r="T16" s="67">
        <f>($C$17+$C$18+$C$19+$C$20)+($C$21+$C$22)/$C$16</f>
        <v>1.588796875</v>
      </c>
      <c r="U16" s="67">
        <f>IF(R16=$C$13,SUM($E$16:$E$21),SUM($E$16:$E$20))</f>
        <v>0.9</v>
      </c>
      <c r="V16" s="70">
        <f>1+$G$22*($I$22-1)</f>
        <v>2.7115</v>
      </c>
      <c r="W16" s="71">
        <f>IF(R16=$C$1,$K$16+$K$17,$K$16)</f>
        <v>0.15</v>
      </c>
      <c r="X16" s="70">
        <f>$AH$3</f>
        <v>0.488431876606684</v>
      </c>
      <c r="Y16" s="68">
        <f>$AH$12</f>
        <v>0.8</v>
      </c>
      <c r="Z16" s="72">
        <v>0</v>
      </c>
      <c r="AA16" s="72">
        <v>0</v>
      </c>
      <c r="AB16" s="72">
        <v>0</v>
      </c>
      <c r="AC16" s="66"/>
      <c r="AG16" s="73" t="s">
        <v>84</v>
      </c>
      <c r="AH16" s="73">
        <v>0.8</v>
      </c>
    </row>
    <row r="17" s="1" customFormat="1" ht="15" spans="2:34">
      <c r="B17" s="32" t="s">
        <v>45</v>
      </c>
      <c r="C17" s="34">
        <f>12%+12%</f>
        <v>0.24</v>
      </c>
      <c r="D17" s="32" t="s">
        <v>46</v>
      </c>
      <c r="E17" s="34"/>
      <c r="F17" s="32" t="s">
        <v>47</v>
      </c>
      <c r="G17" s="35">
        <v>0.243</v>
      </c>
      <c r="H17" s="32" t="s">
        <v>47</v>
      </c>
      <c r="I17" s="35">
        <v>0</v>
      </c>
      <c r="J17" s="37" t="s">
        <v>48</v>
      </c>
      <c r="K17" s="34">
        <v>0.25</v>
      </c>
      <c r="L17" s="32" t="s">
        <v>85</v>
      </c>
      <c r="M17" s="35">
        <f>8.6%*2</f>
        <v>0.172</v>
      </c>
      <c r="O17" s="32"/>
      <c r="P17" s="66" t="s">
        <v>83</v>
      </c>
      <c r="Q17" s="74">
        <f>53.45%*2+95.43%+39.23%+26.15%*6</f>
        <v>3.9846</v>
      </c>
      <c r="R17" s="47" t="s">
        <v>86</v>
      </c>
      <c r="S17" s="75">
        <f>$C$16*(1+$C$17+$C$18+$C$19+$C$20)+($C$21+$C$22)</f>
        <v>2650.928</v>
      </c>
      <c r="T17" s="74">
        <f>($C$17+$C$18+$C$19+$C$20)+($C$21+$C$22)/$C$16</f>
        <v>1.588796875</v>
      </c>
      <c r="U17" s="74">
        <f>IF(R17=$C$13,SUM($E$16:$E$21),SUM($E$16:$E$20))</f>
        <v>0.6</v>
      </c>
      <c r="V17" s="76">
        <f>1+$G$22*($I$22-1)</f>
        <v>2.7115</v>
      </c>
      <c r="W17" s="71">
        <f>IF(R17=$C$1,$K$16+$K$17,$K$16)</f>
        <v>0.15</v>
      </c>
      <c r="X17" s="76">
        <f>$AH$3</f>
        <v>0.488431876606684</v>
      </c>
      <c r="Y17" s="47">
        <f>$AH$12</f>
        <v>0.8</v>
      </c>
      <c r="Z17" s="77">
        <v>0</v>
      </c>
      <c r="AA17" s="77">
        <v>0</v>
      </c>
      <c r="AB17" s="77">
        <v>0</v>
      </c>
      <c r="AC17" s="66"/>
    </row>
    <row r="18" s="1" customFormat="1" ht="15" spans="2:34">
      <c r="B18" s="32" t="s">
        <v>51</v>
      </c>
      <c r="C18" s="34">
        <f>18%+18%+M16+(2-E13)*30%</f>
        <v>0.532</v>
      </c>
      <c r="D18" s="32" t="s">
        <v>52</v>
      </c>
      <c r="E18" s="34"/>
      <c r="F18" s="32" t="s">
        <v>53</v>
      </c>
      <c r="G18" s="35">
        <v>0.2</v>
      </c>
      <c r="H18" s="32" t="s">
        <v>53</v>
      </c>
      <c r="I18" s="35">
        <v>0</v>
      </c>
      <c r="J18" s="37"/>
      <c r="K18" s="35"/>
      <c r="L18" s="32" t="s">
        <v>33</v>
      </c>
      <c r="M18" s="35">
        <f>8.1*5%</f>
        <v>0.405</v>
      </c>
      <c r="O18" s="32"/>
      <c r="P18" s="66"/>
      <c r="Q18" s="74"/>
      <c r="R18" s="47"/>
      <c r="S18" s="47"/>
      <c r="T18" s="47"/>
      <c r="U18" s="74"/>
      <c r="V18" s="76"/>
      <c r="W18" s="77"/>
      <c r="X18" s="47"/>
      <c r="Y18" s="47"/>
      <c r="Z18" s="77"/>
      <c r="AA18" s="77"/>
      <c r="AB18" s="75"/>
      <c r="AC18" s="66"/>
      <c r="AG18" s="1" t="s">
        <v>87</v>
      </c>
      <c r="AH18" s="1">
        <v>0.8</v>
      </c>
    </row>
    <row r="19" s="1" customFormat="1" ht="15" spans="2:34">
      <c r="B19" s="32" t="s">
        <v>55</v>
      </c>
      <c r="C19" s="38"/>
      <c r="D19" s="32" t="s">
        <v>56</v>
      </c>
      <c r="E19" s="34"/>
      <c r="F19" s="32" t="s">
        <v>51</v>
      </c>
      <c r="G19" s="35">
        <f>M18</f>
        <v>0.405</v>
      </c>
      <c r="H19" s="32" t="s">
        <v>51</v>
      </c>
      <c r="I19" s="35">
        <f>M19+44%</f>
        <v>1.25</v>
      </c>
      <c r="J19" s="37"/>
      <c r="K19" s="35"/>
      <c r="L19" s="32" t="s">
        <v>57</v>
      </c>
      <c r="M19" s="34">
        <f>16.2%*5</f>
        <v>0.81</v>
      </c>
      <c r="O19" s="32"/>
      <c r="P19" s="66"/>
      <c r="Q19" s="74"/>
      <c r="R19" s="47"/>
      <c r="S19" s="47"/>
      <c r="T19" s="47"/>
      <c r="U19" s="74"/>
      <c r="V19" s="76"/>
      <c r="W19" s="77"/>
      <c r="X19" s="47"/>
      <c r="Y19" s="47"/>
      <c r="Z19" s="77"/>
      <c r="AA19" s="77"/>
      <c r="AB19" s="75"/>
      <c r="AC19" s="66"/>
    </row>
    <row r="20" s="1" customFormat="1" ht="15" spans="2:34">
      <c r="B20" s="32" t="s">
        <v>59</v>
      </c>
      <c r="C20" s="38">
        <f>22.5%+25%</f>
        <v>0.475</v>
      </c>
      <c r="D20" s="32" t="s">
        <v>60</v>
      </c>
      <c r="E20" s="39"/>
      <c r="F20" s="32" t="s">
        <v>61</v>
      </c>
      <c r="G20" s="35">
        <v>0</v>
      </c>
      <c r="H20" s="32" t="s">
        <v>61</v>
      </c>
      <c r="I20" s="35">
        <v>0</v>
      </c>
      <c r="J20" s="37"/>
      <c r="K20" s="35"/>
      <c r="L20" s="32"/>
      <c r="M20" s="33"/>
      <c r="O20" s="32"/>
      <c r="P20" s="66"/>
      <c r="Q20" s="74"/>
      <c r="R20" s="47"/>
      <c r="S20" s="47"/>
      <c r="T20" s="47"/>
      <c r="U20" s="74"/>
      <c r="V20" s="76"/>
      <c r="W20" s="77"/>
      <c r="X20" s="47"/>
      <c r="Y20" s="47"/>
      <c r="Z20" s="77"/>
      <c r="AA20" s="77"/>
      <c r="AB20" s="75"/>
      <c r="AC20" s="66"/>
    </row>
    <row r="21" s="1" customFormat="1" ht="15" spans="2:34">
      <c r="B21" s="32" t="s">
        <v>63</v>
      </c>
      <c r="C21" s="33">
        <v>350</v>
      </c>
      <c r="D21" s="32" t="s">
        <v>64</v>
      </c>
      <c r="E21" s="34">
        <v>0.3</v>
      </c>
      <c r="F21" s="32" t="s">
        <v>65</v>
      </c>
      <c r="G21" s="35">
        <v>0</v>
      </c>
      <c r="H21" s="32" t="s">
        <v>65</v>
      </c>
      <c r="I21" s="35">
        <v>0</v>
      </c>
      <c r="J21" s="37"/>
      <c r="K21" s="35"/>
      <c r="L21" s="32"/>
      <c r="M21" s="33"/>
      <c r="O21" s="32"/>
      <c r="P21" s="66"/>
      <c r="Q21" s="74"/>
      <c r="R21" s="47"/>
      <c r="S21" s="47"/>
      <c r="T21" s="47"/>
      <c r="U21" s="74"/>
      <c r="V21" s="76"/>
      <c r="W21" s="77"/>
      <c r="X21" s="47"/>
      <c r="Y21" s="47"/>
      <c r="Z21" s="77"/>
      <c r="AA21" s="77"/>
      <c r="AB21" s="75"/>
      <c r="AC21" s="66"/>
    </row>
    <row r="22" s="1" customFormat="1" ht="15" spans="2:34">
      <c r="B22" s="40" t="s">
        <v>67</v>
      </c>
      <c r="C22" s="41"/>
      <c r="D22" s="40"/>
      <c r="E22" s="42"/>
      <c r="F22" s="43" t="s">
        <v>68</v>
      </c>
      <c r="G22" s="44">
        <f>MIN(100%,SUM(G16:G21))</f>
        <v>0.978</v>
      </c>
      <c r="H22" s="43" t="s">
        <v>69</v>
      </c>
      <c r="I22" s="44">
        <f>SUM(I16:I21)</f>
        <v>2.75</v>
      </c>
      <c r="J22" s="45"/>
      <c r="K22" s="46"/>
      <c r="L22" s="40"/>
      <c r="M22" s="41"/>
      <c r="O22" s="32"/>
      <c r="P22" s="66"/>
      <c r="Q22" s="74"/>
      <c r="R22" s="47"/>
      <c r="S22" s="47"/>
      <c r="T22" s="47"/>
      <c r="U22" s="74"/>
      <c r="V22" s="76"/>
      <c r="W22" s="77"/>
      <c r="X22" s="47"/>
      <c r="Y22" s="47"/>
      <c r="Z22" s="77"/>
      <c r="AA22" s="77"/>
      <c r="AB22" s="75"/>
      <c r="AC22" s="66"/>
    </row>
    <row r="23" s="1" customFormat="1" ht="15" spans="2:34">
      <c r="B23" s="47"/>
      <c r="C23" s="47"/>
      <c r="E23" s="51"/>
      <c r="F23" s="19" t="s">
        <v>72</v>
      </c>
      <c r="G23" s="49">
        <f>MAX(0,SUM(G16:G21)-1)</f>
        <v>0</v>
      </c>
      <c r="J23" s="2"/>
      <c r="K23" s="2"/>
      <c r="O23" s="40"/>
      <c r="P23" s="66"/>
      <c r="Q23" s="78"/>
      <c r="R23" s="79"/>
      <c r="S23" s="79"/>
      <c r="T23" s="79"/>
      <c r="U23" s="78"/>
      <c r="V23" s="80"/>
      <c r="W23" s="81"/>
      <c r="X23" s="79"/>
      <c r="Y23" s="79"/>
      <c r="Z23" s="81"/>
      <c r="AA23" s="81"/>
      <c r="AB23" s="82"/>
      <c r="AC23" s="66"/>
    </row>
    <row r="24" s="1" customFormat="1" ht="15" spans="2:34">
      <c r="B24" s="47"/>
      <c r="C24" s="47"/>
      <c r="E24" s="51"/>
      <c r="J24" s="2"/>
      <c r="K24" s="2"/>
      <c r="O24" s="83"/>
      <c r="P24" s="84" t="s">
        <v>83</v>
      </c>
      <c r="Q24" s="85">
        <f>53.45%*2+95.43%+39.23%+26.15%*6</f>
        <v>3.9846</v>
      </c>
      <c r="R24" s="85" t="s">
        <v>44</v>
      </c>
      <c r="S24" s="86">
        <f>$C$28*(1+$C$29+$C$30+$C$31+$C$32)+($C$33+$C$34)</f>
        <v>2650.928</v>
      </c>
      <c r="T24" s="87">
        <f>S24/$C$28-1</f>
        <v>1.588796875</v>
      </c>
      <c r="U24" s="87">
        <f>IF(R24=$C$25,SUM($E$28:$E$33),SUM($E$28:$E$32))</f>
        <v>0.9</v>
      </c>
      <c r="V24" s="88">
        <f>1+$G$34*($I$34-1)</f>
        <v>2.7115</v>
      </c>
      <c r="W24" s="85">
        <f>IF(R24=$C$1,$K$28+$K$29,$K$28)</f>
        <v>0.15</v>
      </c>
      <c r="X24" s="88">
        <f>$AH$3</f>
        <v>0.488431876606684</v>
      </c>
      <c r="Y24" s="85">
        <f>$AH$13</f>
        <v>0.8</v>
      </c>
      <c r="Z24" s="89">
        <v>0</v>
      </c>
      <c r="AA24" s="89">
        <v>0</v>
      </c>
      <c r="AB24" s="89">
        <v>0</v>
      </c>
      <c r="AC24" s="84"/>
    </row>
    <row r="25" s="1" customFormat="1" ht="15" spans="2:34">
      <c r="B25" s="5" t="s">
        <v>9</v>
      </c>
      <c r="C25" s="5" t="s">
        <v>44</v>
      </c>
      <c r="D25" s="6" t="s">
        <v>11</v>
      </c>
      <c r="E25" s="6">
        <v>2</v>
      </c>
      <c r="O25" s="90"/>
      <c r="P25" s="84" t="s">
        <v>83</v>
      </c>
      <c r="Q25" s="91">
        <f>53.45%*2+95.43%+39.23%+26.15%*6</f>
        <v>3.9846</v>
      </c>
      <c r="R25" s="91" t="s">
        <v>86</v>
      </c>
      <c r="S25" s="92">
        <f>$C$28*(1+$C$29+$C$30+$C$31+$C$32)+($C$33+$C$34)</f>
        <v>2650.928</v>
      </c>
      <c r="T25" s="93">
        <f>S25/$C$28-1</f>
        <v>1.588796875</v>
      </c>
      <c r="U25" s="93">
        <f>IF(R25=$C$25,SUM($E$28:$E$33),SUM($E$28:$E$32))</f>
        <v>0.6</v>
      </c>
      <c r="V25" s="94">
        <f>1+$G$34*($I$34-1)</f>
        <v>2.7115</v>
      </c>
      <c r="W25" s="85">
        <f>IF(R25=$C$1,$K$28+$K$29,$K$28)</f>
        <v>0.15</v>
      </c>
      <c r="X25" s="94">
        <f>$AH$3</f>
        <v>0.488431876606684</v>
      </c>
      <c r="Y25" s="91">
        <f>$AH$13</f>
        <v>0.8</v>
      </c>
      <c r="Z25" s="95">
        <v>0</v>
      </c>
      <c r="AA25" s="95">
        <v>0</v>
      </c>
      <c r="AB25" s="95">
        <v>0</v>
      </c>
      <c r="AC25" s="84"/>
    </row>
    <row r="26" s="1" customFormat="1" ht="15" spans="2:34">
      <c r="B26" s="96" t="s">
        <v>88</v>
      </c>
      <c r="C26" s="96"/>
      <c r="D26" s="96"/>
      <c r="E26" s="96"/>
      <c r="F26" s="96"/>
      <c r="G26" s="96"/>
      <c r="H26" s="96"/>
      <c r="I26" s="96"/>
      <c r="J26" s="96"/>
      <c r="K26" s="96"/>
      <c r="L26" s="96"/>
      <c r="M26" s="96"/>
      <c r="O26" s="90"/>
      <c r="P26" s="84"/>
      <c r="Q26" s="91"/>
      <c r="R26" s="91"/>
      <c r="S26" s="91"/>
      <c r="T26" s="91"/>
      <c r="U26" s="93"/>
      <c r="V26" s="97"/>
      <c r="W26" s="91"/>
      <c r="X26" s="91"/>
      <c r="Y26" s="91"/>
      <c r="Z26" s="91"/>
      <c r="AA26" s="91"/>
      <c r="AB26" s="92"/>
      <c r="AC26" s="84"/>
    </row>
    <row r="27" s="1" customFormat="1" ht="15" spans="2:34">
      <c r="B27" s="19" t="s">
        <v>32</v>
      </c>
      <c r="C27" s="20"/>
      <c r="D27" s="19" t="s">
        <v>18</v>
      </c>
      <c r="E27" s="20"/>
      <c r="F27" s="19" t="s">
        <v>33</v>
      </c>
      <c r="G27" s="20"/>
      <c r="H27" s="19" t="s">
        <v>34</v>
      </c>
      <c r="I27" s="20"/>
      <c r="J27" s="19" t="s">
        <v>20</v>
      </c>
      <c r="K27" s="20"/>
      <c r="L27" s="19" t="s">
        <v>35</v>
      </c>
      <c r="M27" s="20"/>
      <c r="O27" s="90"/>
      <c r="P27" s="84"/>
      <c r="Q27" s="93"/>
      <c r="R27" s="91"/>
      <c r="S27" s="91"/>
      <c r="T27" s="91"/>
      <c r="U27" s="93"/>
      <c r="V27" s="97"/>
      <c r="W27" s="91"/>
      <c r="X27" s="91"/>
      <c r="Y27" s="91"/>
      <c r="Z27" s="91"/>
      <c r="AA27" s="91"/>
      <c r="AB27" s="92"/>
      <c r="AC27" s="84"/>
    </row>
    <row r="28" s="1" customFormat="1" ht="15" spans="2:34">
      <c r="B28" s="32" t="s">
        <v>38</v>
      </c>
      <c r="C28" s="33">
        <f>437+587</f>
        <v>1024</v>
      </c>
      <c r="D28" s="32" t="s">
        <v>39</v>
      </c>
      <c r="E28" s="34">
        <f>E25*30%</f>
        <v>0.6</v>
      </c>
      <c r="F28" s="32" t="s">
        <v>40</v>
      </c>
      <c r="G28" s="35">
        <v>0.13</v>
      </c>
      <c r="H28" s="32" t="s">
        <v>40</v>
      </c>
      <c r="I28" s="35">
        <v>1.5</v>
      </c>
      <c r="J28" s="36" t="s">
        <v>41</v>
      </c>
      <c r="K28" s="34">
        <v>0.15</v>
      </c>
      <c r="L28" s="32" t="s">
        <v>42</v>
      </c>
      <c r="M28" s="35">
        <f>8.6%*2</f>
        <v>0.172</v>
      </c>
      <c r="O28" s="90"/>
      <c r="P28" s="84"/>
      <c r="Q28" s="93"/>
      <c r="R28" s="91"/>
      <c r="S28" s="91"/>
      <c r="T28" s="91"/>
      <c r="U28" s="93"/>
      <c r="V28" s="97"/>
      <c r="W28" s="91"/>
      <c r="X28" s="91"/>
      <c r="Y28" s="91"/>
      <c r="Z28" s="91"/>
      <c r="AA28" s="91"/>
      <c r="AB28" s="92"/>
      <c r="AC28" s="84"/>
    </row>
    <row r="29" s="1" customFormat="1" ht="15" spans="2:34">
      <c r="B29" s="32" t="s">
        <v>45</v>
      </c>
      <c r="C29" s="34">
        <f>12%+12%</f>
        <v>0.24</v>
      </c>
      <c r="D29" s="32" t="s">
        <v>46</v>
      </c>
      <c r="E29" s="34"/>
      <c r="F29" s="32" t="s">
        <v>47</v>
      </c>
      <c r="G29" s="35">
        <v>0.243</v>
      </c>
      <c r="H29" s="32" t="s">
        <v>47</v>
      </c>
      <c r="I29" s="35">
        <v>0</v>
      </c>
      <c r="J29" s="37" t="s">
        <v>48</v>
      </c>
      <c r="K29" s="34">
        <v>0.25</v>
      </c>
      <c r="L29" s="32" t="s">
        <v>85</v>
      </c>
      <c r="M29" s="35">
        <f>8.6%*2</f>
        <v>0.172</v>
      </c>
      <c r="O29" s="90"/>
      <c r="P29" s="84"/>
      <c r="Q29" s="92"/>
      <c r="R29" s="91"/>
      <c r="S29" s="91"/>
      <c r="T29" s="91"/>
      <c r="U29" s="93"/>
      <c r="V29" s="92"/>
      <c r="W29" s="91"/>
      <c r="X29" s="91"/>
      <c r="Y29" s="91"/>
      <c r="Z29" s="91"/>
      <c r="AA29" s="91"/>
      <c r="AB29" s="92"/>
      <c r="AC29" s="84"/>
    </row>
    <row r="30" s="1" customFormat="1" ht="15" spans="2:34">
      <c r="B30" s="32" t="s">
        <v>51</v>
      </c>
      <c r="C30" s="34">
        <f>18%+18%+M28+(2-E25)*30%</f>
        <v>0.532</v>
      </c>
      <c r="D30" s="32" t="s">
        <v>52</v>
      </c>
      <c r="E30" s="34"/>
      <c r="F30" s="32" t="s">
        <v>53</v>
      </c>
      <c r="G30" s="35">
        <v>0.2</v>
      </c>
      <c r="H30" s="32" t="s">
        <v>53</v>
      </c>
      <c r="I30" s="35">
        <v>0</v>
      </c>
      <c r="J30" s="37"/>
      <c r="K30" s="35"/>
      <c r="L30" s="32" t="s">
        <v>33</v>
      </c>
      <c r="M30" s="35">
        <f>8.1*5%</f>
        <v>0.405</v>
      </c>
      <c r="O30" s="90"/>
      <c r="P30" s="84"/>
      <c r="Q30" s="92"/>
      <c r="R30" s="91"/>
      <c r="S30" s="91"/>
      <c r="T30" s="91"/>
      <c r="U30" s="93"/>
      <c r="V30" s="92"/>
      <c r="W30" s="91"/>
      <c r="X30" s="91"/>
      <c r="Y30" s="91"/>
      <c r="Z30" s="91"/>
      <c r="AA30" s="91"/>
      <c r="AB30" s="92"/>
      <c r="AC30" s="84"/>
    </row>
    <row r="31" s="1" customFormat="1" ht="15" spans="2:34">
      <c r="B31" s="32" t="s">
        <v>55</v>
      </c>
      <c r="C31" s="38"/>
      <c r="D31" s="32" t="s">
        <v>56</v>
      </c>
      <c r="E31" s="34"/>
      <c r="F31" s="32" t="s">
        <v>51</v>
      </c>
      <c r="G31" s="35">
        <f>M30</f>
        <v>0.405</v>
      </c>
      <c r="H31" s="32" t="s">
        <v>51</v>
      </c>
      <c r="I31" s="35">
        <f>M31+44%</f>
        <v>1.25</v>
      </c>
      <c r="J31" s="37"/>
      <c r="K31" s="35"/>
      <c r="L31" s="32" t="s">
        <v>57</v>
      </c>
      <c r="M31" s="34">
        <f>16.2%*5</f>
        <v>0.81</v>
      </c>
      <c r="O31" s="90"/>
      <c r="P31" s="84"/>
      <c r="Q31" s="92"/>
      <c r="R31" s="91"/>
      <c r="S31" s="91"/>
      <c r="T31" s="91"/>
      <c r="U31" s="91"/>
      <c r="V31" s="92"/>
      <c r="W31" s="91"/>
      <c r="X31" s="91"/>
      <c r="Y31" s="91"/>
      <c r="Z31" s="91"/>
      <c r="AA31" s="91"/>
      <c r="AB31" s="92"/>
      <c r="AC31" s="84"/>
    </row>
    <row r="32" s="1" customFormat="1" ht="15" spans="2:34">
      <c r="B32" s="32" t="s">
        <v>59</v>
      </c>
      <c r="C32" s="38">
        <f>22.5%+25%</f>
        <v>0.475</v>
      </c>
      <c r="D32" s="32" t="s">
        <v>60</v>
      </c>
      <c r="E32" s="39"/>
      <c r="F32" s="32" t="s">
        <v>61</v>
      </c>
      <c r="G32" s="35">
        <v>0</v>
      </c>
      <c r="H32" s="32" t="s">
        <v>61</v>
      </c>
      <c r="I32" s="35">
        <v>0</v>
      </c>
      <c r="J32" s="37"/>
      <c r="K32" s="35"/>
      <c r="L32" s="32"/>
      <c r="M32" s="33"/>
      <c r="O32" s="90"/>
      <c r="P32" s="84"/>
      <c r="Q32" s="92"/>
      <c r="R32" s="91"/>
      <c r="S32" s="91"/>
      <c r="T32" s="91"/>
      <c r="U32" s="93"/>
      <c r="V32" s="93"/>
      <c r="W32" s="91"/>
      <c r="X32" s="91"/>
      <c r="Y32" s="91"/>
      <c r="Z32" s="91"/>
      <c r="AA32" s="91"/>
      <c r="AB32" s="92"/>
      <c r="AC32" s="84"/>
    </row>
    <row r="33" s="1" customFormat="1" ht="15" spans="1:29">
      <c r="B33" s="32" t="s">
        <v>63</v>
      </c>
      <c r="C33" s="33">
        <v>350</v>
      </c>
      <c r="D33" s="32" t="s">
        <v>64</v>
      </c>
      <c r="E33" s="34">
        <v>0.3</v>
      </c>
      <c r="F33" s="32" t="s">
        <v>65</v>
      </c>
      <c r="G33" s="35">
        <v>0</v>
      </c>
      <c r="H33" s="32" t="s">
        <v>65</v>
      </c>
      <c r="I33" s="35">
        <v>0</v>
      </c>
      <c r="J33" s="37"/>
      <c r="K33" s="35"/>
      <c r="L33" s="32"/>
      <c r="M33" s="33"/>
      <c r="O33" s="98"/>
      <c r="P33" s="84"/>
      <c r="Q33" s="99"/>
      <c r="R33" s="100"/>
      <c r="S33" s="100"/>
      <c r="T33" s="100"/>
      <c r="U33" s="99"/>
      <c r="V33" s="101"/>
      <c r="W33" s="100"/>
      <c r="X33" s="100"/>
      <c r="Y33" s="100"/>
      <c r="Z33" s="100"/>
      <c r="AA33" s="100"/>
      <c r="AB33" s="102"/>
      <c r="AC33" s="84"/>
    </row>
    <row r="34" s="1" customFormat="1" spans="1:29">
      <c r="B34" s="40" t="s">
        <v>67</v>
      </c>
      <c r="C34" s="41"/>
      <c r="D34" s="40"/>
      <c r="E34" s="42"/>
      <c r="F34" s="43" t="s">
        <v>68</v>
      </c>
      <c r="G34" s="44">
        <f>MIN(100%,SUM(G28:G33))</f>
        <v>0.978</v>
      </c>
      <c r="H34" s="43" t="s">
        <v>69</v>
      </c>
      <c r="I34" s="44">
        <f>SUM(I28:I33)</f>
        <v>2.75</v>
      </c>
      <c r="J34" s="45"/>
      <c r="K34" s="46"/>
      <c r="L34" s="40"/>
      <c r="M34" s="41"/>
    </row>
    <row r="35" s="1" customFormat="1" ht="15" spans="1:29">
      <c r="F35" s="19" t="s">
        <v>72</v>
      </c>
      <c r="G35" s="49">
        <f>MAX(0,SUM(G28:G33)-1)</f>
        <v>0</v>
      </c>
      <c r="O35" s="61">
        <v>0</v>
      </c>
      <c r="P35" s="68" t="s">
        <v>89</v>
      </c>
      <c r="Q35" s="67">
        <v>18.8075</v>
      </c>
      <c r="R35" s="68" t="s">
        <v>90</v>
      </c>
      <c r="S35" s="68">
        <v>10027</v>
      </c>
      <c r="T35" s="67">
        <v>0</v>
      </c>
      <c r="U35" s="67">
        <v>0</v>
      </c>
      <c r="V35" s="70">
        <v>1</v>
      </c>
      <c r="W35" s="71">
        <v>0</v>
      </c>
      <c r="X35" s="70">
        <f t="shared" ref="X35:X38" si="10">$AH$3</f>
        <v>0.488431876606684</v>
      </c>
      <c r="Y35" s="68">
        <f t="shared" ref="Y35:Y38" si="11">$AH$18</f>
        <v>0.8</v>
      </c>
      <c r="Z35" s="72">
        <v>0</v>
      </c>
      <c r="AA35" s="72">
        <v>0</v>
      </c>
      <c r="AB35" s="63">
        <v>0.5</v>
      </c>
      <c r="AC35" s="103">
        <f t="shared" ref="AC35:AC38" si="12">Q35*S35*(1+T35)*(1+U35)*V35*(1+W35)*X35*Y35*(1+Z35)*(1+AA35)*(1+AB35)*O35</f>
        <v>0</v>
      </c>
    </row>
    <row r="36" s="1" customFormat="1" ht="15" spans="1:29">
      <c r="G36" s="2"/>
      <c r="O36" s="32">
        <v>0</v>
      </c>
      <c r="P36" s="47" t="s">
        <v>91</v>
      </c>
      <c r="Q36" s="74">
        <v>2.9822</v>
      </c>
      <c r="R36" s="47" t="s">
        <v>90</v>
      </c>
      <c r="S36" s="47">
        <v>10027</v>
      </c>
      <c r="T36" s="74">
        <v>0</v>
      </c>
      <c r="U36" s="74">
        <v>0</v>
      </c>
      <c r="V36" s="76">
        <v>1</v>
      </c>
      <c r="W36" s="48">
        <v>0</v>
      </c>
      <c r="X36" s="76">
        <f t="shared" si="10"/>
        <v>0.488431876606684</v>
      </c>
      <c r="Y36" s="47">
        <f t="shared" si="11"/>
        <v>0.8</v>
      </c>
      <c r="Z36" s="77">
        <v>0</v>
      </c>
      <c r="AA36" s="77">
        <v>0</v>
      </c>
      <c r="AB36" s="34">
        <v>0.5</v>
      </c>
      <c r="AC36" s="103">
        <f t="shared" si="12"/>
        <v>0</v>
      </c>
    </row>
    <row r="37" s="1" customFormat="1" ht="15" spans="1:29">
      <c r="B37" s="104" t="s">
        <v>92</v>
      </c>
      <c r="D37" s="104"/>
      <c r="G37" s="2"/>
      <c r="O37" s="32">
        <v>0</v>
      </c>
      <c r="P37" s="47" t="s">
        <v>93</v>
      </c>
      <c r="Q37" s="74">
        <v>5.9643</v>
      </c>
      <c r="R37" s="47" t="s">
        <v>90</v>
      </c>
      <c r="S37" s="47">
        <v>10027</v>
      </c>
      <c r="T37" s="74">
        <v>0</v>
      </c>
      <c r="U37" s="74">
        <v>0</v>
      </c>
      <c r="V37" s="76">
        <v>1</v>
      </c>
      <c r="W37" s="48">
        <v>0</v>
      </c>
      <c r="X37" s="76">
        <f t="shared" si="10"/>
        <v>0.488431876606684</v>
      </c>
      <c r="Y37" s="47">
        <f t="shared" si="11"/>
        <v>0.8</v>
      </c>
      <c r="Z37" s="77">
        <v>0</v>
      </c>
      <c r="AA37" s="77">
        <v>0</v>
      </c>
      <c r="AB37" s="34">
        <v>0.5</v>
      </c>
      <c r="AC37" s="105">
        <f t="shared" si="12"/>
        <v>0</v>
      </c>
    </row>
    <row r="38" s="1" customFormat="1" ht="15" spans="1:29">
      <c r="B38" s="106"/>
      <c r="C38" s="107" t="s">
        <v>94</v>
      </c>
      <c r="D38" s="107" t="s">
        <v>95</v>
      </c>
      <c r="E38" s="107" t="s">
        <v>96</v>
      </c>
      <c r="F38" s="107" t="s">
        <v>97</v>
      </c>
      <c r="G38" s="2"/>
      <c r="O38" s="19">
        <v>1</v>
      </c>
      <c r="P38" s="108" t="s">
        <v>98</v>
      </c>
      <c r="Q38" s="109">
        <v>16</v>
      </c>
      <c r="R38" s="108" t="s">
        <v>99</v>
      </c>
      <c r="S38" s="108">
        <v>10027</v>
      </c>
      <c r="T38" s="109">
        <v>0</v>
      </c>
      <c r="U38" s="109">
        <v>0</v>
      </c>
      <c r="V38" s="110">
        <v>1</v>
      </c>
      <c r="W38" s="111">
        <v>0</v>
      </c>
      <c r="X38" s="110">
        <f t="shared" si="10"/>
        <v>0.488431876606684</v>
      </c>
      <c r="Y38" s="108">
        <f t="shared" si="11"/>
        <v>0.8</v>
      </c>
      <c r="Z38" s="112">
        <v>0</v>
      </c>
      <c r="AA38" s="112">
        <v>0</v>
      </c>
      <c r="AB38" s="113">
        <v>0</v>
      </c>
      <c r="AC38" s="114">
        <f t="shared" si="12"/>
        <v>62688.0822622108</v>
      </c>
    </row>
    <row r="39" s="1" customFormat="1" ht="15" spans="1:29">
      <c r="B39" s="4" t="s">
        <v>0</v>
      </c>
      <c r="C39" s="115">
        <f>SUM(AC3:AC15)</f>
        <v>4323540.65947593</v>
      </c>
      <c r="D39" s="115">
        <f t="shared" ref="D39:D43" si="13">C39/$E$39</f>
        <v>172941.626379037</v>
      </c>
      <c r="E39" s="116">
        <v>25</v>
      </c>
      <c r="F39" s="117">
        <f t="shared" ref="F39:F43" si="14">C39/$C$44</f>
        <v>0.92035064680282</v>
      </c>
      <c r="G39" s="2"/>
      <c r="Q39" s="2"/>
      <c r="U39" s="2"/>
      <c r="V39" s="3"/>
      <c r="AB39" s="4"/>
      <c r="AC39" s="4"/>
    </row>
    <row r="40" s="1" customFormat="1" ht="15" spans="1:29">
      <c r="A40" s="1" t="s">
        <v>120</v>
      </c>
      <c r="B40" s="4" t="s">
        <v>129</v>
      </c>
      <c r="C40" s="115">
        <f>249030*1.05</f>
        <v>261481.5</v>
      </c>
      <c r="D40" s="115">
        <f t="shared" si="13"/>
        <v>10459.26</v>
      </c>
      <c r="E40" s="118"/>
      <c r="F40" s="117">
        <f t="shared" si="14"/>
        <v>0.0556614790066858</v>
      </c>
      <c r="G40" s="2"/>
      <c r="N40" s="83" t="s">
        <v>101</v>
      </c>
      <c r="O40" s="85" t="s">
        <v>12</v>
      </c>
      <c r="P40" s="85"/>
      <c r="Q40" s="87"/>
      <c r="R40" s="85"/>
      <c r="S40" s="85"/>
      <c r="T40" s="85"/>
      <c r="U40" s="87"/>
      <c r="V40" s="119"/>
      <c r="W40" s="85"/>
      <c r="X40" s="85"/>
      <c r="Y40" s="85"/>
      <c r="Z40" s="85"/>
      <c r="AA40" s="85"/>
      <c r="AB40" s="86"/>
      <c r="AC40" s="120"/>
    </row>
    <row r="41" s="1" customFormat="1" ht="15" spans="1:29">
      <c r="B41" s="4" t="s">
        <v>121</v>
      </c>
      <c r="C41" s="115">
        <v>50000</v>
      </c>
      <c r="D41" s="115">
        <f t="shared" si="13"/>
        <v>2000</v>
      </c>
      <c r="E41" s="121"/>
      <c r="F41" s="117">
        <f t="shared" si="14"/>
        <v>0.0106434831922499</v>
      </c>
      <c r="G41" s="2"/>
      <c r="N41" s="32"/>
      <c r="O41" s="47">
        <v>1</v>
      </c>
      <c r="P41" s="122" t="s">
        <v>102</v>
      </c>
      <c r="Q41" s="123">
        <f>IF(N41&gt;0,(MAX(45%,112.5%+112.5%*(N41-2))),(IF(N41&lt;=0,0)))</f>
        <v>0</v>
      </c>
      <c r="R41" s="122" t="s">
        <v>102</v>
      </c>
      <c r="S41" s="124">
        <v>3674.1</v>
      </c>
      <c r="T41" s="125">
        <v>0</v>
      </c>
      <c r="U41" s="125">
        <v>0</v>
      </c>
      <c r="V41" s="126">
        <v>1</v>
      </c>
      <c r="W41" s="127">
        <v>0</v>
      </c>
      <c r="X41" s="126">
        <f t="shared" ref="X41:X44" si="15">$AH$3</f>
        <v>0.488431876606684</v>
      </c>
      <c r="Y41" s="122">
        <f>$AH$13</f>
        <v>0.8</v>
      </c>
      <c r="Z41" s="128">
        <v>0</v>
      </c>
      <c r="AA41" s="128">
        <v>0</v>
      </c>
      <c r="AB41" s="128">
        <v>0</v>
      </c>
      <c r="AC41" s="129">
        <f t="shared" ref="AC41:AC44" si="16">Q41*S41*(1+T41)*(1+U41)*V41*(1+W41)*X41*Y41*(1+Z41)*(1+AA41)*(1+AB41)*O41</f>
        <v>0</v>
      </c>
    </row>
    <row r="42" s="1" customFormat="1" ht="15" spans="1:29">
      <c r="B42" s="4" t="s">
        <v>90</v>
      </c>
      <c r="C42" s="115">
        <f>SUM(AC35:AC37)</f>
        <v>0</v>
      </c>
      <c r="D42" s="115">
        <f t="shared" si="13"/>
        <v>0</v>
      </c>
      <c r="E42" s="121"/>
      <c r="F42" s="117">
        <f t="shared" si="14"/>
        <v>0</v>
      </c>
      <c r="G42" s="2"/>
      <c r="N42" s="32"/>
      <c r="O42" s="47"/>
      <c r="P42" s="130" t="s">
        <v>103</v>
      </c>
      <c r="Q42" s="131">
        <f>IF(N42=1,0.3,IF(AND(N42&gt;=2,N42&lt;=10),0.3+0.2439*(N42-1),IF(AND(N42&gt;=11),2.4951+0.8317*(N42-10),IF(AND(N42&lt;=0),0,""))))</f>
        <v>0</v>
      </c>
      <c r="R42" s="130" t="s">
        <v>103</v>
      </c>
      <c r="S42" s="132">
        <v>3674.1</v>
      </c>
      <c r="T42" s="133">
        <v>0</v>
      </c>
      <c r="U42" s="133">
        <v>0</v>
      </c>
      <c r="V42" s="134">
        <v>1</v>
      </c>
      <c r="W42" s="135">
        <v>0</v>
      </c>
      <c r="X42" s="134">
        <f t="shared" si="15"/>
        <v>0.488431876606684</v>
      </c>
      <c r="Y42" s="130">
        <f>$AH$11</f>
        <v>0.8</v>
      </c>
      <c r="Z42" s="136">
        <v>0</v>
      </c>
      <c r="AA42" s="136">
        <v>0</v>
      </c>
      <c r="AB42" s="136">
        <v>0</v>
      </c>
      <c r="AC42" s="137">
        <f t="shared" si="16"/>
        <v>0</v>
      </c>
    </row>
    <row r="43" s="1" customFormat="1" ht="15" spans="1:29">
      <c r="B43" s="4" t="s">
        <v>98</v>
      </c>
      <c r="C43" s="115">
        <f>AC38</f>
        <v>62688.0822622108</v>
      </c>
      <c r="D43" s="115">
        <f t="shared" si="13"/>
        <v>2507.52329048843</v>
      </c>
      <c r="E43" s="121"/>
      <c r="F43" s="117">
        <f t="shared" si="14"/>
        <v>0.0133443909982444</v>
      </c>
      <c r="G43" s="2"/>
      <c r="K43" s="1" t="s">
        <v>130</v>
      </c>
      <c r="N43" s="32"/>
      <c r="O43" s="47">
        <v>1</v>
      </c>
      <c r="P43" s="59" t="s">
        <v>104</v>
      </c>
      <c r="Q43" s="138" t="str">
        <f>IF(N43=1,24.5%,IF(AND(10&gt;=N43,N43&gt;=2),24.5%+(N43-1)*19.9185%,IF(AND(13&gt;=N43,N43&gt;=11),203.77%+(N43-10)*(271.69%-203.77%),"")))</f>
        <v/>
      </c>
      <c r="R43" s="59" t="s">
        <v>104</v>
      </c>
      <c r="S43" s="139">
        <v>3674.1</v>
      </c>
      <c r="T43" s="140">
        <v>0</v>
      </c>
      <c r="U43" s="140">
        <v>0</v>
      </c>
      <c r="V43" s="141">
        <v>1</v>
      </c>
      <c r="W43" s="142">
        <v>0</v>
      </c>
      <c r="X43" s="141">
        <f t="shared" si="15"/>
        <v>0.488431876606684</v>
      </c>
      <c r="Y43" s="59">
        <f>$AH$15</f>
        <v>0.8</v>
      </c>
      <c r="Z43" s="143">
        <v>0</v>
      </c>
      <c r="AA43" s="143">
        <v>0</v>
      </c>
      <c r="AB43" s="143">
        <v>0</v>
      </c>
      <c r="AC43" s="144" t="e">
        <f t="shared" si="16"/>
        <v>#VALUE!</v>
      </c>
    </row>
    <row r="44" s="1" customFormat="1" ht="15" spans="1:29">
      <c r="B44" s="4" t="s">
        <v>105</v>
      </c>
      <c r="C44" s="145">
        <f>SUM(C39:C43)</f>
        <v>4697710.24173814</v>
      </c>
      <c r="D44" s="145">
        <f>C44/E39</f>
        <v>187908.409669525</v>
      </c>
      <c r="E44" s="146"/>
      <c r="F44" s="147"/>
      <c r="G44" s="2"/>
      <c r="N44" s="40"/>
      <c r="O44" s="79">
        <v>1</v>
      </c>
      <c r="P44" s="148" t="s">
        <v>106</v>
      </c>
      <c r="Q44" s="149" t="str">
        <f>IF(N44=1,0.84,IF(N44=2,1.5229,IF(N44=3,2.2058,IF(N44=4,2.8888,IF(N44=5,3.5717,IF(N44=6,4.2546,IF(N44=7,4.9375,IF(N44=8,5.6204,IF(N44=9,6.3034,IF(N44=10,6.9863,IF(N44=11,9.315,IF(N44=12,11.6438,IF(N44=13,13.9726,"")))))))))))))</f>
        <v/>
      </c>
      <c r="R44" s="148" t="s">
        <v>106</v>
      </c>
      <c r="S44" s="150">
        <v>3674.1</v>
      </c>
      <c r="T44" s="151">
        <v>0</v>
      </c>
      <c r="U44" s="151">
        <v>0</v>
      </c>
      <c r="V44" s="152">
        <v>1</v>
      </c>
      <c r="W44" s="153">
        <v>0</v>
      </c>
      <c r="X44" s="152">
        <f t="shared" si="15"/>
        <v>0.488431876606684</v>
      </c>
      <c r="Y44" s="148">
        <f>$AH$16</f>
        <v>0.8</v>
      </c>
      <c r="Z44" s="154">
        <v>0</v>
      </c>
      <c r="AA44" s="154">
        <v>0</v>
      </c>
      <c r="AB44" s="154">
        <v>0</v>
      </c>
      <c r="AC44" s="155" t="e">
        <f t="shared" si="16"/>
        <v>#VALUE!</v>
      </c>
    </row>
    <row r="45" s="1" customFormat="1" spans="1:29">
      <c r="B45" s="4"/>
      <c r="C45" s="4"/>
      <c r="D45" s="4"/>
      <c r="G45" s="2"/>
      <c r="Q45" s="2"/>
      <c r="U45" s="2"/>
      <c r="V45" s="3"/>
      <c r="AB45" s="4"/>
      <c r="AC45" s="4"/>
    </row>
    <row r="46" s="1" customFormat="1" spans="1:29">
      <c r="B46" s="4"/>
      <c r="C46" s="4"/>
      <c r="D46" s="4"/>
      <c r="F46" s="4"/>
      <c r="G46" s="2"/>
      <c r="Q46" s="2"/>
      <c r="U46" s="2"/>
      <c r="V46" s="3"/>
      <c r="AB46" s="4"/>
      <c r="AC46" s="4"/>
    </row>
    <row r="47" s="1" customFormat="1" spans="1:29">
      <c r="F47" s="4"/>
      <c r="G47" s="2"/>
      <c r="Q47" s="2"/>
      <c r="U47" s="2"/>
      <c r="V47" s="3"/>
      <c r="AB47" s="4"/>
      <c r="AC47" s="4"/>
    </row>
    <row r="48" s="1" customFormat="1" spans="1:29">
      <c r="Q48" s="2"/>
      <c r="U48" s="2"/>
      <c r="V48" s="3"/>
      <c r="AB48" s="4"/>
      <c r="AC48" s="4"/>
    </row>
    <row r="49" s="1" customFormat="1" spans="2:29">
      <c r="B49" s="4"/>
      <c r="C49" s="4"/>
      <c r="D49" s="4"/>
      <c r="F49" s="156" t="s">
        <v>5</v>
      </c>
      <c r="G49" s="156" t="s">
        <v>131</v>
      </c>
      <c r="H49" s="156" t="s">
        <v>6</v>
      </c>
      <c r="I49" s="156" t="s">
        <v>2</v>
      </c>
      <c r="Q49" s="2"/>
      <c r="U49" s="2"/>
      <c r="V49" s="3"/>
      <c r="AB49" s="4"/>
      <c r="AC49" s="4"/>
    </row>
    <row r="50" s="1" customFormat="1" spans="2:29">
      <c r="B50" s="4"/>
      <c r="C50" s="4"/>
      <c r="D50" s="4"/>
      <c r="F50" s="157" t="s">
        <v>8</v>
      </c>
      <c r="G50" s="48">
        <v>63121</v>
      </c>
      <c r="H50" s="1">
        <v>90761</v>
      </c>
      <c r="I50" s="2">
        <f t="shared" ref="I50:I57" si="17">H50/G50-1</f>
        <v>0.43788913356886</v>
      </c>
      <c r="Q50" s="2"/>
      <c r="U50" s="2"/>
      <c r="V50" s="3"/>
      <c r="AB50" s="4"/>
      <c r="AC50" s="4"/>
    </row>
    <row r="51" s="1" customFormat="1" spans="2:29">
      <c r="F51" s="1">
        <v>11</v>
      </c>
      <c r="G51" s="48">
        <v>66064</v>
      </c>
      <c r="H51" s="1">
        <v>95736</v>
      </c>
      <c r="I51" s="2">
        <f t="shared" si="17"/>
        <v>0.449140227658029</v>
      </c>
      <c r="Q51" s="2"/>
      <c r="U51" s="2"/>
      <c r="V51" s="3"/>
      <c r="AB51" s="4"/>
      <c r="AC51" s="4"/>
    </row>
    <row r="52" s="1" customFormat="1" spans="2:29">
      <c r="B52" s="4"/>
      <c r="C52" s="4"/>
      <c r="D52" s="4"/>
      <c r="F52" s="4">
        <v>21</v>
      </c>
      <c r="G52" s="48">
        <v>80628</v>
      </c>
      <c r="H52" s="1">
        <v>118411</v>
      </c>
      <c r="I52" s="2">
        <f t="shared" si="17"/>
        <v>0.468608919978171</v>
      </c>
      <c r="Q52" s="2"/>
      <c r="U52" s="2"/>
      <c r="V52" s="3"/>
      <c r="AB52" s="4"/>
      <c r="AC52" s="4"/>
    </row>
    <row r="53" s="1" customFormat="1" spans="2:29">
      <c r="B53" s="4"/>
      <c r="C53" s="4"/>
      <c r="D53" s="4"/>
      <c r="F53" s="4">
        <v>31</v>
      </c>
      <c r="G53" s="48">
        <v>93804</v>
      </c>
      <c r="H53" s="1">
        <v>134933</v>
      </c>
      <c r="I53" s="2">
        <f t="shared" si="17"/>
        <v>0.438456782226771</v>
      </c>
      <c r="Q53" s="2"/>
      <c r="U53" s="2"/>
      <c r="V53" s="3"/>
      <c r="AB53" s="4"/>
      <c r="AC53" s="4"/>
    </row>
    <row r="54" s="1" customFormat="1" spans="2:29">
      <c r="F54" s="1">
        <v>41</v>
      </c>
      <c r="G54" s="48">
        <v>99541</v>
      </c>
      <c r="H54" s="1">
        <v>143642</v>
      </c>
      <c r="I54" s="2">
        <f t="shared" si="17"/>
        <v>0.443043569986237</v>
      </c>
      <c r="Q54" s="2"/>
      <c r="U54" s="2"/>
      <c r="V54" s="3"/>
      <c r="AB54" s="4"/>
      <c r="AC54" s="4"/>
    </row>
    <row r="55" s="1" customFormat="1" spans="2:29">
      <c r="B55" s="4"/>
      <c r="C55" s="4"/>
      <c r="D55" s="4"/>
      <c r="F55" s="4">
        <v>51</v>
      </c>
      <c r="G55" s="48">
        <v>101586</v>
      </c>
      <c r="H55" s="1">
        <v>147079</v>
      </c>
      <c r="I55" s="2">
        <f t="shared" si="17"/>
        <v>0.447827456539287</v>
      </c>
      <c r="Q55" s="2"/>
      <c r="U55" s="2"/>
      <c r="V55" s="3"/>
      <c r="AB55" s="4"/>
      <c r="AC55" s="4"/>
    </row>
    <row r="56" s="1" customFormat="1" spans="2:29">
      <c r="B56" s="4"/>
      <c r="C56" s="4"/>
      <c r="D56" s="4"/>
      <c r="F56" s="1">
        <v>61</v>
      </c>
      <c r="G56" s="48">
        <v>155824</v>
      </c>
      <c r="H56" s="1">
        <v>224220</v>
      </c>
      <c r="I56" s="2">
        <f t="shared" si="17"/>
        <v>0.438931101755827</v>
      </c>
      <c r="Q56" s="2"/>
      <c r="U56" s="2"/>
      <c r="V56" s="3"/>
      <c r="AB56" s="4"/>
      <c r="AC56" s="4"/>
    </row>
    <row r="57" s="1" customFormat="1" spans="2:29">
      <c r="F57" s="1">
        <v>65</v>
      </c>
      <c r="G57" s="48">
        <v>187908</v>
      </c>
      <c r="H57" s="1">
        <v>267499</v>
      </c>
      <c r="I57" s="2">
        <f t="shared" si="17"/>
        <v>0.423563658811759</v>
      </c>
      <c r="Q57" s="2"/>
      <c r="U57" s="2"/>
      <c r="V57" s="3"/>
      <c r="AB57" s="4"/>
      <c r="AC57" s="4"/>
    </row>
    <row r="58" s="1" customFormat="1" spans="2:29">
      <c r="B58" s="4"/>
      <c r="C58" s="4"/>
      <c r="D58" s="4"/>
      <c r="G58" s="2"/>
      <c r="Q58" s="2"/>
      <c r="U58" s="2"/>
      <c r="V58" s="3"/>
      <c r="AB58" s="4"/>
      <c r="AC58" s="4"/>
    </row>
    <row r="59" s="1" customFormat="1" spans="2:29">
      <c r="G59" s="2"/>
      <c r="Q59" s="2"/>
      <c r="U59" s="2"/>
      <c r="V59" s="3"/>
      <c r="AB59" s="4"/>
      <c r="AC59" s="4"/>
    </row>
  </sheetData>
  <mergeCells count="21">
    <mergeCell ref="B2:M2"/>
    <mergeCell ref="B3:C3"/>
    <mergeCell ref="D3:E3"/>
    <mergeCell ref="F3:G3"/>
    <mergeCell ref="H3:I3"/>
    <mergeCell ref="J3:K3"/>
    <mergeCell ref="L3:M3"/>
    <mergeCell ref="B14:M14"/>
    <mergeCell ref="B15:C15"/>
    <mergeCell ref="D15:E15"/>
    <mergeCell ref="F15:G15"/>
    <mergeCell ref="H15:I15"/>
    <mergeCell ref="J15:K15"/>
    <mergeCell ref="L15:M15"/>
    <mergeCell ref="B26:M26"/>
    <mergeCell ref="B27:C27"/>
    <mergeCell ref="D27:E27"/>
    <mergeCell ref="F27:G27"/>
    <mergeCell ref="H27:I27"/>
    <mergeCell ref="J27:K27"/>
    <mergeCell ref="L27:M2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统计</vt:lpstr>
      <vt:lpstr>纯裸伤</vt:lpstr>
      <vt:lpstr>半裸伤</vt:lpstr>
      <vt:lpstr>西仇守</vt:lpstr>
      <vt:lpstr>2链</vt:lpstr>
      <vt:lpstr>65</vt:lpstr>
      <vt:lpstr>西琳莫</vt:lpstr>
      <vt:lpstr>西散守</vt:lpstr>
      <vt:lpstr>西坎守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Roxy</dc:creator>
  <cp:lastModifiedBy>疏星渡</cp:lastModifiedBy>
  <dcterms:created xsi:type="dcterms:W3CDTF">2026-03-01T10:53:00Z</dcterms:created>
  <dcterms:modified xsi:type="dcterms:W3CDTF">2026-03-07T12:09:52Z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A3EF2314D35243B9BE70EE6E2FD97DAB_11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